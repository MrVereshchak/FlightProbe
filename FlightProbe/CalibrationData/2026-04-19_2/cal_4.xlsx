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tables/table10.xml" ContentType="application/vnd.openxmlformats-officedocument.spreadsheetml.table+xml"/>
  <Override PartName="/xl/queryTables/queryTable9.xml" ContentType="application/vnd.openxmlformats-officedocument.spreadsheetml.queryTable+xml"/>
  <Override PartName="/xl/tables/table11.xml" ContentType="application/vnd.openxmlformats-officedocument.spreadsheetml.table+xml"/>
  <Override PartName="/xl/queryTables/queryTable10.xml" ContentType="application/vnd.openxmlformats-officedocument.spreadsheetml.queryTable+xml"/>
  <Override PartName="/xl/tables/table12.xml" ContentType="application/vnd.openxmlformats-officedocument.spreadsheetml.table+xml"/>
  <Override PartName="/xl/queryTables/queryTable11.xml" ContentType="application/vnd.openxmlformats-officedocument.spreadsheetml.queryTable+xml"/>
  <Override PartName="/xl/tables/table13.xml" ContentType="application/vnd.openxmlformats-officedocument.spreadsheetml.table+xml"/>
  <Override PartName="/xl/queryTables/queryTable12.xml" ContentType="application/vnd.openxmlformats-officedocument.spreadsheetml.queryTable+xml"/>
  <Override PartName="/xl/tables/table14.xml" ContentType="application/vnd.openxmlformats-officedocument.spreadsheetml.table+xml"/>
  <Override PartName="/xl/queryTables/queryTable13.xml" ContentType="application/vnd.openxmlformats-officedocument.spreadsheetml.queryTable+xml"/>
  <Override PartName="/xl/tables/table15.xml" ContentType="application/vnd.openxmlformats-officedocument.spreadsheetml.table+xml"/>
  <Override PartName="/xl/queryTables/queryTable14.xml" ContentType="application/vnd.openxmlformats-officedocument.spreadsheetml.queryTable+xml"/>
  <Override PartName="/xl/tables/table16.xml" ContentType="application/vnd.openxmlformats-officedocument.spreadsheetml.table+xml"/>
  <Override PartName="/xl/queryTables/queryTable15.xml" ContentType="application/vnd.openxmlformats-officedocument.spreadsheetml.queryTable+xml"/>
  <Override PartName="/xl/drawings/drawing2.xml" ContentType="application/vnd.openxmlformats-officedocument.drawing+xml"/>
  <Override PartName="/xl/tables/table17.xml" ContentType="application/vnd.openxmlformats-officedocument.spreadsheetml.table+xml"/>
  <Override PartName="/xl/queryTables/queryTable16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source\repos\aardvark_prototype\aardvark_prototype\Calibration data\2026-04-19_3\"/>
    </mc:Choice>
  </mc:AlternateContent>
  <xr:revisionPtr revIDLastSave="0" documentId="13_ncr:1_{505830AC-832A-4547-A5B3-E4B221122795}" xr6:coauthVersionLast="47" xr6:coauthVersionMax="47" xr10:uidLastSave="{00000000-0000-0000-0000-000000000000}"/>
  <bookViews>
    <workbookView xWindow="-108" yWindow="-108" windowWidth="23256" windowHeight="12456" tabRatio="908" xr2:uid="{D9B19C8F-7188-4FBF-936E-732292BB6C26}"/>
  </bookViews>
  <sheets>
    <sheet name="Summary" sheetId="19" r:id="rId1"/>
    <sheet name="2026-04-17_16-42-00_-22_high" sheetId="18" r:id="rId2"/>
    <sheet name="2026-04-17_16-41-07_-19_high" sheetId="17" r:id="rId3"/>
    <sheet name="2026-04-17_16-43-51_-14_high" sheetId="16" r:id="rId4"/>
    <sheet name="2026-04-17_16-40-13_-12_high" sheetId="15" r:id="rId5"/>
    <sheet name="2026-04-17_16-38-14_-7_high" sheetId="14" r:id="rId6"/>
    <sheet name="2026-04-17_16-36-46_-5_high" sheetId="13" r:id="rId7"/>
    <sheet name="2026-04-17_16-35-28_-2_high" sheetId="12" r:id="rId8"/>
    <sheet name="2026-04-17_16-32-27_0_high" sheetId="11" r:id="rId9"/>
    <sheet name="2026-04-17_16-31-51_5_high" sheetId="10" r:id="rId10"/>
    <sheet name="2026-04-17_16-31-16_7_high" sheetId="9" r:id="rId11"/>
    <sheet name="2026-04-17_16-30-28_9_high" sheetId="8" r:id="rId12"/>
    <sheet name="2026-04-17_16-29-45_13_high" sheetId="7" r:id="rId13"/>
    <sheet name="2026-04-17_16-29-05_14_high" sheetId="6" r:id="rId14"/>
    <sheet name="2026-04-17_16-28-20_16_high" sheetId="5" r:id="rId15"/>
    <sheet name="2026-04-17_16-26-30_19_high" sheetId="4" r:id="rId16"/>
    <sheet name="2026-04-17_16-25-21_23_high" sheetId="3" r:id="rId17"/>
    <sheet name="Sheet1" sheetId="1" r:id="rId18"/>
  </sheets>
  <definedNames>
    <definedName name="ExternalData_1" localSheetId="16" hidden="1">'2026-04-17_16-25-21_23_high'!$A$1:$J$502</definedName>
    <definedName name="ExternalData_10" localSheetId="7" hidden="1">'2026-04-17_16-35-28_-2_high'!$A$1:$J$502</definedName>
    <definedName name="ExternalData_11" localSheetId="6" hidden="1">'2026-04-17_16-36-46_-5_high'!$A$1:$J$502</definedName>
    <definedName name="ExternalData_12" localSheetId="5" hidden="1">'2026-04-17_16-38-14_-7_high'!$A$1:$J$502</definedName>
    <definedName name="ExternalData_13" localSheetId="4" hidden="1">'2026-04-17_16-40-13_-12_high'!$A$1:$J$502</definedName>
    <definedName name="ExternalData_14" localSheetId="3" hidden="1">'2026-04-17_16-43-51_-14_high'!$A$1:$J$502</definedName>
    <definedName name="ExternalData_15" localSheetId="2" hidden="1">'2026-04-17_16-41-07_-19_high'!$A$1:$J$502</definedName>
    <definedName name="ExternalData_16" localSheetId="1" hidden="1">'2026-04-17_16-42-00_-22_high'!$A$1:$J$502</definedName>
    <definedName name="ExternalData_2" localSheetId="15" hidden="1">'2026-04-17_16-26-30_19_high'!$A$1:$J$502</definedName>
    <definedName name="ExternalData_3" localSheetId="14" hidden="1">'2026-04-17_16-28-20_16_high'!$A$1:$J$502</definedName>
    <definedName name="ExternalData_4" localSheetId="13" hidden="1">'2026-04-17_16-29-05_14_high'!$A$1:$J$502</definedName>
    <definedName name="ExternalData_5" localSheetId="12" hidden="1">'2026-04-17_16-29-45_13_high'!$A$1:$J$502</definedName>
    <definedName name="ExternalData_6" localSheetId="11" hidden="1">'2026-04-17_16-30-28_9_high'!$A$1:$J$502</definedName>
    <definedName name="ExternalData_7" localSheetId="10" hidden="1">'2026-04-17_16-31-16_7_high'!$A$1:$J$502</definedName>
    <definedName name="ExternalData_8" localSheetId="9" hidden="1">'2026-04-17_16-31-51_5_high'!$A$1:$J$502</definedName>
    <definedName name="ExternalData_9" localSheetId="8" hidden="1">'2026-04-17_16-32-27_0_high'!$A$1:$J$502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9" l="1"/>
  <c r="H4" i="19"/>
  <c r="H5" i="19"/>
  <c r="H6" i="19"/>
  <c r="H7" i="19"/>
  <c r="H8" i="19"/>
  <c r="U7" i="19"/>
  <c r="U8" i="19"/>
  <c r="U9" i="19"/>
  <c r="U10" i="19"/>
  <c r="U11" i="19"/>
  <c r="L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T10" i="19"/>
  <c r="S11" i="19"/>
  <c r="R11" i="19"/>
  <c r="T11" i="19" s="1"/>
  <c r="Q11" i="19"/>
  <c r="P11" i="19"/>
  <c r="O11" i="19"/>
  <c r="N11" i="19"/>
  <c r="S10" i="19"/>
  <c r="R10" i="19"/>
  <c r="Q10" i="19"/>
  <c r="P10" i="19"/>
  <c r="O10" i="19"/>
  <c r="N10" i="19"/>
  <c r="S9" i="19"/>
  <c r="R9" i="19"/>
  <c r="T9" i="19" s="1"/>
  <c r="Q9" i="19"/>
  <c r="P9" i="19"/>
  <c r="O9" i="19"/>
  <c r="N9" i="19"/>
  <c r="G8" i="19"/>
  <c r="F8" i="19"/>
  <c r="E8" i="19"/>
  <c r="D8" i="19"/>
  <c r="C8" i="19"/>
  <c r="B8" i="19"/>
  <c r="G7" i="19"/>
  <c r="F7" i="19"/>
  <c r="E7" i="19"/>
  <c r="D7" i="19"/>
  <c r="C7" i="19"/>
  <c r="B7" i="19"/>
  <c r="G6" i="19"/>
  <c r="F6" i="19"/>
  <c r="E6" i="19"/>
  <c r="D6" i="19"/>
  <c r="C6" i="19"/>
  <c r="B6" i="19"/>
  <c r="T8" i="19"/>
  <c r="S8" i="19"/>
  <c r="R8" i="19"/>
  <c r="Q8" i="19"/>
  <c r="P8" i="19"/>
  <c r="O8" i="19"/>
  <c r="N8" i="19"/>
  <c r="G4" i="19"/>
  <c r="F4" i="19"/>
  <c r="I4" i="19" s="1"/>
  <c r="E4" i="19"/>
  <c r="D4" i="19"/>
  <c r="C4" i="19"/>
  <c r="B4" i="19"/>
  <c r="G3" i="19"/>
  <c r="F3" i="19"/>
  <c r="I3" i="19" s="1"/>
  <c r="E3" i="19"/>
  <c r="D3" i="19"/>
  <c r="C3" i="19"/>
  <c r="B3" i="19"/>
  <c r="T7" i="19"/>
  <c r="S7" i="19"/>
  <c r="R7" i="19"/>
  <c r="Q7" i="19"/>
  <c r="P7" i="19"/>
  <c r="O7" i="19"/>
  <c r="N7" i="19"/>
  <c r="I8" i="19" l="1"/>
  <c r="I7" i="19"/>
  <c r="I6" i="1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942E85-EA2B-4D87-822E-21EE1DD70C54}" keepAlive="1" name="Query - 2026-04-17" description="Connection to the '2026-04-17' query in the workbook." type="5" refreshedVersion="0" background="1">
    <dbPr connection="Provider=Microsoft.Mashup.OleDb.1;Data Source=$Workbook$;Location=2026-04-17;Extended Properties=&quot;&quot;" command="SELECT * FROM [2026-04-17]"/>
  </connection>
  <connection id="2" xr16:uid="{D70E5AB7-65DB-41A3-B777-C7E3431ED8DB}" keepAlive="1" name="Query - 2026-04-17_16-25-21_23_high" description="Connection to the '2026-04-17_16-25-21_23_high' query in the workbook." type="5" refreshedVersion="8" background="1" saveData="1">
    <dbPr connection="Provider=Microsoft.Mashup.OleDb.1;Data Source=$Workbook$;Location=2026-04-17_16-25-21_23_high;Extended Properties=&quot;&quot;" command="SELECT * FROM [2026-04-17_16-25-21_23_high]"/>
  </connection>
  <connection id="3" xr16:uid="{62B57E54-61CE-478C-9070-D24518294466}" keepAlive="1" name="Query - 2026-04-17_16-26-30_19_high" description="Connection to the '2026-04-17_16-26-30_19_high' query in the workbook." type="5" refreshedVersion="8" background="1" saveData="1">
    <dbPr connection="Provider=Microsoft.Mashup.OleDb.1;Data Source=$Workbook$;Location=2026-04-17_16-26-30_19_high;Extended Properties=&quot;&quot;" command="SELECT * FROM [2026-04-17_16-26-30_19_high]"/>
  </connection>
  <connection id="4" xr16:uid="{66053DA1-E79C-4CBD-A458-0B29AB9351D4}" keepAlive="1" name="Query - 2026-04-17_16-28-20_16_high" description="Connection to the '2026-04-17_16-28-20_16_high' query in the workbook." type="5" refreshedVersion="8" background="1" saveData="1">
    <dbPr connection="Provider=Microsoft.Mashup.OleDb.1;Data Source=$Workbook$;Location=2026-04-17_16-28-20_16_high;Extended Properties=&quot;&quot;" command="SELECT * FROM [2026-04-17_16-28-20_16_high]"/>
  </connection>
  <connection id="5" xr16:uid="{EECC044E-991F-45FB-91FC-36428A1FBE45}" keepAlive="1" name="Query - 2026-04-17_16-29-05_14_high" description="Connection to the '2026-04-17_16-29-05_14_high' query in the workbook." type="5" refreshedVersion="8" background="1" saveData="1">
    <dbPr connection="Provider=Microsoft.Mashup.OleDb.1;Data Source=$Workbook$;Location=2026-04-17_16-29-05_14_high;Extended Properties=&quot;&quot;" command="SELECT * FROM [2026-04-17_16-29-05_14_high]"/>
  </connection>
  <connection id="6" xr16:uid="{01C6F6C8-5C55-4084-9414-122F8FBA3F8F}" keepAlive="1" name="Query - 2026-04-17_16-29-45_13_high" description="Connection to the '2026-04-17_16-29-45_13_high' query in the workbook." type="5" refreshedVersion="8" background="1" saveData="1">
    <dbPr connection="Provider=Microsoft.Mashup.OleDb.1;Data Source=$Workbook$;Location=2026-04-17_16-29-45_13_high;Extended Properties=&quot;&quot;" command="SELECT * FROM [2026-04-17_16-29-45_13_high]"/>
  </connection>
  <connection id="7" xr16:uid="{8A64A06D-6854-4F6E-AC95-8BD4C4764577}" keepAlive="1" name="Query - 2026-04-17_16-30-28_9_high" description="Connection to the '2026-04-17_16-30-28_9_high' query in the workbook." type="5" refreshedVersion="8" background="1" saveData="1">
    <dbPr connection="Provider=Microsoft.Mashup.OleDb.1;Data Source=$Workbook$;Location=2026-04-17_16-30-28_9_high;Extended Properties=&quot;&quot;" command="SELECT * FROM [2026-04-17_16-30-28_9_high]"/>
  </connection>
  <connection id="8" xr16:uid="{4AD3DA27-0799-40A3-AB0A-98E71D1757D9}" keepAlive="1" name="Query - 2026-04-17_16-31-16_7_high" description="Connection to the '2026-04-17_16-31-16_7_high' query in the workbook." type="5" refreshedVersion="8" background="1" saveData="1">
    <dbPr connection="Provider=Microsoft.Mashup.OleDb.1;Data Source=$Workbook$;Location=2026-04-17_16-31-16_7_high;Extended Properties=&quot;&quot;" command="SELECT * FROM [2026-04-17_16-31-16_7_high]"/>
  </connection>
  <connection id="9" xr16:uid="{045B47A0-C38E-4C84-A861-E3E50B0D4AE6}" keepAlive="1" name="Query - 2026-04-17_16-31-51_5_high" description="Connection to the '2026-04-17_16-31-51_5_high' query in the workbook." type="5" refreshedVersion="8" background="1" saveData="1">
    <dbPr connection="Provider=Microsoft.Mashup.OleDb.1;Data Source=$Workbook$;Location=2026-04-17_16-31-51_5_high;Extended Properties=&quot;&quot;" command="SELECT * FROM [2026-04-17_16-31-51_5_high]"/>
  </connection>
  <connection id="10" xr16:uid="{5D7CA3D4-305D-4DBA-B18A-8C1F2025A9D7}" keepAlive="1" name="Query - 2026-04-17_16-32-27_0_high" description="Connection to the '2026-04-17_16-32-27_0_high' query in the workbook." type="5" refreshedVersion="8" background="1" saveData="1">
    <dbPr connection="Provider=Microsoft.Mashup.OleDb.1;Data Source=$Workbook$;Location=2026-04-17_16-32-27_0_high;Extended Properties=&quot;&quot;" command="SELECT * FROM [2026-04-17_16-32-27_0_high]"/>
  </connection>
  <connection id="11" xr16:uid="{EEEADC10-B53B-476E-961D-2D29E953A47F}" keepAlive="1" name="Query - 2026-04-17_16-35-28_-2_high" description="Connection to the '2026-04-17_16-35-28_-2_high' query in the workbook." type="5" refreshedVersion="8" background="1" saveData="1">
    <dbPr connection="Provider=Microsoft.Mashup.OleDb.1;Data Source=$Workbook$;Location=2026-04-17_16-35-28_-2_high;Extended Properties=&quot;&quot;" command="SELECT * FROM [2026-04-17_16-35-28_-2_high]"/>
  </connection>
  <connection id="12" xr16:uid="{194DA6D1-B568-4A69-B4C8-351EE3ADB8AF}" keepAlive="1" name="Query - 2026-04-17_16-36-46_-5_high" description="Connection to the '2026-04-17_16-36-46_-5_high' query in the workbook." type="5" refreshedVersion="8" background="1" saveData="1">
    <dbPr connection="Provider=Microsoft.Mashup.OleDb.1;Data Source=$Workbook$;Location=2026-04-17_16-36-46_-5_high;Extended Properties=&quot;&quot;" command="SELECT * FROM [2026-04-17_16-36-46_-5_high]"/>
  </connection>
  <connection id="13" xr16:uid="{C66A6974-E666-4C94-AB28-83038F32720B}" keepAlive="1" name="Query - 2026-04-17_16-38-14_-7_high" description="Connection to the '2026-04-17_16-38-14_-7_high' query in the workbook." type="5" refreshedVersion="8" background="1" saveData="1">
    <dbPr connection="Provider=Microsoft.Mashup.OleDb.1;Data Source=$Workbook$;Location=2026-04-17_16-38-14_-7_high;Extended Properties=&quot;&quot;" command="SELECT * FROM [2026-04-17_16-38-14_-7_high]"/>
  </connection>
  <connection id="14" xr16:uid="{EAC83C35-37F2-4139-8C04-AD5FF95CCCA1}" keepAlive="1" name="Query - 2026-04-17_16-40-13_-12_high" description="Connection to the '2026-04-17_16-40-13_-12_high' query in the workbook." type="5" refreshedVersion="8" background="1" saveData="1">
    <dbPr connection="Provider=Microsoft.Mashup.OleDb.1;Data Source=$Workbook$;Location=2026-04-17_16-40-13_-12_high;Extended Properties=&quot;&quot;" command="SELECT * FROM [2026-04-17_16-40-13_-12_high]"/>
  </connection>
  <connection id="15" xr16:uid="{C97F0CEF-74CA-4FD1-A128-C19BD2AEDD61}" keepAlive="1" name="Query - 2026-04-17_16-41-07_-19_high" description="Connection to the '2026-04-17_16-41-07_-19_high' query in the workbook." type="5" refreshedVersion="8" background="1" saveData="1">
    <dbPr connection="Provider=Microsoft.Mashup.OleDb.1;Data Source=$Workbook$;Location=2026-04-17_16-41-07_-19_high;Extended Properties=&quot;&quot;" command="SELECT * FROM [2026-04-17_16-41-07_-19_high]"/>
  </connection>
  <connection id="16" xr16:uid="{7B9262EB-6ED6-4D0F-9987-B94C2870F951}" keepAlive="1" name="Query - 2026-04-17_16-42-00_-22_high" description="Connection to the '2026-04-17_16-42-00_-22_high' query in the workbook." type="5" refreshedVersion="8" background="1" saveData="1">
    <dbPr connection="Provider=Microsoft.Mashup.OleDb.1;Data Source=$Workbook$;Location=2026-04-17_16-42-00_-22_high;Extended Properties=&quot;&quot;" command="SELECT * FROM [2026-04-17_16-42-00_-22_high]"/>
  </connection>
  <connection id="17" xr16:uid="{32BB57D0-F442-42BF-91BB-93037CA5A3FF}" keepAlive="1" name="Query - 2026-04-17_16-43-51_-14_high" description="Connection to the '2026-04-17_16-43-51_-14_high' query in the workbook." type="5" refreshedVersion="8" background="1" saveData="1">
    <dbPr connection="Provider=Microsoft.Mashup.OleDb.1;Data Source=$Workbook$;Location=2026-04-17_16-43-51_-14_high;Extended Properties=&quot;&quot;" command="SELECT * FROM [2026-04-17_16-43-51_-14_high]"/>
  </connection>
</connections>
</file>

<file path=xl/sharedStrings.xml><?xml version="1.0" encoding="utf-8"?>
<sst xmlns="http://schemas.openxmlformats.org/spreadsheetml/2006/main" count="171" uniqueCount="21">
  <si>
    <t>count</t>
  </si>
  <si>
    <t>timestamp_ms</t>
  </si>
  <si>
    <t>aoa_valid</t>
  </si>
  <si>
    <t>pfd_raw</t>
  </si>
  <si>
    <t>p45_raw</t>
  </si>
  <si>
    <t>pfwd_filt</t>
  </si>
  <si>
    <t>p45_filt</t>
  </si>
  <si>
    <t>coeff</t>
  </si>
  <si>
    <t>aoa_raw</t>
  </si>
  <si>
    <t>aoa_filt</t>
  </si>
  <si>
    <t>angle</t>
  </si>
  <si>
    <t>pfwd_filt_mean</t>
  </si>
  <si>
    <t>pfwd_filt_median</t>
  </si>
  <si>
    <t>p45_filt_median</t>
  </si>
  <si>
    <t>coeff_median</t>
  </si>
  <si>
    <t>p45_filt_mean</t>
  </si>
  <si>
    <t>coeff_mean</t>
  </si>
  <si>
    <t>predicted_angle_mean</t>
  </si>
  <si>
    <t>new_aoa</t>
  </si>
  <si>
    <t>moving_aoa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</si>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</sst>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Summary!$F$1</c:f>
              <c:strCache>
                <c:ptCount val="1"/>
                <c:pt idx="0">
                  <c:v>coeff_mean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51756862464809"/>
                  <c:y val="-0.452196340040828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Summary!$F$2:$F$11</c:f>
              <c:numCache>
                <c:formatCode>General</c:formatCode>
                <c:ptCount val="10"/>
                <c:pt idx="1">
                  <c:v>1.2542885105788424</c:v>
                </c:pt>
                <c:pt idx="2">
                  <c:v>1.4832468712574862</c:v>
                </c:pt>
                <c:pt idx="4">
                  <c:v>1.1043678816367268</c:v>
                </c:pt>
                <c:pt idx="5">
                  <c:v>1.0108568580039918</c:v>
                </c:pt>
                <c:pt idx="6">
                  <c:v>0.94200048878243503</c:v>
                </c:pt>
              </c:numCache>
            </c:numRef>
          </c:xVal>
          <c:yVal>
            <c:numRef>
              <c:f>Summary!$A$2:$A$11</c:f>
              <c:numCache>
                <c:formatCode>General</c:formatCode>
                <c:ptCount val="10"/>
                <c:pt idx="1">
                  <c:v>-15</c:v>
                </c:pt>
                <c:pt idx="2">
                  <c:v>-9</c:v>
                </c:pt>
                <c:pt idx="4">
                  <c:v>2</c:v>
                </c:pt>
                <c:pt idx="5">
                  <c:v>6</c:v>
                </c:pt>
                <c:pt idx="6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79-422B-AF44-A5FE8A53B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538527"/>
        <c:axId val="535537567"/>
      </c:scatterChart>
      <c:valAx>
        <c:axId val="535538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537567"/>
        <c:crosses val="autoZero"/>
        <c:crossBetween val="midCat"/>
      </c:valAx>
      <c:valAx>
        <c:axId val="53553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538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Summary!$G$1</c:f>
              <c:strCache>
                <c:ptCount val="1"/>
                <c:pt idx="0">
                  <c:v>coeff_median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050730327684112"/>
                  <c:y val="-0.4286891221930592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Summary!$G$2:$G$11</c:f>
              <c:numCache>
                <c:formatCode>General</c:formatCode>
                <c:ptCount val="10"/>
                <c:pt idx="1">
                  <c:v>1.2454721</c:v>
                </c:pt>
                <c:pt idx="2">
                  <c:v>1.4856739000000001</c:v>
                </c:pt>
                <c:pt idx="4">
                  <c:v>1.1033046</c:v>
                </c:pt>
                <c:pt idx="5">
                  <c:v>1.0127803</c:v>
                </c:pt>
                <c:pt idx="6">
                  <c:v>0.93975350000000002</c:v>
                </c:pt>
              </c:numCache>
            </c:numRef>
          </c:xVal>
          <c:yVal>
            <c:numRef>
              <c:f>Summary!$A$2:$A$11</c:f>
              <c:numCache>
                <c:formatCode>General</c:formatCode>
                <c:ptCount val="10"/>
                <c:pt idx="1">
                  <c:v>-15</c:v>
                </c:pt>
                <c:pt idx="2">
                  <c:v>-9</c:v>
                </c:pt>
                <c:pt idx="4">
                  <c:v>2</c:v>
                </c:pt>
                <c:pt idx="5">
                  <c:v>6</c:v>
                </c:pt>
                <c:pt idx="6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61-4597-96C6-CA71D7890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6598095"/>
        <c:axId val="1416601935"/>
      </c:scatterChart>
      <c:valAx>
        <c:axId val="1416598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601935"/>
        <c:crosses val="autoZero"/>
        <c:crossBetween val="midCat"/>
      </c:valAx>
      <c:valAx>
        <c:axId val="141660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598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pfwd_p45_mean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Summary!$B$1</c:f>
              <c:strCache>
                <c:ptCount val="1"/>
                <c:pt idx="0">
                  <c:v>pfwd_filt_mean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1806386701662288"/>
                  <c:y val="-0.2521179644211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Summary!$A$2:$A$11</c:f>
              <c:numCache>
                <c:formatCode>General</c:formatCode>
                <c:ptCount val="10"/>
                <c:pt idx="1">
                  <c:v>-15</c:v>
                </c:pt>
                <c:pt idx="2">
                  <c:v>-9</c:v>
                </c:pt>
                <c:pt idx="4">
                  <c:v>2</c:v>
                </c:pt>
                <c:pt idx="5">
                  <c:v>6</c:v>
                </c:pt>
                <c:pt idx="6">
                  <c:v>11</c:v>
                </c:pt>
              </c:numCache>
            </c:numRef>
          </c:xVal>
          <c:yVal>
            <c:numRef>
              <c:f>Summary!$B$2:$B$11</c:f>
              <c:numCache>
                <c:formatCode>General</c:formatCode>
                <c:ptCount val="10"/>
                <c:pt idx="1">
                  <c:v>215.24942303393212</c:v>
                </c:pt>
                <c:pt idx="2">
                  <c:v>283.93506510978074</c:v>
                </c:pt>
                <c:pt idx="4">
                  <c:v>278.96197938123777</c:v>
                </c:pt>
                <c:pt idx="5">
                  <c:v>281.98543153692611</c:v>
                </c:pt>
                <c:pt idx="6">
                  <c:v>270.59418397205604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51-4DB3-98E7-DF4A6C67AE08}"/>
            </c:ext>
          </c:extLst>
        </c:ser>
        <c:ser>
          <c:idx val="1"/>
          <c:order val="1"/>
          <c:tx>
            <c:strRef>
              <c:f>Summary!$C$1</c:f>
              <c:strCache>
                <c:ptCount val="1"/>
                <c:pt idx="0">
                  <c:v>p45_filt_mean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49168853893264E-2"/>
                  <c:y val="0.1736756342957130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Summary!$A$2:$A$11</c:f>
              <c:numCache>
                <c:formatCode>General</c:formatCode>
                <c:ptCount val="10"/>
                <c:pt idx="1">
                  <c:v>-15</c:v>
                </c:pt>
                <c:pt idx="2">
                  <c:v>-9</c:v>
                </c:pt>
                <c:pt idx="4">
                  <c:v>2</c:v>
                </c:pt>
                <c:pt idx="5">
                  <c:v>6</c:v>
                </c:pt>
                <c:pt idx="6">
                  <c:v>11</c:v>
                </c:pt>
              </c:numCache>
            </c:numRef>
          </c:xVal>
          <c:yVal>
            <c:numRef>
              <c:f>Summary!$C$2:$C$11</c:f>
              <c:numCache>
                <c:formatCode>General</c:formatCode>
                <c:ptCount val="10"/>
                <c:pt idx="1">
                  <c:v>171.68195323353311</c:v>
                </c:pt>
                <c:pt idx="2">
                  <c:v>191.58626678642702</c:v>
                </c:pt>
                <c:pt idx="4">
                  <c:v>252.70938055888223</c:v>
                </c:pt>
                <c:pt idx="5">
                  <c:v>279.04979005988037</c:v>
                </c:pt>
                <c:pt idx="6">
                  <c:v>287.3023714570856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51-4DB3-98E7-DF4A6C67A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2063791"/>
        <c:axId val="642064271"/>
      </c:scatterChart>
      <c:valAx>
        <c:axId val="642063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064271"/>
        <c:crosses val="autoZero"/>
        <c:crossBetween val="midCat"/>
      </c:valAx>
      <c:valAx>
        <c:axId val="64206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0637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pfwd_p45_median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Summary!$D$1</c:f>
              <c:strCache>
                <c:ptCount val="1"/>
                <c:pt idx="0">
                  <c:v>pfwd_filt_median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417497812773404"/>
                  <c:y val="-0.2700360892388451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Summary!$A$2:$A$11</c:f>
              <c:numCache>
                <c:formatCode>General</c:formatCode>
                <c:ptCount val="10"/>
                <c:pt idx="1">
                  <c:v>-15</c:v>
                </c:pt>
                <c:pt idx="2">
                  <c:v>-9</c:v>
                </c:pt>
                <c:pt idx="4">
                  <c:v>2</c:v>
                </c:pt>
                <c:pt idx="5">
                  <c:v>6</c:v>
                </c:pt>
                <c:pt idx="6">
                  <c:v>11</c:v>
                </c:pt>
              </c:numCache>
            </c:numRef>
          </c:xVal>
          <c:yVal>
            <c:numRef>
              <c:f>Summary!$D$2:$D$11</c:f>
              <c:numCache>
                <c:formatCode>General</c:formatCode>
                <c:ptCount val="10"/>
                <c:pt idx="1">
                  <c:v>214.93333000000001</c:v>
                </c:pt>
                <c:pt idx="2">
                  <c:v>283.2</c:v>
                </c:pt>
                <c:pt idx="4">
                  <c:v>278.39999999999998</c:v>
                </c:pt>
                <c:pt idx="5">
                  <c:v>281.60000000000002</c:v>
                </c:pt>
                <c:pt idx="6">
                  <c:v>270.39999999999998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BC-43FF-911E-296F347AEB4A}"/>
            </c:ext>
          </c:extLst>
        </c:ser>
        <c:ser>
          <c:idx val="1"/>
          <c:order val="1"/>
          <c:tx>
            <c:strRef>
              <c:f>Summary!$E$1</c:f>
              <c:strCache>
                <c:ptCount val="1"/>
                <c:pt idx="0">
                  <c:v>p45_filt_median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2491688538932631E-2"/>
                  <c:y val="0.187337051618547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Summary!$A$2:$A$11</c:f>
              <c:numCache>
                <c:formatCode>General</c:formatCode>
                <c:ptCount val="10"/>
                <c:pt idx="1">
                  <c:v>-15</c:v>
                </c:pt>
                <c:pt idx="2">
                  <c:v>-9</c:v>
                </c:pt>
                <c:pt idx="4">
                  <c:v>2</c:v>
                </c:pt>
                <c:pt idx="5">
                  <c:v>6</c:v>
                </c:pt>
                <c:pt idx="6">
                  <c:v>11</c:v>
                </c:pt>
              </c:numCache>
            </c:numRef>
          </c:xVal>
          <c:yVal>
            <c:numRef>
              <c:f>Summary!$E$2:$E$11</c:f>
              <c:numCache>
                <c:formatCode>General</c:formatCode>
                <c:ptCount val="10"/>
                <c:pt idx="1">
                  <c:v>172.46665999999999</c:v>
                </c:pt>
                <c:pt idx="2">
                  <c:v>190.6</c:v>
                </c:pt>
                <c:pt idx="4">
                  <c:v>253</c:v>
                </c:pt>
                <c:pt idx="5">
                  <c:v>278.60000000000002</c:v>
                </c:pt>
                <c:pt idx="6">
                  <c:v>287.13333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BC-43FF-911E-296F347AE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151264"/>
        <c:axId val="270149824"/>
      </c:scatterChart>
      <c:valAx>
        <c:axId val="270151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149824"/>
        <c:crosses val="autoZero"/>
        <c:crossBetween val="midCat"/>
      </c:valAx>
      <c:valAx>
        <c:axId val="27014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151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'2026-04-17_16-25-21_23_high'!$K$1</c:f>
              <c:strCache>
                <c:ptCount val="1"/>
                <c:pt idx="0">
                  <c:v>new_aoa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'2026-04-17_16-25-21_23_high'!$A$2:$A$502</c:f>
              <c:numCache>
                <c:formatCode>General</c:formatCode>
                <c:ptCount val="5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numCache>
            </c:numRef>
          </c:cat>
          <c:val>
            <c:numRef>
              <c:f>'2026-04-17_16-25-21_23_high'!$K$2:$K$502</c:f>
              <c:numCache>
                <c:formatCode>General</c:formatCode>
                <c:ptCount val="501"/>
                <c:pt idx="0">
                  <c:v>32.174844397279998</c:v>
                </c:pt>
                <c:pt idx="1">
                  <c:v>28.827730340799995</c:v>
                </c:pt>
                <c:pt idx="2">
                  <c:v>26.17168835359999</c:v>
                </c:pt>
                <c:pt idx="3">
                  <c:v>25.584565627839993</c:v>
                </c:pt>
                <c:pt idx="4">
                  <c:v>24.595162947199995</c:v>
                </c:pt>
                <c:pt idx="5">
                  <c:v>23.639592244799999</c:v>
                </c:pt>
                <c:pt idx="6">
                  <c:v>23.186895156799991</c:v>
                </c:pt>
                <c:pt idx="7">
                  <c:v>22.804291484799997</c:v>
                </c:pt>
                <c:pt idx="8">
                  <c:v>22.502335620799997</c:v>
                </c:pt>
                <c:pt idx="9">
                  <c:v>22.636952852799993</c:v>
                </c:pt>
                <c:pt idx="10">
                  <c:v>22.747498273599994</c:v>
                </c:pt>
                <c:pt idx="11">
                  <c:v>22.407050903999995</c:v>
                </c:pt>
                <c:pt idx="12">
                  <c:v>22.255446391999996</c:v>
                </c:pt>
                <c:pt idx="13">
                  <c:v>22.125786103999992</c:v>
                </c:pt>
                <c:pt idx="14">
                  <c:v>22.013631068799995</c:v>
                </c:pt>
                <c:pt idx="15">
                  <c:v>21.177795627199991</c:v>
                </c:pt>
                <c:pt idx="16">
                  <c:v>20.818450604799999</c:v>
                </c:pt>
                <c:pt idx="17">
                  <c:v>20.818450604799999</c:v>
                </c:pt>
                <c:pt idx="18">
                  <c:v>20.448952201599994</c:v>
                </c:pt>
                <c:pt idx="19">
                  <c:v>20.207732825599997</c:v>
                </c:pt>
                <c:pt idx="20">
                  <c:v>20.090732238400001</c:v>
                </c:pt>
                <c:pt idx="21">
                  <c:v>19.973714942399994</c:v>
                </c:pt>
                <c:pt idx="22">
                  <c:v>20.009455065600001</c:v>
                </c:pt>
                <c:pt idx="23">
                  <c:v>20.160931476799988</c:v>
                </c:pt>
                <c:pt idx="24">
                  <c:v>20.052858958400002</c:v>
                </c:pt>
                <c:pt idx="25">
                  <c:v>19.945237577599997</c:v>
                </c:pt>
                <c:pt idx="26">
                  <c:v>20.18399519039999</c:v>
                </c:pt>
                <c:pt idx="27">
                  <c:v>20.299302619199999</c:v>
                </c:pt>
                <c:pt idx="28">
                  <c:v>20.779775302399997</c:v>
                </c:pt>
                <c:pt idx="29">
                  <c:v>21.349272471999996</c:v>
                </c:pt>
                <c:pt idx="30">
                  <c:v>21.911807641599992</c:v>
                </c:pt>
                <c:pt idx="31">
                  <c:v>22.467531190399995</c:v>
                </c:pt>
                <c:pt idx="32">
                  <c:v>22.904722511999992</c:v>
                </c:pt>
                <c:pt idx="33">
                  <c:v>23.109761766399998</c:v>
                </c:pt>
                <c:pt idx="34">
                  <c:v>23.427540863999994</c:v>
                </c:pt>
                <c:pt idx="35">
                  <c:v>23.744044523199989</c:v>
                </c:pt>
                <c:pt idx="36">
                  <c:v>24.059281098399993</c:v>
                </c:pt>
                <c:pt idx="37">
                  <c:v>24.263092256</c:v>
                </c:pt>
                <c:pt idx="38">
                  <c:v>24.615129963199998</c:v>
                </c:pt>
                <c:pt idx="39">
                  <c:v>24.707772461759994</c:v>
                </c:pt>
                <c:pt idx="40">
                  <c:v>24.800413846399998</c:v>
                </c:pt>
                <c:pt idx="41">
                  <c:v>24.783701704639995</c:v>
                </c:pt>
                <c:pt idx="42">
                  <c:v>24.766923841599997</c:v>
                </c:pt>
                <c:pt idx="43">
                  <c:v>24.417832452799992</c:v>
                </c:pt>
                <c:pt idx="44">
                  <c:v>24.08154000479999</c:v>
                </c:pt>
                <c:pt idx="45">
                  <c:v>23.626709759999997</c:v>
                </c:pt>
                <c:pt idx="46">
                  <c:v>23.164377264000002</c:v>
                </c:pt>
                <c:pt idx="47">
                  <c:v>22.71608015999999</c:v>
                </c:pt>
                <c:pt idx="48">
                  <c:v>22.619581270399991</c:v>
                </c:pt>
                <c:pt idx="49">
                  <c:v>22.523093520000003</c:v>
                </c:pt>
                <c:pt idx="50">
                  <c:v>22.1880096752</c:v>
                </c:pt>
                <c:pt idx="51">
                  <c:v>21.737818907200001</c:v>
                </c:pt>
                <c:pt idx="52">
                  <c:v>21.285751183999999</c:v>
                </c:pt>
                <c:pt idx="53">
                  <c:v>21.013297491199999</c:v>
                </c:pt>
                <c:pt idx="54">
                  <c:v>20.890281735999991</c:v>
                </c:pt>
                <c:pt idx="55">
                  <c:v>20.766748008</c:v>
                </c:pt>
                <c:pt idx="56">
                  <c:v>20.642690737599999</c:v>
                </c:pt>
                <c:pt idx="57">
                  <c:v>20.518109924799994</c:v>
                </c:pt>
                <c:pt idx="58">
                  <c:v>20.392999999999994</c:v>
                </c:pt>
                <c:pt idx="59">
                  <c:v>20.04242709759999</c:v>
                </c:pt>
                <c:pt idx="60">
                  <c:v>19.943678089599992</c:v>
                </c:pt>
                <c:pt idx="61">
                  <c:v>19.844923512000001</c:v>
                </c:pt>
                <c:pt idx="62">
                  <c:v>19.844923512000001</c:v>
                </c:pt>
                <c:pt idx="63">
                  <c:v>19.844923512000001</c:v>
                </c:pt>
                <c:pt idx="64">
                  <c:v>19.943678089599992</c:v>
                </c:pt>
                <c:pt idx="65">
                  <c:v>20.294668711999989</c:v>
                </c:pt>
                <c:pt idx="66">
                  <c:v>20.766670033599993</c:v>
                </c:pt>
                <c:pt idx="67">
                  <c:v>21.238665785599999</c:v>
                </c:pt>
                <c:pt idx="68">
                  <c:v>21.128699603199991</c:v>
                </c:pt>
                <c:pt idx="69">
                  <c:v>21.266953783999995</c:v>
                </c:pt>
                <c:pt idx="70">
                  <c:v>21.281189681599997</c:v>
                </c:pt>
                <c:pt idx="71">
                  <c:v>21.419733481599991</c:v>
                </c:pt>
                <c:pt idx="72">
                  <c:v>21.804615119999994</c:v>
                </c:pt>
                <c:pt idx="73">
                  <c:v>21.950739145599989</c:v>
                </c:pt>
                <c:pt idx="74">
                  <c:v>22.427853359999993</c:v>
                </c:pt>
                <c:pt idx="75">
                  <c:v>22.781918401599995</c:v>
                </c:pt>
                <c:pt idx="76">
                  <c:v>22.879425388800001</c:v>
                </c:pt>
                <c:pt idx="77">
                  <c:v>22.976932375999993</c:v>
                </c:pt>
                <c:pt idx="78">
                  <c:v>23.0744393632</c:v>
                </c:pt>
                <c:pt idx="79">
                  <c:v>22.859926219199991</c:v>
                </c:pt>
                <c:pt idx="80">
                  <c:v>22.528401348799996</c:v>
                </c:pt>
                <c:pt idx="81">
                  <c:v>22.060365582399996</c:v>
                </c:pt>
                <c:pt idx="82">
                  <c:v>21.592335385599995</c:v>
                </c:pt>
                <c:pt idx="83">
                  <c:v>21.485365647999998</c:v>
                </c:pt>
                <c:pt idx="84">
                  <c:v>21.374073900799999</c:v>
                </c:pt>
                <c:pt idx="85">
                  <c:v>21.384466774399996</c:v>
                </c:pt>
                <c:pt idx="86">
                  <c:v>21.394776103999988</c:v>
                </c:pt>
                <c:pt idx="87">
                  <c:v>21.164150107200001</c:v>
                </c:pt>
                <c:pt idx="88">
                  <c:v>20.567055569600001</c:v>
                </c:pt>
                <c:pt idx="89">
                  <c:v>19.728914313600001</c:v>
                </c:pt>
                <c:pt idx="90">
                  <c:v>18.99766482079999</c:v>
                </c:pt>
                <c:pt idx="91">
                  <c:v>18.524672110399997</c:v>
                </c:pt>
                <c:pt idx="92">
                  <c:v>18.308337707199989</c:v>
                </c:pt>
                <c:pt idx="93">
                  <c:v>18.221975489599998</c:v>
                </c:pt>
                <c:pt idx="94">
                  <c:v>18.351407423999994</c:v>
                </c:pt>
                <c:pt idx="95">
                  <c:v>18.714790406399992</c:v>
                </c:pt>
                <c:pt idx="96">
                  <c:v>19.203478249599989</c:v>
                </c:pt>
                <c:pt idx="97">
                  <c:v>19.688078006399998</c:v>
                </c:pt>
                <c:pt idx="98">
                  <c:v>19.928868523199988</c:v>
                </c:pt>
                <c:pt idx="99">
                  <c:v>20.149352278399995</c:v>
                </c:pt>
                <c:pt idx="100">
                  <c:v>20.025562348799994</c:v>
                </c:pt>
                <c:pt idx="101">
                  <c:v>20.269460702400004</c:v>
                </c:pt>
                <c:pt idx="102">
                  <c:v>20.514367153599991</c:v>
                </c:pt>
                <c:pt idx="103">
                  <c:v>20.992506174399992</c:v>
                </c:pt>
                <c:pt idx="104">
                  <c:v>21.46666850079999</c:v>
                </c:pt>
                <c:pt idx="105">
                  <c:v>21.940908801600003</c:v>
                </c:pt>
                <c:pt idx="106">
                  <c:v>22.409317731199991</c:v>
                </c:pt>
                <c:pt idx="107">
                  <c:v>22.526212495999992</c:v>
                </c:pt>
                <c:pt idx="108">
                  <c:v>22.526212495999992</c:v>
                </c:pt>
                <c:pt idx="109">
                  <c:v>22.526212495999992</c:v>
                </c:pt>
                <c:pt idx="110">
                  <c:v>22.295185488000001</c:v>
                </c:pt>
                <c:pt idx="111">
                  <c:v>21.944885495999998</c:v>
                </c:pt>
                <c:pt idx="112">
                  <c:v>21.921766086399991</c:v>
                </c:pt>
                <c:pt idx="113">
                  <c:v>22.017468523199994</c:v>
                </c:pt>
                <c:pt idx="114">
                  <c:v>22.135889358399993</c:v>
                </c:pt>
                <c:pt idx="115">
                  <c:v>22.583156086399995</c:v>
                </c:pt>
                <c:pt idx="116">
                  <c:v>22.572161695999995</c:v>
                </c:pt>
                <c:pt idx="117">
                  <c:v>22.213685531199992</c:v>
                </c:pt>
                <c:pt idx="118">
                  <c:v>22.213685531199992</c:v>
                </c:pt>
                <c:pt idx="119">
                  <c:v>22.213685531199992</c:v>
                </c:pt>
                <c:pt idx="120">
                  <c:v>22.191395991999997</c:v>
                </c:pt>
                <c:pt idx="121">
                  <c:v>22.169022908799995</c:v>
                </c:pt>
                <c:pt idx="122">
                  <c:v>22.393327409599991</c:v>
                </c:pt>
                <c:pt idx="123">
                  <c:v>22.501611572799995</c:v>
                </c:pt>
                <c:pt idx="124">
                  <c:v>22.5942841472</c:v>
                </c:pt>
                <c:pt idx="125">
                  <c:v>22.687352163199996</c:v>
                </c:pt>
                <c:pt idx="126">
                  <c:v>22.897883043199997</c:v>
                </c:pt>
                <c:pt idx="127">
                  <c:v>22.897883043199997</c:v>
                </c:pt>
                <c:pt idx="128">
                  <c:v>22.780798911999995</c:v>
                </c:pt>
                <c:pt idx="129">
                  <c:v>22.426600199999996</c:v>
                </c:pt>
                <c:pt idx="130">
                  <c:v>22.067962516799994</c:v>
                </c:pt>
                <c:pt idx="131">
                  <c:v>21.802498671999992</c:v>
                </c:pt>
                <c:pt idx="132">
                  <c:v>21.900206164799989</c:v>
                </c:pt>
                <c:pt idx="133">
                  <c:v>21.904355516799988</c:v>
                </c:pt>
                <c:pt idx="134">
                  <c:v>21.90848815999999</c:v>
                </c:pt>
                <c:pt idx="135">
                  <c:v>21.815503687999993</c:v>
                </c:pt>
                <c:pt idx="136">
                  <c:v>21.722903518399995</c:v>
                </c:pt>
                <c:pt idx="137">
                  <c:v>21.495318523199998</c:v>
                </c:pt>
                <c:pt idx="138">
                  <c:v>21.625402100799995</c:v>
                </c:pt>
                <c:pt idx="139">
                  <c:v>21.768652212799992</c:v>
                </c:pt>
                <c:pt idx="140">
                  <c:v>21.800616147199996</c:v>
                </c:pt>
                <c:pt idx="141">
                  <c:v>21.714354182400001</c:v>
                </c:pt>
                <c:pt idx="142">
                  <c:v>21.737662958399994</c:v>
                </c:pt>
                <c:pt idx="143">
                  <c:v>21.406216062399992</c:v>
                </c:pt>
                <c:pt idx="144">
                  <c:v>21.548602886399998</c:v>
                </c:pt>
                <c:pt idx="145">
                  <c:v>21.689842372799994</c:v>
                </c:pt>
                <c:pt idx="146">
                  <c:v>21.829934521599995</c:v>
                </c:pt>
                <c:pt idx="147">
                  <c:v>21.852769881599997</c:v>
                </c:pt>
                <c:pt idx="148">
                  <c:v>21.852769881599997</c:v>
                </c:pt>
                <c:pt idx="149">
                  <c:v>21.852769881599997</c:v>
                </c:pt>
                <c:pt idx="150">
                  <c:v>21.848692934399992</c:v>
                </c:pt>
                <c:pt idx="151">
                  <c:v>21.844588139199992</c:v>
                </c:pt>
                <c:pt idx="152">
                  <c:v>21.727504007999997</c:v>
                </c:pt>
                <c:pt idx="153">
                  <c:v>21.704273206400003</c:v>
                </c:pt>
                <c:pt idx="154">
                  <c:v>21.354418782399996</c:v>
                </c:pt>
                <c:pt idx="155">
                  <c:v>21.229960500799997</c:v>
                </c:pt>
                <c:pt idx="156">
                  <c:v>21.224535710399998</c:v>
                </c:pt>
                <c:pt idx="157">
                  <c:v>20.862890443200001</c:v>
                </c:pt>
                <c:pt idx="158">
                  <c:v>20.862890443200001</c:v>
                </c:pt>
                <c:pt idx="159">
                  <c:v>20.619292847999994</c:v>
                </c:pt>
                <c:pt idx="160">
                  <c:v>20.470356174399996</c:v>
                </c:pt>
                <c:pt idx="161">
                  <c:v>20.456114707199994</c:v>
                </c:pt>
                <c:pt idx="162">
                  <c:v>20.429492019199991</c:v>
                </c:pt>
                <c:pt idx="163">
                  <c:v>20.656269422400001</c:v>
                </c:pt>
                <c:pt idx="164">
                  <c:v>20.747204281599991</c:v>
                </c:pt>
                <c:pt idx="165">
                  <c:v>20.858117295999996</c:v>
                </c:pt>
                <c:pt idx="166">
                  <c:v>20.969487017599995</c:v>
                </c:pt>
                <c:pt idx="167">
                  <c:v>21.199333270399997</c:v>
                </c:pt>
                <c:pt idx="168">
                  <c:v>20.950951388799993</c:v>
                </c:pt>
                <c:pt idx="169">
                  <c:v>21.182223459199989</c:v>
                </c:pt>
                <c:pt idx="170">
                  <c:v>21.176470062399993</c:v>
                </c:pt>
                <c:pt idx="171">
                  <c:v>21.295475705599998</c:v>
                </c:pt>
                <c:pt idx="172">
                  <c:v>21.642205583999996</c:v>
                </c:pt>
                <c:pt idx="173">
                  <c:v>21.986005852799991</c:v>
                </c:pt>
                <c:pt idx="174">
                  <c:v>22.326887651199996</c:v>
                </c:pt>
                <c:pt idx="175">
                  <c:v>22.447402655999994</c:v>
                </c:pt>
                <c:pt idx="176">
                  <c:v>22.447402655999994</c:v>
                </c:pt>
                <c:pt idx="177">
                  <c:v>22.584203171200002</c:v>
                </c:pt>
                <c:pt idx="178">
                  <c:v>22.447402655999994</c:v>
                </c:pt>
                <c:pt idx="179">
                  <c:v>22.34968959359999</c:v>
                </c:pt>
                <c:pt idx="180">
                  <c:v>22.356083494399989</c:v>
                </c:pt>
                <c:pt idx="181">
                  <c:v>22.365568523199997</c:v>
                </c:pt>
                <c:pt idx="182">
                  <c:v>22.608180299200001</c:v>
                </c:pt>
                <c:pt idx="183">
                  <c:v>23.075079867199989</c:v>
                </c:pt>
                <c:pt idx="184">
                  <c:v>23.402327284799988</c:v>
                </c:pt>
                <c:pt idx="185">
                  <c:v>24.060776535999999</c:v>
                </c:pt>
                <c:pt idx="186">
                  <c:v>24.395916076799999</c:v>
                </c:pt>
                <c:pt idx="187">
                  <c:v>24.506489345599995</c:v>
                </c:pt>
                <c:pt idx="188">
                  <c:v>24.301862241599999</c:v>
                </c:pt>
                <c:pt idx="189">
                  <c:v>24.079451404799997</c:v>
                </c:pt>
                <c:pt idx="190">
                  <c:v>23.873999999999995</c:v>
                </c:pt>
                <c:pt idx="191">
                  <c:v>23.423018348799999</c:v>
                </c:pt>
                <c:pt idx="192">
                  <c:v>22.968377470399993</c:v>
                </c:pt>
                <c:pt idx="193">
                  <c:v>22.642628275199996</c:v>
                </c:pt>
                <c:pt idx="194">
                  <c:v>22.526212495999992</c:v>
                </c:pt>
                <c:pt idx="195">
                  <c:v>22.526212495999992</c:v>
                </c:pt>
                <c:pt idx="196">
                  <c:v>22.640110815999996</c:v>
                </c:pt>
                <c:pt idx="197">
                  <c:v>22.523449974399995</c:v>
                </c:pt>
                <c:pt idx="198">
                  <c:v>22.539735484799998</c:v>
                </c:pt>
                <c:pt idx="199">
                  <c:v>22.326887651199996</c:v>
                </c:pt>
                <c:pt idx="200">
                  <c:v>22.105874783999994</c:v>
                </c:pt>
                <c:pt idx="201">
                  <c:v>21.986651926399993</c:v>
                </c:pt>
                <c:pt idx="202">
                  <c:v>21.654648070399993</c:v>
                </c:pt>
                <c:pt idx="203">
                  <c:v>21.7748066208</c:v>
                </c:pt>
                <c:pt idx="204">
                  <c:v>22.517885943999993</c:v>
                </c:pt>
                <c:pt idx="205">
                  <c:v>23.078343652799994</c:v>
                </c:pt>
                <c:pt idx="206">
                  <c:v>24.079521581759998</c:v>
                </c:pt>
                <c:pt idx="207">
                  <c:v>25.053529888</c:v>
                </c:pt>
                <c:pt idx="208">
                  <c:v>25.874179815199994</c:v>
                </c:pt>
                <c:pt idx="209">
                  <c:v>26.480817862399995</c:v>
                </c:pt>
                <c:pt idx="210">
                  <c:v>26.87205441439999</c:v>
                </c:pt>
                <c:pt idx="211">
                  <c:v>26.770548454399993</c:v>
                </c:pt>
                <c:pt idx="212">
                  <c:v>26.561167139839995</c:v>
                </c:pt>
                <c:pt idx="213">
                  <c:v>26.135586206399992</c:v>
                </c:pt>
                <c:pt idx="214">
                  <c:v>25.924158620799993</c:v>
                </c:pt>
                <c:pt idx="215">
                  <c:v>25.600447899199999</c:v>
                </c:pt>
                <c:pt idx="216">
                  <c:v>25.381724137599996</c:v>
                </c:pt>
                <c:pt idx="217">
                  <c:v>25.381724137599996</c:v>
                </c:pt>
                <c:pt idx="218">
                  <c:v>25.276739405439997</c:v>
                </c:pt>
                <c:pt idx="219">
                  <c:v>24.706092670399997</c:v>
                </c:pt>
                <c:pt idx="220">
                  <c:v>24.383470805599998</c:v>
                </c:pt>
                <c:pt idx="221">
                  <c:v>23.837335323199994</c:v>
                </c:pt>
                <c:pt idx="222">
                  <c:v>23.282864934400003</c:v>
                </c:pt>
                <c:pt idx="223">
                  <c:v>22.757100264000002</c:v>
                </c:pt>
                <c:pt idx="224">
                  <c:v>22.316990471999993</c:v>
                </c:pt>
                <c:pt idx="225">
                  <c:v>21.846966358399996</c:v>
                </c:pt>
                <c:pt idx="226">
                  <c:v>21.823841379200005</c:v>
                </c:pt>
                <c:pt idx="227">
                  <c:v>21.9147483904</c:v>
                </c:pt>
                <c:pt idx="228">
                  <c:v>22.006034134399997</c:v>
                </c:pt>
                <c:pt idx="229">
                  <c:v>22.231385719999999</c:v>
                </c:pt>
                <c:pt idx="230">
                  <c:v>21.994454936000004</c:v>
                </c:pt>
                <c:pt idx="231">
                  <c:v>21.635354975999995</c:v>
                </c:pt>
                <c:pt idx="232">
                  <c:v>21.50972707839999</c:v>
                </c:pt>
                <c:pt idx="233">
                  <c:v>21.383057665599999</c:v>
                </c:pt>
                <c:pt idx="234">
                  <c:v>21.163297958399994</c:v>
                </c:pt>
                <c:pt idx="235">
                  <c:v>20.942630406399992</c:v>
                </c:pt>
                <c:pt idx="236">
                  <c:v>20.721032731199998</c:v>
                </c:pt>
                <c:pt idx="237">
                  <c:v>20.498482654399993</c:v>
                </c:pt>
                <c:pt idx="238">
                  <c:v>20.373333742399993</c:v>
                </c:pt>
                <c:pt idx="239">
                  <c:v>20.247650148799991</c:v>
                </c:pt>
                <c:pt idx="240">
                  <c:v>20.247650148799991</c:v>
                </c:pt>
                <c:pt idx="241">
                  <c:v>20.247650148799991</c:v>
                </c:pt>
                <c:pt idx="242">
                  <c:v>20.247650148799991</c:v>
                </c:pt>
                <c:pt idx="243">
                  <c:v>20.247650148799991</c:v>
                </c:pt>
                <c:pt idx="244">
                  <c:v>20.10969115679999</c:v>
                </c:pt>
                <c:pt idx="245">
                  <c:v>20.452004342399995</c:v>
                </c:pt>
                <c:pt idx="246">
                  <c:v>20.916859867199996</c:v>
                </c:pt>
                <c:pt idx="247">
                  <c:v>21.260816084799998</c:v>
                </c:pt>
                <c:pt idx="248">
                  <c:v>21.260816084799998</c:v>
                </c:pt>
                <c:pt idx="249">
                  <c:v>21.383057665599999</c:v>
                </c:pt>
                <c:pt idx="250">
                  <c:v>21.601881679999998</c:v>
                </c:pt>
                <c:pt idx="251">
                  <c:v>21.698976516800002</c:v>
                </c:pt>
                <c:pt idx="252">
                  <c:v>21.698976516800002</c:v>
                </c:pt>
                <c:pt idx="253">
                  <c:v>21.796082492799997</c:v>
                </c:pt>
                <c:pt idx="254">
                  <c:v>21.796082492799997</c:v>
                </c:pt>
                <c:pt idx="255">
                  <c:v>21.819797849599993</c:v>
                </c:pt>
                <c:pt idx="256">
                  <c:v>21.843412953600001</c:v>
                </c:pt>
                <c:pt idx="257">
                  <c:v>21.866938943999997</c:v>
                </c:pt>
                <c:pt idx="258">
                  <c:v>21.7748066208</c:v>
                </c:pt>
                <c:pt idx="259">
                  <c:v>21.67851937599999</c:v>
                </c:pt>
                <c:pt idx="260">
                  <c:v>21.230077462399997</c:v>
                </c:pt>
                <c:pt idx="261">
                  <c:v>20.5407670576</c:v>
                </c:pt>
                <c:pt idx="262">
                  <c:v>19.845675407999991</c:v>
                </c:pt>
                <c:pt idx="263">
                  <c:v>19.612153219199996</c:v>
                </c:pt>
                <c:pt idx="264">
                  <c:v>19.252162123199994</c:v>
                </c:pt>
                <c:pt idx="265">
                  <c:v>18.920642822399998</c:v>
                </c:pt>
                <c:pt idx="266">
                  <c:v>18.706129678399996</c:v>
                </c:pt>
                <c:pt idx="267">
                  <c:v>18.706129678399996</c:v>
                </c:pt>
                <c:pt idx="268">
                  <c:v>18.608617121599998</c:v>
                </c:pt>
                <c:pt idx="269">
                  <c:v>18.351407423999994</c:v>
                </c:pt>
                <c:pt idx="270">
                  <c:v>17.830393622399995</c:v>
                </c:pt>
                <c:pt idx="271">
                  <c:v>17.539471135999996</c:v>
                </c:pt>
                <c:pt idx="272">
                  <c:v>17.002416886399992</c:v>
                </c:pt>
                <c:pt idx="273">
                  <c:v>16.95750920159999</c:v>
                </c:pt>
                <c:pt idx="274">
                  <c:v>17.064005523200002</c:v>
                </c:pt>
                <c:pt idx="275">
                  <c:v>17.54399365119999</c:v>
                </c:pt>
                <c:pt idx="276">
                  <c:v>18.042066270399999</c:v>
                </c:pt>
                <c:pt idx="277">
                  <c:v>18.638648404799994</c:v>
                </c:pt>
                <c:pt idx="278">
                  <c:v>19.011650086399996</c:v>
                </c:pt>
                <c:pt idx="279">
                  <c:v>19.222598686399998</c:v>
                </c:pt>
                <c:pt idx="280">
                  <c:v>19.202336481599993</c:v>
                </c:pt>
                <c:pt idx="281">
                  <c:v>19.192132974399996</c:v>
                </c:pt>
                <c:pt idx="282">
                  <c:v>19.060010923199997</c:v>
                </c:pt>
                <c:pt idx="283">
                  <c:v>18.927315203200003</c:v>
                </c:pt>
                <c:pt idx="284">
                  <c:v>18.927315203200003</c:v>
                </c:pt>
                <c:pt idx="285">
                  <c:v>19.192132974399996</c:v>
                </c:pt>
                <c:pt idx="286">
                  <c:v>18.959646731199996</c:v>
                </c:pt>
                <c:pt idx="287">
                  <c:v>18.970329223999997</c:v>
                </c:pt>
                <c:pt idx="288">
                  <c:v>18.871006547199997</c:v>
                </c:pt>
                <c:pt idx="289">
                  <c:v>18.641221559999991</c:v>
                </c:pt>
                <c:pt idx="290">
                  <c:v>18.54097432959999</c:v>
                </c:pt>
                <c:pt idx="291">
                  <c:v>18.54097432959999</c:v>
                </c:pt>
                <c:pt idx="292">
                  <c:v>18.54097432959999</c:v>
                </c:pt>
                <c:pt idx="293">
                  <c:v>18.641221559999991</c:v>
                </c:pt>
                <c:pt idx="294">
                  <c:v>18.55247555359999</c:v>
                </c:pt>
                <c:pt idx="295">
                  <c:v>18.563915511999994</c:v>
                </c:pt>
                <c:pt idx="296">
                  <c:v>18.694828960000002</c:v>
                </c:pt>
                <c:pt idx="297">
                  <c:v>18.835968193599996</c:v>
                </c:pt>
                <c:pt idx="298">
                  <c:v>18.846711952</c:v>
                </c:pt>
                <c:pt idx="299">
                  <c:v>19.104556584000001</c:v>
                </c:pt>
                <c:pt idx="300">
                  <c:v>19.360229071999996</c:v>
                </c:pt>
                <c:pt idx="301">
                  <c:v>19.856708785599992</c:v>
                </c:pt>
                <c:pt idx="302">
                  <c:v>20.470356174399996</c:v>
                </c:pt>
                <c:pt idx="303">
                  <c:v>20.927425398399997</c:v>
                </c:pt>
                <c:pt idx="304">
                  <c:v>21.164150107200001</c:v>
                </c:pt>
                <c:pt idx="305">
                  <c:v>21.284826630399991</c:v>
                </c:pt>
                <c:pt idx="306">
                  <c:v>21.405001889600001</c:v>
                </c:pt>
                <c:pt idx="307">
                  <c:v>21.405001889600001</c:v>
                </c:pt>
                <c:pt idx="308">
                  <c:v>21.309299452799998</c:v>
                </c:pt>
                <c:pt idx="309">
                  <c:v>21.772979792000001</c:v>
                </c:pt>
                <c:pt idx="310">
                  <c:v>22.352251609599989</c:v>
                </c:pt>
                <c:pt idx="311">
                  <c:v>22.697059975999991</c:v>
                </c:pt>
                <c:pt idx="312">
                  <c:v>23.038749366399998</c:v>
                </c:pt>
                <c:pt idx="313">
                  <c:v>23.627723427199996</c:v>
                </c:pt>
                <c:pt idx="314">
                  <c:v>24.100864288959997</c:v>
                </c:pt>
                <c:pt idx="315">
                  <c:v>24.347607594239996</c:v>
                </c:pt>
                <c:pt idx="316">
                  <c:v>24.234680055519995</c:v>
                </c:pt>
                <c:pt idx="317">
                  <c:v>24.007430907199996</c:v>
                </c:pt>
                <c:pt idx="318">
                  <c:v>23.5671373184</c:v>
                </c:pt>
                <c:pt idx="319">
                  <c:v>23.334756897600002</c:v>
                </c:pt>
                <c:pt idx="320">
                  <c:v>23.10043825599999</c:v>
                </c:pt>
                <c:pt idx="321">
                  <c:v>22.747654222400001</c:v>
                </c:pt>
                <c:pt idx="322">
                  <c:v>22.534032214399993</c:v>
                </c:pt>
                <c:pt idx="323">
                  <c:v>22.417516182399993</c:v>
                </c:pt>
                <c:pt idx="324">
                  <c:v>21.947408524799997</c:v>
                </c:pt>
                <c:pt idx="325">
                  <c:v>21.475323659200001</c:v>
                </c:pt>
                <c:pt idx="326">
                  <c:v>21.216231436799994</c:v>
                </c:pt>
                <c:pt idx="327">
                  <c:v>20.740615444799992</c:v>
                </c:pt>
                <c:pt idx="328">
                  <c:v>20.251019756799991</c:v>
                </c:pt>
                <c:pt idx="329">
                  <c:v>19.63497744</c:v>
                </c:pt>
                <c:pt idx="330">
                  <c:v>19.144351375999996</c:v>
                </c:pt>
                <c:pt idx="331">
                  <c:v>19.026598892799996</c:v>
                </c:pt>
                <c:pt idx="332">
                  <c:v>19.026598892799996</c:v>
                </c:pt>
                <c:pt idx="333">
                  <c:v>19.154332099199998</c:v>
                </c:pt>
                <c:pt idx="334">
                  <c:v>19.408177758399994</c:v>
                </c:pt>
                <c:pt idx="335">
                  <c:v>19.659901399999995</c:v>
                </c:pt>
                <c:pt idx="336">
                  <c:v>20.025562348799994</c:v>
                </c:pt>
                <c:pt idx="337">
                  <c:v>20.149352278399995</c:v>
                </c:pt>
                <c:pt idx="338">
                  <c:v>20.517669926399996</c:v>
                </c:pt>
                <c:pt idx="339">
                  <c:v>21.091110372799996</c:v>
                </c:pt>
                <c:pt idx="340">
                  <c:v>21.180881185600001</c:v>
                </c:pt>
                <c:pt idx="341">
                  <c:v>21.180881185600001</c:v>
                </c:pt>
                <c:pt idx="342">
                  <c:v>21.405001889600001</c:v>
                </c:pt>
                <c:pt idx="343">
                  <c:v>21.510094671999994</c:v>
                </c:pt>
                <c:pt idx="344">
                  <c:v>21.721494409599991</c:v>
                </c:pt>
                <c:pt idx="345">
                  <c:v>21.721494409599991</c:v>
                </c:pt>
                <c:pt idx="346">
                  <c:v>22.067438974399998</c:v>
                </c:pt>
                <c:pt idx="347">
                  <c:v>22.163531283199994</c:v>
                </c:pt>
                <c:pt idx="348">
                  <c:v>22.25962359199999</c:v>
                </c:pt>
                <c:pt idx="349">
                  <c:v>22.371823183999993</c:v>
                </c:pt>
                <c:pt idx="350">
                  <c:v>22.484496191999995</c:v>
                </c:pt>
                <c:pt idx="351">
                  <c:v>22.4786982384</c:v>
                </c:pt>
                <c:pt idx="352">
                  <c:v>22.589605683199991</c:v>
                </c:pt>
                <c:pt idx="353">
                  <c:v>22.225487513599994</c:v>
                </c:pt>
                <c:pt idx="354">
                  <c:v>21.637449145599987</c:v>
                </c:pt>
                <c:pt idx="355">
                  <c:v>21.775998515199994</c:v>
                </c:pt>
                <c:pt idx="356">
                  <c:v>21.898958574399991</c:v>
                </c:pt>
                <c:pt idx="357">
                  <c:v>22.005672110399999</c:v>
                </c:pt>
                <c:pt idx="358">
                  <c:v>22.232432804799991</c:v>
                </c:pt>
                <c:pt idx="359">
                  <c:v>22.472844588799994</c:v>
                </c:pt>
                <c:pt idx="360">
                  <c:v>22.924416617599988</c:v>
                </c:pt>
                <c:pt idx="361">
                  <c:v>23.024858783999989</c:v>
                </c:pt>
                <c:pt idx="362">
                  <c:v>23.162906889599995</c:v>
                </c:pt>
                <c:pt idx="363">
                  <c:v>23.299818796799997</c:v>
                </c:pt>
                <c:pt idx="364">
                  <c:v>23.302174737599998</c:v>
                </c:pt>
                <c:pt idx="365">
                  <c:v>23.168749399999996</c:v>
                </c:pt>
                <c:pt idx="366">
                  <c:v>23.05605968319999</c:v>
                </c:pt>
                <c:pt idx="367">
                  <c:v>23.286730236799997</c:v>
                </c:pt>
                <c:pt idx="368">
                  <c:v>23.628224691199989</c:v>
                </c:pt>
                <c:pt idx="369">
                  <c:v>23.741933644799992</c:v>
                </c:pt>
                <c:pt idx="370">
                  <c:v>23.515523835199993</c:v>
                </c:pt>
                <c:pt idx="371">
                  <c:v>23.306830923199996</c:v>
                </c:pt>
                <c:pt idx="372">
                  <c:v>23.097285862399993</c:v>
                </c:pt>
                <c:pt idx="373">
                  <c:v>22.65660240159999</c:v>
                </c:pt>
                <c:pt idx="374">
                  <c:v>22.444434059199992</c:v>
                </c:pt>
                <c:pt idx="375">
                  <c:v>22.561490342399999</c:v>
                </c:pt>
                <c:pt idx="376">
                  <c:v>22.583156086399995</c:v>
                </c:pt>
                <c:pt idx="377">
                  <c:v>22.466383852799993</c:v>
                </c:pt>
                <c:pt idx="378">
                  <c:v>22.444434059199992</c:v>
                </c:pt>
                <c:pt idx="379">
                  <c:v>22.422389582399994</c:v>
                </c:pt>
                <c:pt idx="380">
                  <c:v>22.444434059199992</c:v>
                </c:pt>
                <c:pt idx="381">
                  <c:v>22.561490342399999</c:v>
                </c:pt>
                <c:pt idx="382">
                  <c:v>22.333225855999999</c:v>
                </c:pt>
                <c:pt idx="383">
                  <c:v>22.222491068800004</c:v>
                </c:pt>
                <c:pt idx="384">
                  <c:v>22.108587179199993</c:v>
                </c:pt>
                <c:pt idx="385">
                  <c:v>22.108587179199993</c:v>
                </c:pt>
                <c:pt idx="386">
                  <c:v>21.994688859200004</c:v>
                </c:pt>
                <c:pt idx="387">
                  <c:v>22.206907327999993</c:v>
                </c:pt>
                <c:pt idx="388">
                  <c:v>22.437171300799996</c:v>
                </c:pt>
                <c:pt idx="389">
                  <c:v>22.531698551999988</c:v>
                </c:pt>
                <c:pt idx="390">
                  <c:v>22.415293911999996</c:v>
                </c:pt>
                <c:pt idx="391">
                  <c:v>22.526212495999992</c:v>
                </c:pt>
                <c:pt idx="392">
                  <c:v>22.754009136000001</c:v>
                </c:pt>
                <c:pt idx="393">
                  <c:v>22.886888652799989</c:v>
                </c:pt>
                <c:pt idx="394">
                  <c:v>22.886888652799989</c:v>
                </c:pt>
                <c:pt idx="395">
                  <c:v>22.886888652799989</c:v>
                </c:pt>
                <c:pt idx="396">
                  <c:v>23.0025692448</c:v>
                </c:pt>
                <c:pt idx="397">
                  <c:v>23.212303671999997</c:v>
                </c:pt>
                <c:pt idx="398">
                  <c:v>23.421185950399995</c:v>
                </c:pt>
                <c:pt idx="399">
                  <c:v>23.85520816959999</c:v>
                </c:pt>
                <c:pt idx="400">
                  <c:v>24.061528431999996</c:v>
                </c:pt>
                <c:pt idx="401">
                  <c:v>24.285731009119992</c:v>
                </c:pt>
                <c:pt idx="402">
                  <c:v>24.192153931679997</c:v>
                </c:pt>
                <c:pt idx="403">
                  <c:v>24.192153931679997</c:v>
                </c:pt>
                <c:pt idx="404">
                  <c:v>24.098577411199997</c:v>
                </c:pt>
                <c:pt idx="405">
                  <c:v>23.892752843199993</c:v>
                </c:pt>
                <c:pt idx="406">
                  <c:v>23.648514744000003</c:v>
                </c:pt>
                <c:pt idx="407">
                  <c:v>23.309131167999993</c:v>
                </c:pt>
                <c:pt idx="408">
                  <c:v>22.968377470399993</c:v>
                </c:pt>
                <c:pt idx="409">
                  <c:v>23.083183635200001</c:v>
                </c:pt>
                <c:pt idx="410">
                  <c:v>23.291486675199991</c:v>
                </c:pt>
                <c:pt idx="411">
                  <c:v>23.178741262399988</c:v>
                </c:pt>
                <c:pt idx="412">
                  <c:v>23.084793249599997</c:v>
                </c:pt>
                <c:pt idx="413">
                  <c:v>22.878088684799998</c:v>
                </c:pt>
                <c:pt idx="414">
                  <c:v>22.671389689599991</c:v>
                </c:pt>
                <c:pt idx="415">
                  <c:v>22.580053819199989</c:v>
                </c:pt>
                <c:pt idx="416">
                  <c:v>22.464690694399998</c:v>
                </c:pt>
                <c:pt idx="417">
                  <c:v>22.23255533599999</c:v>
                </c:pt>
                <c:pt idx="418">
                  <c:v>21.998520743999997</c:v>
                </c:pt>
                <c:pt idx="419">
                  <c:v>21.857682268799998</c:v>
                </c:pt>
                <c:pt idx="420">
                  <c:v>21.715685316799998</c:v>
                </c:pt>
                <c:pt idx="421">
                  <c:v>21.380724003199994</c:v>
                </c:pt>
                <c:pt idx="422">
                  <c:v>21.38585917439999</c:v>
                </c:pt>
                <c:pt idx="423">
                  <c:v>21.390977636799995</c:v>
                </c:pt>
                <c:pt idx="424">
                  <c:v>21.180881185600001</c:v>
                </c:pt>
                <c:pt idx="425">
                  <c:v>21.085379254400003</c:v>
                </c:pt>
                <c:pt idx="426">
                  <c:v>21.079625857599993</c:v>
                </c:pt>
                <c:pt idx="427">
                  <c:v>20.837431801599998</c:v>
                </c:pt>
                <c:pt idx="428">
                  <c:v>20.709013534399986</c:v>
                </c:pt>
                <c:pt idx="429">
                  <c:v>20.463254934399991</c:v>
                </c:pt>
                <c:pt idx="430">
                  <c:v>20.2154244432</c:v>
                </c:pt>
                <c:pt idx="431">
                  <c:v>20.098657779199989</c:v>
                </c:pt>
                <c:pt idx="432">
                  <c:v>20.106561041599988</c:v>
                </c:pt>
                <c:pt idx="433">
                  <c:v>20.23828765119999</c:v>
                </c:pt>
                <c:pt idx="434">
                  <c:v>20.388187865599996</c:v>
                </c:pt>
                <c:pt idx="435">
                  <c:v>20.536846059199995</c:v>
                </c:pt>
                <c:pt idx="436">
                  <c:v>20.779775302399997</c:v>
                </c:pt>
                <c:pt idx="437">
                  <c:v>20.989882892799997</c:v>
                </c:pt>
                <c:pt idx="438">
                  <c:v>21.31983713599999</c:v>
                </c:pt>
                <c:pt idx="439">
                  <c:v>21.529504727999999</c:v>
                </c:pt>
                <c:pt idx="440">
                  <c:v>21.624811723199997</c:v>
                </c:pt>
                <c:pt idx="441">
                  <c:v>21.838662084799999</c:v>
                </c:pt>
                <c:pt idx="442">
                  <c:v>21.93377414399999</c:v>
                </c:pt>
                <c:pt idx="443">
                  <c:v>22.028875064000005</c:v>
                </c:pt>
                <c:pt idx="444">
                  <c:v>21.883491795199994</c:v>
                </c:pt>
                <c:pt idx="445">
                  <c:v>21.736292836799997</c:v>
                </c:pt>
                <c:pt idx="446">
                  <c:v>21.58725034079999</c:v>
                </c:pt>
                <c:pt idx="447">
                  <c:v>21.558193737599993</c:v>
                </c:pt>
                <c:pt idx="448">
                  <c:v>21.77226688319999</c:v>
                </c:pt>
                <c:pt idx="449">
                  <c:v>21.990277735999996</c:v>
                </c:pt>
                <c:pt idx="450">
                  <c:v>22.087378142399992</c:v>
                </c:pt>
                <c:pt idx="451">
                  <c:v>22.184478548799994</c:v>
                </c:pt>
                <c:pt idx="452">
                  <c:v>22.304280644799995</c:v>
                </c:pt>
                <c:pt idx="453">
                  <c:v>22.184478548799994</c:v>
                </c:pt>
                <c:pt idx="454">
                  <c:v>22.064169619199994</c:v>
                </c:pt>
                <c:pt idx="455">
                  <c:v>21.845852438399994</c:v>
                </c:pt>
                <c:pt idx="456">
                  <c:v>21.6266162736</c:v>
                </c:pt>
                <c:pt idx="457">
                  <c:v>21.528903211199996</c:v>
                </c:pt>
                <c:pt idx="458">
                  <c:v>21.553337046399989</c:v>
                </c:pt>
                <c:pt idx="459">
                  <c:v>21.819797849599993</c:v>
                </c:pt>
                <c:pt idx="460">
                  <c:v>22.082944740799995</c:v>
                </c:pt>
                <c:pt idx="461">
                  <c:v>22.342844555199989</c:v>
                </c:pt>
                <c:pt idx="462">
                  <c:v>22.482552401600003</c:v>
                </c:pt>
                <c:pt idx="463">
                  <c:v>22.269587606399995</c:v>
                </c:pt>
                <c:pt idx="464">
                  <c:v>21.936920967999995</c:v>
                </c:pt>
                <c:pt idx="465">
                  <c:v>21.817592288</c:v>
                </c:pt>
                <c:pt idx="466">
                  <c:v>21.817592288</c:v>
                </c:pt>
                <c:pt idx="467">
                  <c:v>21.936920967999995</c:v>
                </c:pt>
                <c:pt idx="468">
                  <c:v>21.936920967999995</c:v>
                </c:pt>
                <c:pt idx="469">
                  <c:v>22.174085675199997</c:v>
                </c:pt>
                <c:pt idx="470">
                  <c:v>22.409317731199991</c:v>
                </c:pt>
                <c:pt idx="471">
                  <c:v>22.526212495999992</c:v>
                </c:pt>
                <c:pt idx="472">
                  <c:v>22.758565068800003</c:v>
                </c:pt>
                <c:pt idx="473">
                  <c:v>22.874039585599995</c:v>
                </c:pt>
                <c:pt idx="474">
                  <c:v>23.103579510399996</c:v>
                </c:pt>
                <c:pt idx="475">
                  <c:v>23.105127859199996</c:v>
                </c:pt>
                <c:pt idx="476">
                  <c:v>22.763093153599996</c:v>
                </c:pt>
                <c:pt idx="477">
                  <c:v>22.418262508799998</c:v>
                </c:pt>
                <c:pt idx="478">
                  <c:v>22.304832035199993</c:v>
                </c:pt>
                <c:pt idx="479">
                  <c:v>22.399359286399992</c:v>
                </c:pt>
                <c:pt idx="480">
                  <c:v>22.399359286399992</c:v>
                </c:pt>
                <c:pt idx="481">
                  <c:v>22.399359286399992</c:v>
                </c:pt>
                <c:pt idx="482">
                  <c:v>22.165536339200003</c:v>
                </c:pt>
                <c:pt idx="483">
                  <c:v>22.047895248000003</c:v>
                </c:pt>
                <c:pt idx="484">
                  <c:v>21.6920924912</c:v>
                </c:pt>
                <c:pt idx="485">
                  <c:v>21.331856332799994</c:v>
                </c:pt>
                <c:pt idx="486">
                  <c:v>21.321268523199997</c:v>
                </c:pt>
                <c:pt idx="487">
                  <c:v>21.199661876799993</c:v>
                </c:pt>
                <c:pt idx="488">
                  <c:v>20.961026795199992</c:v>
                </c:pt>
                <c:pt idx="489">
                  <c:v>20.721394755199995</c:v>
                </c:pt>
                <c:pt idx="490">
                  <c:v>20.838161419199992</c:v>
                </c:pt>
                <c:pt idx="491">
                  <c:v>20.961026795199992</c:v>
                </c:pt>
                <c:pt idx="492">
                  <c:v>21.083385337599999</c:v>
                </c:pt>
                <c:pt idx="493">
                  <c:v>21.077542827199998</c:v>
                </c:pt>
                <c:pt idx="494">
                  <c:v>20.857621601599988</c:v>
                </c:pt>
                <c:pt idx="495">
                  <c:v>20.734277239999997</c:v>
                </c:pt>
                <c:pt idx="496">
                  <c:v>20.610409335999996</c:v>
                </c:pt>
                <c:pt idx="497">
                  <c:v>20.610409335999996</c:v>
                </c:pt>
                <c:pt idx="498">
                  <c:v>20.636770252799991</c:v>
                </c:pt>
                <c:pt idx="499">
                  <c:v>20.663014207999993</c:v>
                </c:pt>
                <c:pt idx="500">
                  <c:v>20.786247177599996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A3-41F8-B1BC-9D93DE8660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169504"/>
        <c:axId val="270175744"/>
      </c:lineChart>
      <c:catAx>
        <c:axId val="270169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175744"/>
        <c:crosses val="autoZero"/>
        <c:auto val="1"/>
        <c:lblAlgn val="ctr"/>
        <c:lblOffset val="100"/>
        <c:noMultiLvlLbl val="0"/>
      </c:catAx>
      <c:valAx>
        <c:axId val="27017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169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'2026-04-17_16-25-21_23_high'!$D$1</c:f>
              <c:strCache>
                <c:ptCount val="1"/>
                <c:pt idx="0">
                  <c:v>pfd_raw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'2026-04-17_16-25-21_23_high'!$A$2:$A$502</c:f>
              <c:numCache>
                <c:formatCode>General</c:formatCode>
                <c:ptCount val="5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numCache>
            </c:numRef>
          </c:cat>
          <c:val>
            <c:numRef>
              <c:f>'2026-04-17_16-25-21_23_high'!$D$2:$D$502</c:f>
              <c:numCache>
                <c:formatCode>General</c:formatCode>
                <c:ptCount val="501"/>
                <c:pt idx="0">
                  <c:v>8017</c:v>
                </c:pt>
                <c:pt idx="1">
                  <c:v>8042</c:v>
                </c:pt>
                <c:pt idx="2">
                  <c:v>8054</c:v>
                </c:pt>
                <c:pt idx="3">
                  <c:v>8048</c:v>
                </c:pt>
                <c:pt idx="4">
                  <c:v>8037</c:v>
                </c:pt>
                <c:pt idx="5">
                  <c:v>8042</c:v>
                </c:pt>
                <c:pt idx="6">
                  <c:v>8023</c:v>
                </c:pt>
                <c:pt idx="7">
                  <c:v>8030</c:v>
                </c:pt>
                <c:pt idx="8">
                  <c:v>8060</c:v>
                </c:pt>
                <c:pt idx="9">
                  <c:v>8030</c:v>
                </c:pt>
                <c:pt idx="10">
                  <c:v>8060</c:v>
                </c:pt>
                <c:pt idx="11">
                  <c:v>8048</c:v>
                </c:pt>
                <c:pt idx="12">
                  <c:v>8048</c:v>
                </c:pt>
                <c:pt idx="13">
                  <c:v>8017</c:v>
                </c:pt>
                <c:pt idx="14">
                  <c:v>8030</c:v>
                </c:pt>
                <c:pt idx="15">
                  <c:v>8048</c:v>
                </c:pt>
                <c:pt idx="16">
                  <c:v>8048</c:v>
                </c:pt>
                <c:pt idx="17">
                  <c:v>8042</c:v>
                </c:pt>
                <c:pt idx="18">
                  <c:v>8054</c:v>
                </c:pt>
                <c:pt idx="19">
                  <c:v>8048</c:v>
                </c:pt>
                <c:pt idx="20">
                  <c:v>8030</c:v>
                </c:pt>
                <c:pt idx="21">
                  <c:v>8048</c:v>
                </c:pt>
                <c:pt idx="22">
                  <c:v>8037</c:v>
                </c:pt>
                <c:pt idx="23">
                  <c:v>8042</c:v>
                </c:pt>
                <c:pt idx="24">
                  <c:v>8042</c:v>
                </c:pt>
                <c:pt idx="25">
                  <c:v>8030</c:v>
                </c:pt>
                <c:pt idx="26">
                  <c:v>8048</c:v>
                </c:pt>
                <c:pt idx="27">
                  <c:v>8048</c:v>
                </c:pt>
                <c:pt idx="28">
                  <c:v>8037</c:v>
                </c:pt>
                <c:pt idx="29">
                  <c:v>8037</c:v>
                </c:pt>
                <c:pt idx="30">
                  <c:v>8037</c:v>
                </c:pt>
                <c:pt idx="31">
                  <c:v>8048</c:v>
                </c:pt>
                <c:pt idx="32">
                  <c:v>8037</c:v>
                </c:pt>
                <c:pt idx="33">
                  <c:v>8048</c:v>
                </c:pt>
                <c:pt idx="34">
                  <c:v>8017</c:v>
                </c:pt>
                <c:pt idx="35">
                  <c:v>8017</c:v>
                </c:pt>
                <c:pt idx="36">
                  <c:v>8042</c:v>
                </c:pt>
                <c:pt idx="37">
                  <c:v>8037</c:v>
                </c:pt>
                <c:pt idx="38">
                  <c:v>8023</c:v>
                </c:pt>
                <c:pt idx="39">
                  <c:v>8037</c:v>
                </c:pt>
                <c:pt idx="40">
                  <c:v>8042</c:v>
                </c:pt>
                <c:pt idx="41">
                  <c:v>8023</c:v>
                </c:pt>
                <c:pt idx="42">
                  <c:v>8037</c:v>
                </c:pt>
                <c:pt idx="43">
                  <c:v>8071</c:v>
                </c:pt>
                <c:pt idx="44">
                  <c:v>8037</c:v>
                </c:pt>
                <c:pt idx="45">
                  <c:v>8037</c:v>
                </c:pt>
                <c:pt idx="46">
                  <c:v>8042</c:v>
                </c:pt>
                <c:pt idx="47">
                  <c:v>8065</c:v>
                </c:pt>
                <c:pt idx="48">
                  <c:v>8054</c:v>
                </c:pt>
                <c:pt idx="49">
                  <c:v>8037</c:v>
                </c:pt>
                <c:pt idx="50">
                  <c:v>8030</c:v>
                </c:pt>
                <c:pt idx="51">
                  <c:v>8054</c:v>
                </c:pt>
                <c:pt idx="52">
                  <c:v>8054</c:v>
                </c:pt>
                <c:pt idx="53">
                  <c:v>8037</c:v>
                </c:pt>
                <c:pt idx="54">
                  <c:v>8037</c:v>
                </c:pt>
                <c:pt idx="55">
                  <c:v>8037</c:v>
                </c:pt>
                <c:pt idx="56">
                  <c:v>8048</c:v>
                </c:pt>
                <c:pt idx="57">
                  <c:v>8054</c:v>
                </c:pt>
                <c:pt idx="58">
                  <c:v>8037</c:v>
                </c:pt>
                <c:pt idx="59">
                  <c:v>8042</c:v>
                </c:pt>
                <c:pt idx="60">
                  <c:v>8030</c:v>
                </c:pt>
                <c:pt idx="61">
                  <c:v>8060</c:v>
                </c:pt>
                <c:pt idx="62">
                  <c:v>8042</c:v>
                </c:pt>
                <c:pt idx="63">
                  <c:v>8017</c:v>
                </c:pt>
                <c:pt idx="64">
                  <c:v>8037</c:v>
                </c:pt>
                <c:pt idx="65">
                  <c:v>8030</c:v>
                </c:pt>
                <c:pt idx="66">
                  <c:v>8030</c:v>
                </c:pt>
                <c:pt idx="67">
                  <c:v>8030</c:v>
                </c:pt>
                <c:pt idx="68">
                  <c:v>8023</c:v>
                </c:pt>
                <c:pt idx="69">
                  <c:v>8042</c:v>
                </c:pt>
                <c:pt idx="70">
                  <c:v>8030</c:v>
                </c:pt>
                <c:pt idx="71">
                  <c:v>8023</c:v>
                </c:pt>
                <c:pt idx="72">
                  <c:v>8048</c:v>
                </c:pt>
                <c:pt idx="73">
                  <c:v>8042</c:v>
                </c:pt>
                <c:pt idx="74">
                  <c:v>8030</c:v>
                </c:pt>
                <c:pt idx="75">
                  <c:v>8030</c:v>
                </c:pt>
                <c:pt idx="76">
                  <c:v>8037</c:v>
                </c:pt>
                <c:pt idx="77">
                  <c:v>8054</c:v>
                </c:pt>
                <c:pt idx="78">
                  <c:v>8054</c:v>
                </c:pt>
                <c:pt idx="79">
                  <c:v>8048</c:v>
                </c:pt>
                <c:pt idx="80">
                  <c:v>8054</c:v>
                </c:pt>
                <c:pt idx="81">
                  <c:v>8054</c:v>
                </c:pt>
                <c:pt idx="82">
                  <c:v>8037</c:v>
                </c:pt>
                <c:pt idx="83">
                  <c:v>8037</c:v>
                </c:pt>
                <c:pt idx="84">
                  <c:v>8042</c:v>
                </c:pt>
                <c:pt idx="85">
                  <c:v>8054</c:v>
                </c:pt>
                <c:pt idx="86">
                  <c:v>8060</c:v>
                </c:pt>
                <c:pt idx="87">
                  <c:v>8042</c:v>
                </c:pt>
                <c:pt idx="88">
                  <c:v>8054</c:v>
                </c:pt>
                <c:pt idx="89">
                  <c:v>8048</c:v>
                </c:pt>
                <c:pt idx="90">
                  <c:v>8048</c:v>
                </c:pt>
                <c:pt idx="91">
                  <c:v>8054</c:v>
                </c:pt>
                <c:pt idx="92">
                  <c:v>8030</c:v>
                </c:pt>
                <c:pt idx="93">
                  <c:v>8048</c:v>
                </c:pt>
                <c:pt idx="94">
                  <c:v>8042</c:v>
                </c:pt>
                <c:pt idx="95">
                  <c:v>8037</c:v>
                </c:pt>
                <c:pt idx="96">
                  <c:v>8042</c:v>
                </c:pt>
                <c:pt idx="97">
                  <c:v>8042</c:v>
                </c:pt>
                <c:pt idx="98">
                  <c:v>8023</c:v>
                </c:pt>
                <c:pt idx="99">
                  <c:v>8023</c:v>
                </c:pt>
                <c:pt idx="100">
                  <c:v>8042</c:v>
                </c:pt>
                <c:pt idx="101">
                  <c:v>8023</c:v>
                </c:pt>
                <c:pt idx="102">
                  <c:v>8042</c:v>
                </c:pt>
                <c:pt idx="103">
                  <c:v>8048</c:v>
                </c:pt>
                <c:pt idx="104">
                  <c:v>8030</c:v>
                </c:pt>
                <c:pt idx="105">
                  <c:v>8054</c:v>
                </c:pt>
                <c:pt idx="106">
                  <c:v>8030</c:v>
                </c:pt>
                <c:pt idx="107">
                  <c:v>8048</c:v>
                </c:pt>
                <c:pt idx="108">
                  <c:v>8048</c:v>
                </c:pt>
                <c:pt idx="109">
                  <c:v>8030</c:v>
                </c:pt>
                <c:pt idx="110">
                  <c:v>8048</c:v>
                </c:pt>
                <c:pt idx="111">
                  <c:v>8037</c:v>
                </c:pt>
                <c:pt idx="112">
                  <c:v>8037</c:v>
                </c:pt>
                <c:pt idx="113">
                  <c:v>8048</c:v>
                </c:pt>
                <c:pt idx="114">
                  <c:v>8037</c:v>
                </c:pt>
                <c:pt idx="115">
                  <c:v>8042</c:v>
                </c:pt>
                <c:pt idx="116">
                  <c:v>8042</c:v>
                </c:pt>
                <c:pt idx="117">
                  <c:v>8037</c:v>
                </c:pt>
                <c:pt idx="118">
                  <c:v>8054</c:v>
                </c:pt>
                <c:pt idx="119">
                  <c:v>8017</c:v>
                </c:pt>
                <c:pt idx="120">
                  <c:v>8030</c:v>
                </c:pt>
                <c:pt idx="121">
                  <c:v>8048</c:v>
                </c:pt>
                <c:pt idx="122">
                  <c:v>8030</c:v>
                </c:pt>
                <c:pt idx="123">
                  <c:v>8037</c:v>
                </c:pt>
                <c:pt idx="124">
                  <c:v>8037</c:v>
                </c:pt>
                <c:pt idx="125">
                  <c:v>8048</c:v>
                </c:pt>
                <c:pt idx="126">
                  <c:v>8037</c:v>
                </c:pt>
                <c:pt idx="127">
                  <c:v>8065</c:v>
                </c:pt>
                <c:pt idx="128">
                  <c:v>8037</c:v>
                </c:pt>
                <c:pt idx="129">
                  <c:v>8023</c:v>
                </c:pt>
                <c:pt idx="130">
                  <c:v>8030</c:v>
                </c:pt>
                <c:pt idx="131">
                  <c:v>8065</c:v>
                </c:pt>
                <c:pt idx="132">
                  <c:v>8048</c:v>
                </c:pt>
                <c:pt idx="133">
                  <c:v>8048</c:v>
                </c:pt>
                <c:pt idx="134">
                  <c:v>8054</c:v>
                </c:pt>
                <c:pt idx="135">
                  <c:v>8037</c:v>
                </c:pt>
                <c:pt idx="136">
                  <c:v>8042</c:v>
                </c:pt>
                <c:pt idx="137">
                  <c:v>8054</c:v>
                </c:pt>
                <c:pt idx="138">
                  <c:v>8042</c:v>
                </c:pt>
                <c:pt idx="139">
                  <c:v>8065</c:v>
                </c:pt>
                <c:pt idx="140">
                  <c:v>8060</c:v>
                </c:pt>
                <c:pt idx="141">
                  <c:v>8042</c:v>
                </c:pt>
                <c:pt idx="142">
                  <c:v>8042</c:v>
                </c:pt>
                <c:pt idx="143">
                  <c:v>8042</c:v>
                </c:pt>
                <c:pt idx="144">
                  <c:v>8023</c:v>
                </c:pt>
                <c:pt idx="145">
                  <c:v>8054</c:v>
                </c:pt>
                <c:pt idx="146">
                  <c:v>8060</c:v>
                </c:pt>
                <c:pt idx="147">
                  <c:v>8042</c:v>
                </c:pt>
                <c:pt idx="148">
                  <c:v>8048</c:v>
                </c:pt>
                <c:pt idx="149">
                  <c:v>8023</c:v>
                </c:pt>
                <c:pt idx="150">
                  <c:v>8030</c:v>
                </c:pt>
                <c:pt idx="151">
                  <c:v>8048</c:v>
                </c:pt>
                <c:pt idx="152">
                  <c:v>8048</c:v>
                </c:pt>
                <c:pt idx="153">
                  <c:v>8037</c:v>
                </c:pt>
                <c:pt idx="154">
                  <c:v>8048</c:v>
                </c:pt>
                <c:pt idx="155">
                  <c:v>8060</c:v>
                </c:pt>
                <c:pt idx="156">
                  <c:v>8042</c:v>
                </c:pt>
                <c:pt idx="157">
                  <c:v>8023</c:v>
                </c:pt>
                <c:pt idx="158">
                  <c:v>8042</c:v>
                </c:pt>
                <c:pt idx="159">
                  <c:v>8030</c:v>
                </c:pt>
                <c:pt idx="160">
                  <c:v>8037</c:v>
                </c:pt>
                <c:pt idx="161">
                  <c:v>8023</c:v>
                </c:pt>
                <c:pt idx="162">
                  <c:v>8042</c:v>
                </c:pt>
                <c:pt idx="163">
                  <c:v>8023</c:v>
                </c:pt>
                <c:pt idx="164">
                  <c:v>8037</c:v>
                </c:pt>
                <c:pt idx="165">
                  <c:v>8030</c:v>
                </c:pt>
                <c:pt idx="166">
                  <c:v>8030</c:v>
                </c:pt>
                <c:pt idx="167">
                  <c:v>8042</c:v>
                </c:pt>
                <c:pt idx="168">
                  <c:v>8060</c:v>
                </c:pt>
                <c:pt idx="169">
                  <c:v>8030</c:v>
                </c:pt>
                <c:pt idx="170">
                  <c:v>8042</c:v>
                </c:pt>
                <c:pt idx="171">
                  <c:v>8037</c:v>
                </c:pt>
                <c:pt idx="172">
                  <c:v>8037</c:v>
                </c:pt>
                <c:pt idx="173">
                  <c:v>8023</c:v>
                </c:pt>
                <c:pt idx="174">
                  <c:v>8037</c:v>
                </c:pt>
                <c:pt idx="175">
                  <c:v>8030</c:v>
                </c:pt>
                <c:pt idx="176">
                  <c:v>8030</c:v>
                </c:pt>
                <c:pt idx="177">
                  <c:v>8054</c:v>
                </c:pt>
                <c:pt idx="178">
                  <c:v>8048</c:v>
                </c:pt>
                <c:pt idx="179">
                  <c:v>8042</c:v>
                </c:pt>
                <c:pt idx="180">
                  <c:v>8023</c:v>
                </c:pt>
                <c:pt idx="181">
                  <c:v>8054</c:v>
                </c:pt>
                <c:pt idx="182">
                  <c:v>8023</c:v>
                </c:pt>
                <c:pt idx="183">
                  <c:v>8037</c:v>
                </c:pt>
                <c:pt idx="184">
                  <c:v>8054</c:v>
                </c:pt>
                <c:pt idx="185">
                  <c:v>8030</c:v>
                </c:pt>
                <c:pt idx="186">
                  <c:v>8030</c:v>
                </c:pt>
                <c:pt idx="187">
                  <c:v>8048</c:v>
                </c:pt>
                <c:pt idx="188">
                  <c:v>8048</c:v>
                </c:pt>
                <c:pt idx="189">
                  <c:v>8037</c:v>
                </c:pt>
                <c:pt idx="190">
                  <c:v>8042</c:v>
                </c:pt>
                <c:pt idx="191">
                  <c:v>8042</c:v>
                </c:pt>
                <c:pt idx="192">
                  <c:v>8037</c:v>
                </c:pt>
                <c:pt idx="193">
                  <c:v>8042</c:v>
                </c:pt>
                <c:pt idx="194">
                  <c:v>8023</c:v>
                </c:pt>
                <c:pt idx="195">
                  <c:v>8042</c:v>
                </c:pt>
                <c:pt idx="196">
                  <c:v>8048</c:v>
                </c:pt>
                <c:pt idx="197">
                  <c:v>8030</c:v>
                </c:pt>
                <c:pt idx="198">
                  <c:v>8030</c:v>
                </c:pt>
                <c:pt idx="199">
                  <c:v>8048</c:v>
                </c:pt>
                <c:pt idx="200">
                  <c:v>8023</c:v>
                </c:pt>
                <c:pt idx="201">
                  <c:v>8048</c:v>
                </c:pt>
                <c:pt idx="202">
                  <c:v>8048</c:v>
                </c:pt>
                <c:pt idx="203">
                  <c:v>8023</c:v>
                </c:pt>
                <c:pt idx="204">
                  <c:v>8017</c:v>
                </c:pt>
                <c:pt idx="205">
                  <c:v>8037</c:v>
                </c:pt>
                <c:pt idx="206">
                  <c:v>8030</c:v>
                </c:pt>
                <c:pt idx="207">
                  <c:v>8042</c:v>
                </c:pt>
                <c:pt idx="208">
                  <c:v>8042</c:v>
                </c:pt>
                <c:pt idx="209">
                  <c:v>8054</c:v>
                </c:pt>
                <c:pt idx="210">
                  <c:v>8042</c:v>
                </c:pt>
                <c:pt idx="211">
                  <c:v>8048</c:v>
                </c:pt>
                <c:pt idx="212">
                  <c:v>8048</c:v>
                </c:pt>
                <c:pt idx="213">
                  <c:v>8037</c:v>
                </c:pt>
                <c:pt idx="214">
                  <c:v>8048</c:v>
                </c:pt>
                <c:pt idx="215">
                  <c:v>8054</c:v>
                </c:pt>
                <c:pt idx="216">
                  <c:v>8023</c:v>
                </c:pt>
                <c:pt idx="217">
                  <c:v>8048</c:v>
                </c:pt>
                <c:pt idx="218">
                  <c:v>8037</c:v>
                </c:pt>
                <c:pt idx="219">
                  <c:v>8037</c:v>
                </c:pt>
                <c:pt idx="220">
                  <c:v>8048</c:v>
                </c:pt>
                <c:pt idx="221">
                  <c:v>8030</c:v>
                </c:pt>
                <c:pt idx="222">
                  <c:v>8042</c:v>
                </c:pt>
                <c:pt idx="223">
                  <c:v>8060</c:v>
                </c:pt>
                <c:pt idx="224">
                  <c:v>8037</c:v>
                </c:pt>
                <c:pt idx="225">
                  <c:v>8030</c:v>
                </c:pt>
                <c:pt idx="226">
                  <c:v>8017</c:v>
                </c:pt>
                <c:pt idx="227">
                  <c:v>8048</c:v>
                </c:pt>
                <c:pt idx="228">
                  <c:v>8054</c:v>
                </c:pt>
                <c:pt idx="229">
                  <c:v>8030</c:v>
                </c:pt>
                <c:pt idx="230">
                  <c:v>8048</c:v>
                </c:pt>
                <c:pt idx="231">
                  <c:v>8042</c:v>
                </c:pt>
                <c:pt idx="232">
                  <c:v>8042</c:v>
                </c:pt>
                <c:pt idx="233">
                  <c:v>8042</c:v>
                </c:pt>
                <c:pt idx="234">
                  <c:v>8037</c:v>
                </c:pt>
                <c:pt idx="235">
                  <c:v>8042</c:v>
                </c:pt>
                <c:pt idx="236">
                  <c:v>8054</c:v>
                </c:pt>
                <c:pt idx="237">
                  <c:v>8023</c:v>
                </c:pt>
                <c:pt idx="238">
                  <c:v>8048</c:v>
                </c:pt>
                <c:pt idx="239">
                  <c:v>8037</c:v>
                </c:pt>
                <c:pt idx="240">
                  <c:v>8037</c:v>
                </c:pt>
                <c:pt idx="241">
                  <c:v>8054</c:v>
                </c:pt>
                <c:pt idx="242">
                  <c:v>8037</c:v>
                </c:pt>
                <c:pt idx="243">
                  <c:v>8030</c:v>
                </c:pt>
                <c:pt idx="244">
                  <c:v>8037</c:v>
                </c:pt>
                <c:pt idx="245">
                  <c:v>8054</c:v>
                </c:pt>
                <c:pt idx="246">
                  <c:v>8042</c:v>
                </c:pt>
                <c:pt idx="247">
                  <c:v>8037</c:v>
                </c:pt>
                <c:pt idx="248">
                  <c:v>8054</c:v>
                </c:pt>
                <c:pt idx="249">
                  <c:v>8037</c:v>
                </c:pt>
                <c:pt idx="250">
                  <c:v>8037</c:v>
                </c:pt>
                <c:pt idx="251">
                  <c:v>8054</c:v>
                </c:pt>
                <c:pt idx="252">
                  <c:v>8042</c:v>
                </c:pt>
                <c:pt idx="253">
                  <c:v>8030</c:v>
                </c:pt>
                <c:pt idx="254">
                  <c:v>8048</c:v>
                </c:pt>
                <c:pt idx="255">
                  <c:v>8037</c:v>
                </c:pt>
                <c:pt idx="256">
                  <c:v>8042</c:v>
                </c:pt>
                <c:pt idx="257">
                  <c:v>8060</c:v>
                </c:pt>
                <c:pt idx="258">
                  <c:v>8060</c:v>
                </c:pt>
                <c:pt idx="259">
                  <c:v>8037</c:v>
                </c:pt>
                <c:pt idx="260">
                  <c:v>8054</c:v>
                </c:pt>
                <c:pt idx="261">
                  <c:v>8060</c:v>
                </c:pt>
                <c:pt idx="262">
                  <c:v>8071</c:v>
                </c:pt>
                <c:pt idx="263">
                  <c:v>8054</c:v>
                </c:pt>
                <c:pt idx="264">
                  <c:v>8030</c:v>
                </c:pt>
                <c:pt idx="265">
                  <c:v>8042</c:v>
                </c:pt>
                <c:pt idx="266">
                  <c:v>8048</c:v>
                </c:pt>
                <c:pt idx="267">
                  <c:v>8023</c:v>
                </c:pt>
                <c:pt idx="268">
                  <c:v>8042</c:v>
                </c:pt>
                <c:pt idx="269">
                  <c:v>8054</c:v>
                </c:pt>
                <c:pt idx="270">
                  <c:v>8030</c:v>
                </c:pt>
                <c:pt idx="271">
                  <c:v>8023</c:v>
                </c:pt>
                <c:pt idx="272">
                  <c:v>8048</c:v>
                </c:pt>
                <c:pt idx="273">
                  <c:v>8017</c:v>
                </c:pt>
                <c:pt idx="274">
                  <c:v>8042</c:v>
                </c:pt>
                <c:pt idx="275">
                  <c:v>8037</c:v>
                </c:pt>
                <c:pt idx="276">
                  <c:v>8042</c:v>
                </c:pt>
                <c:pt idx="277">
                  <c:v>8030</c:v>
                </c:pt>
                <c:pt idx="278">
                  <c:v>8042</c:v>
                </c:pt>
                <c:pt idx="279">
                  <c:v>8030</c:v>
                </c:pt>
                <c:pt idx="280">
                  <c:v>8042</c:v>
                </c:pt>
                <c:pt idx="281">
                  <c:v>8042</c:v>
                </c:pt>
                <c:pt idx="282">
                  <c:v>8042</c:v>
                </c:pt>
                <c:pt idx="283">
                  <c:v>8023</c:v>
                </c:pt>
                <c:pt idx="284">
                  <c:v>8048</c:v>
                </c:pt>
                <c:pt idx="285">
                  <c:v>8054</c:v>
                </c:pt>
                <c:pt idx="286">
                  <c:v>8060</c:v>
                </c:pt>
                <c:pt idx="287">
                  <c:v>8042</c:v>
                </c:pt>
                <c:pt idx="288">
                  <c:v>8048</c:v>
                </c:pt>
                <c:pt idx="289">
                  <c:v>8037</c:v>
                </c:pt>
                <c:pt idx="290">
                  <c:v>8023</c:v>
                </c:pt>
                <c:pt idx="291">
                  <c:v>8048</c:v>
                </c:pt>
                <c:pt idx="292">
                  <c:v>8037</c:v>
                </c:pt>
                <c:pt idx="293">
                  <c:v>8048</c:v>
                </c:pt>
                <c:pt idx="294">
                  <c:v>8054</c:v>
                </c:pt>
                <c:pt idx="295">
                  <c:v>8037</c:v>
                </c:pt>
                <c:pt idx="296">
                  <c:v>8042</c:v>
                </c:pt>
                <c:pt idx="297">
                  <c:v>8054</c:v>
                </c:pt>
                <c:pt idx="298">
                  <c:v>8048</c:v>
                </c:pt>
                <c:pt idx="299">
                  <c:v>8037</c:v>
                </c:pt>
                <c:pt idx="300">
                  <c:v>8037</c:v>
                </c:pt>
                <c:pt idx="301">
                  <c:v>8042</c:v>
                </c:pt>
                <c:pt idx="302">
                  <c:v>8048</c:v>
                </c:pt>
                <c:pt idx="303">
                  <c:v>8037</c:v>
                </c:pt>
                <c:pt idx="304">
                  <c:v>8042</c:v>
                </c:pt>
                <c:pt idx="305">
                  <c:v>8042</c:v>
                </c:pt>
                <c:pt idx="306">
                  <c:v>8023</c:v>
                </c:pt>
                <c:pt idx="307">
                  <c:v>8017</c:v>
                </c:pt>
                <c:pt idx="308">
                  <c:v>8042</c:v>
                </c:pt>
                <c:pt idx="309">
                  <c:v>8030</c:v>
                </c:pt>
                <c:pt idx="310">
                  <c:v>8030</c:v>
                </c:pt>
                <c:pt idx="311">
                  <c:v>8023</c:v>
                </c:pt>
                <c:pt idx="312">
                  <c:v>8023</c:v>
                </c:pt>
                <c:pt idx="313">
                  <c:v>8017</c:v>
                </c:pt>
                <c:pt idx="314">
                  <c:v>8042</c:v>
                </c:pt>
                <c:pt idx="315">
                  <c:v>8042</c:v>
                </c:pt>
                <c:pt idx="316">
                  <c:v>8042</c:v>
                </c:pt>
                <c:pt idx="317">
                  <c:v>8042</c:v>
                </c:pt>
                <c:pt idx="318">
                  <c:v>8042</c:v>
                </c:pt>
                <c:pt idx="319">
                  <c:v>8054</c:v>
                </c:pt>
                <c:pt idx="320">
                  <c:v>8048</c:v>
                </c:pt>
                <c:pt idx="321">
                  <c:v>8048</c:v>
                </c:pt>
                <c:pt idx="322">
                  <c:v>8037</c:v>
                </c:pt>
                <c:pt idx="323">
                  <c:v>8023</c:v>
                </c:pt>
                <c:pt idx="324">
                  <c:v>8054</c:v>
                </c:pt>
                <c:pt idx="325">
                  <c:v>8054</c:v>
                </c:pt>
                <c:pt idx="326">
                  <c:v>8037</c:v>
                </c:pt>
                <c:pt idx="327">
                  <c:v>8048</c:v>
                </c:pt>
                <c:pt idx="328">
                  <c:v>8023</c:v>
                </c:pt>
                <c:pt idx="329">
                  <c:v>8048</c:v>
                </c:pt>
                <c:pt idx="330">
                  <c:v>8048</c:v>
                </c:pt>
                <c:pt idx="331">
                  <c:v>8042</c:v>
                </c:pt>
                <c:pt idx="332">
                  <c:v>8037</c:v>
                </c:pt>
                <c:pt idx="333">
                  <c:v>8042</c:v>
                </c:pt>
                <c:pt idx="334">
                  <c:v>8048</c:v>
                </c:pt>
                <c:pt idx="335">
                  <c:v>8037</c:v>
                </c:pt>
                <c:pt idx="336">
                  <c:v>8048</c:v>
                </c:pt>
                <c:pt idx="337">
                  <c:v>8060</c:v>
                </c:pt>
                <c:pt idx="338">
                  <c:v>8030</c:v>
                </c:pt>
                <c:pt idx="339">
                  <c:v>8023</c:v>
                </c:pt>
                <c:pt idx="340">
                  <c:v>8037</c:v>
                </c:pt>
                <c:pt idx="341">
                  <c:v>8054</c:v>
                </c:pt>
                <c:pt idx="342">
                  <c:v>8030</c:v>
                </c:pt>
                <c:pt idx="343">
                  <c:v>8023</c:v>
                </c:pt>
                <c:pt idx="344">
                  <c:v>8048</c:v>
                </c:pt>
                <c:pt idx="345">
                  <c:v>8060</c:v>
                </c:pt>
                <c:pt idx="346">
                  <c:v>8017</c:v>
                </c:pt>
                <c:pt idx="347">
                  <c:v>8037</c:v>
                </c:pt>
                <c:pt idx="348">
                  <c:v>8030</c:v>
                </c:pt>
                <c:pt idx="349">
                  <c:v>8023</c:v>
                </c:pt>
                <c:pt idx="350">
                  <c:v>8054</c:v>
                </c:pt>
                <c:pt idx="351">
                  <c:v>8030</c:v>
                </c:pt>
                <c:pt idx="352">
                  <c:v>8042</c:v>
                </c:pt>
                <c:pt idx="353">
                  <c:v>8048</c:v>
                </c:pt>
                <c:pt idx="354">
                  <c:v>8030</c:v>
                </c:pt>
                <c:pt idx="355">
                  <c:v>8023</c:v>
                </c:pt>
                <c:pt idx="356">
                  <c:v>8037</c:v>
                </c:pt>
                <c:pt idx="357">
                  <c:v>8037</c:v>
                </c:pt>
                <c:pt idx="358">
                  <c:v>8037</c:v>
                </c:pt>
                <c:pt idx="359">
                  <c:v>8042</c:v>
                </c:pt>
                <c:pt idx="360">
                  <c:v>8042</c:v>
                </c:pt>
                <c:pt idx="361">
                  <c:v>8037</c:v>
                </c:pt>
                <c:pt idx="362">
                  <c:v>8060</c:v>
                </c:pt>
                <c:pt idx="363">
                  <c:v>8048</c:v>
                </c:pt>
                <c:pt idx="364">
                  <c:v>8017</c:v>
                </c:pt>
                <c:pt idx="365">
                  <c:v>8030</c:v>
                </c:pt>
                <c:pt idx="366">
                  <c:v>8042</c:v>
                </c:pt>
                <c:pt idx="367">
                  <c:v>8030</c:v>
                </c:pt>
                <c:pt idx="368">
                  <c:v>8042</c:v>
                </c:pt>
                <c:pt idx="369">
                  <c:v>8048</c:v>
                </c:pt>
                <c:pt idx="370">
                  <c:v>8042</c:v>
                </c:pt>
                <c:pt idx="371">
                  <c:v>8030</c:v>
                </c:pt>
                <c:pt idx="372">
                  <c:v>8048</c:v>
                </c:pt>
                <c:pt idx="373">
                  <c:v>8048</c:v>
                </c:pt>
                <c:pt idx="374">
                  <c:v>8037</c:v>
                </c:pt>
                <c:pt idx="375">
                  <c:v>8023</c:v>
                </c:pt>
                <c:pt idx="376">
                  <c:v>8042</c:v>
                </c:pt>
                <c:pt idx="377">
                  <c:v>8042</c:v>
                </c:pt>
                <c:pt idx="378">
                  <c:v>8037</c:v>
                </c:pt>
                <c:pt idx="379">
                  <c:v>8030</c:v>
                </c:pt>
                <c:pt idx="380">
                  <c:v>8054</c:v>
                </c:pt>
                <c:pt idx="381">
                  <c:v>8042</c:v>
                </c:pt>
                <c:pt idx="382">
                  <c:v>8054</c:v>
                </c:pt>
                <c:pt idx="383">
                  <c:v>8030</c:v>
                </c:pt>
                <c:pt idx="384">
                  <c:v>8048</c:v>
                </c:pt>
                <c:pt idx="385">
                  <c:v>8037</c:v>
                </c:pt>
                <c:pt idx="386">
                  <c:v>8048</c:v>
                </c:pt>
                <c:pt idx="387">
                  <c:v>8037</c:v>
                </c:pt>
                <c:pt idx="388">
                  <c:v>8042</c:v>
                </c:pt>
                <c:pt idx="389">
                  <c:v>8030</c:v>
                </c:pt>
                <c:pt idx="390">
                  <c:v>8030</c:v>
                </c:pt>
                <c:pt idx="391">
                  <c:v>8030</c:v>
                </c:pt>
                <c:pt idx="392">
                  <c:v>8048</c:v>
                </c:pt>
                <c:pt idx="393">
                  <c:v>8060</c:v>
                </c:pt>
                <c:pt idx="394">
                  <c:v>8037</c:v>
                </c:pt>
                <c:pt idx="395">
                  <c:v>8042</c:v>
                </c:pt>
                <c:pt idx="396">
                  <c:v>8037</c:v>
                </c:pt>
                <c:pt idx="397">
                  <c:v>8030</c:v>
                </c:pt>
                <c:pt idx="398">
                  <c:v>8030</c:v>
                </c:pt>
                <c:pt idx="399">
                  <c:v>8042</c:v>
                </c:pt>
                <c:pt idx="400">
                  <c:v>8054</c:v>
                </c:pt>
                <c:pt idx="401">
                  <c:v>8060</c:v>
                </c:pt>
                <c:pt idx="402">
                  <c:v>8030</c:v>
                </c:pt>
                <c:pt idx="403">
                  <c:v>8037</c:v>
                </c:pt>
                <c:pt idx="404">
                  <c:v>8042</c:v>
                </c:pt>
                <c:pt idx="405">
                  <c:v>8054</c:v>
                </c:pt>
                <c:pt idx="406">
                  <c:v>8030</c:v>
                </c:pt>
                <c:pt idx="407">
                  <c:v>8048</c:v>
                </c:pt>
                <c:pt idx="408">
                  <c:v>8037</c:v>
                </c:pt>
                <c:pt idx="409">
                  <c:v>8023</c:v>
                </c:pt>
                <c:pt idx="410">
                  <c:v>8048</c:v>
                </c:pt>
                <c:pt idx="411">
                  <c:v>8054</c:v>
                </c:pt>
                <c:pt idx="412">
                  <c:v>8042</c:v>
                </c:pt>
                <c:pt idx="413">
                  <c:v>8048</c:v>
                </c:pt>
                <c:pt idx="414">
                  <c:v>8048</c:v>
                </c:pt>
                <c:pt idx="415">
                  <c:v>8042</c:v>
                </c:pt>
                <c:pt idx="416">
                  <c:v>8030</c:v>
                </c:pt>
                <c:pt idx="417">
                  <c:v>8042</c:v>
                </c:pt>
                <c:pt idx="418">
                  <c:v>8023</c:v>
                </c:pt>
                <c:pt idx="419">
                  <c:v>8037</c:v>
                </c:pt>
                <c:pt idx="420">
                  <c:v>8048</c:v>
                </c:pt>
                <c:pt idx="421">
                  <c:v>8048</c:v>
                </c:pt>
                <c:pt idx="422">
                  <c:v>8048</c:v>
                </c:pt>
                <c:pt idx="423">
                  <c:v>8042</c:v>
                </c:pt>
                <c:pt idx="424">
                  <c:v>8037</c:v>
                </c:pt>
                <c:pt idx="425">
                  <c:v>8030</c:v>
                </c:pt>
                <c:pt idx="426">
                  <c:v>8060</c:v>
                </c:pt>
                <c:pt idx="427">
                  <c:v>8042</c:v>
                </c:pt>
                <c:pt idx="428">
                  <c:v>8048</c:v>
                </c:pt>
                <c:pt idx="429">
                  <c:v>8048</c:v>
                </c:pt>
                <c:pt idx="430">
                  <c:v>8048</c:v>
                </c:pt>
                <c:pt idx="431">
                  <c:v>8023</c:v>
                </c:pt>
                <c:pt idx="432">
                  <c:v>8048</c:v>
                </c:pt>
                <c:pt idx="433">
                  <c:v>8042</c:v>
                </c:pt>
                <c:pt idx="434">
                  <c:v>8042</c:v>
                </c:pt>
                <c:pt idx="435">
                  <c:v>8037</c:v>
                </c:pt>
                <c:pt idx="436">
                  <c:v>8030</c:v>
                </c:pt>
                <c:pt idx="437">
                  <c:v>8030</c:v>
                </c:pt>
                <c:pt idx="438">
                  <c:v>8054</c:v>
                </c:pt>
                <c:pt idx="439">
                  <c:v>8037</c:v>
                </c:pt>
                <c:pt idx="440">
                  <c:v>8048</c:v>
                </c:pt>
                <c:pt idx="441">
                  <c:v>8017</c:v>
                </c:pt>
                <c:pt idx="442">
                  <c:v>8037</c:v>
                </c:pt>
                <c:pt idx="443">
                  <c:v>8037</c:v>
                </c:pt>
                <c:pt idx="444">
                  <c:v>8037</c:v>
                </c:pt>
                <c:pt idx="445">
                  <c:v>8042</c:v>
                </c:pt>
                <c:pt idx="446">
                  <c:v>8023</c:v>
                </c:pt>
                <c:pt idx="447">
                  <c:v>8023</c:v>
                </c:pt>
                <c:pt idx="448">
                  <c:v>8042</c:v>
                </c:pt>
                <c:pt idx="449">
                  <c:v>8037</c:v>
                </c:pt>
                <c:pt idx="450">
                  <c:v>8037</c:v>
                </c:pt>
                <c:pt idx="451">
                  <c:v>8030</c:v>
                </c:pt>
                <c:pt idx="452">
                  <c:v>8048</c:v>
                </c:pt>
                <c:pt idx="453">
                  <c:v>8054</c:v>
                </c:pt>
                <c:pt idx="454">
                  <c:v>8037</c:v>
                </c:pt>
                <c:pt idx="455">
                  <c:v>8042</c:v>
                </c:pt>
                <c:pt idx="456">
                  <c:v>8037</c:v>
                </c:pt>
                <c:pt idx="457">
                  <c:v>8042</c:v>
                </c:pt>
                <c:pt idx="458">
                  <c:v>8054</c:v>
                </c:pt>
                <c:pt idx="459">
                  <c:v>8042</c:v>
                </c:pt>
                <c:pt idx="460">
                  <c:v>8048</c:v>
                </c:pt>
                <c:pt idx="461">
                  <c:v>8037</c:v>
                </c:pt>
                <c:pt idx="462">
                  <c:v>8042</c:v>
                </c:pt>
                <c:pt idx="463">
                  <c:v>8042</c:v>
                </c:pt>
                <c:pt idx="464">
                  <c:v>8030</c:v>
                </c:pt>
                <c:pt idx="465">
                  <c:v>8037</c:v>
                </c:pt>
                <c:pt idx="466">
                  <c:v>8030</c:v>
                </c:pt>
                <c:pt idx="467">
                  <c:v>8042</c:v>
                </c:pt>
                <c:pt idx="468">
                  <c:v>8060</c:v>
                </c:pt>
                <c:pt idx="469">
                  <c:v>8037</c:v>
                </c:pt>
                <c:pt idx="470">
                  <c:v>8042</c:v>
                </c:pt>
                <c:pt idx="471">
                  <c:v>8042</c:v>
                </c:pt>
                <c:pt idx="472">
                  <c:v>8030</c:v>
                </c:pt>
                <c:pt idx="473">
                  <c:v>8048</c:v>
                </c:pt>
                <c:pt idx="474">
                  <c:v>8048</c:v>
                </c:pt>
                <c:pt idx="475">
                  <c:v>8048</c:v>
                </c:pt>
                <c:pt idx="476">
                  <c:v>8030</c:v>
                </c:pt>
                <c:pt idx="477">
                  <c:v>8048</c:v>
                </c:pt>
                <c:pt idx="478">
                  <c:v>8030</c:v>
                </c:pt>
                <c:pt idx="479">
                  <c:v>8037</c:v>
                </c:pt>
                <c:pt idx="480">
                  <c:v>8037</c:v>
                </c:pt>
                <c:pt idx="481">
                  <c:v>8048</c:v>
                </c:pt>
                <c:pt idx="482">
                  <c:v>8030</c:v>
                </c:pt>
                <c:pt idx="483">
                  <c:v>8030</c:v>
                </c:pt>
                <c:pt idx="484">
                  <c:v>8042</c:v>
                </c:pt>
                <c:pt idx="485">
                  <c:v>8048</c:v>
                </c:pt>
                <c:pt idx="486">
                  <c:v>8030</c:v>
                </c:pt>
                <c:pt idx="487">
                  <c:v>8048</c:v>
                </c:pt>
                <c:pt idx="488">
                  <c:v>8054</c:v>
                </c:pt>
                <c:pt idx="489">
                  <c:v>8030</c:v>
                </c:pt>
                <c:pt idx="490">
                  <c:v>8042</c:v>
                </c:pt>
                <c:pt idx="491">
                  <c:v>8048</c:v>
                </c:pt>
                <c:pt idx="492">
                  <c:v>8060</c:v>
                </c:pt>
                <c:pt idx="493">
                  <c:v>8037</c:v>
                </c:pt>
                <c:pt idx="494">
                  <c:v>8030</c:v>
                </c:pt>
                <c:pt idx="495">
                  <c:v>8030</c:v>
                </c:pt>
                <c:pt idx="496">
                  <c:v>8042</c:v>
                </c:pt>
                <c:pt idx="497">
                  <c:v>8048</c:v>
                </c:pt>
                <c:pt idx="498">
                  <c:v>8054</c:v>
                </c:pt>
                <c:pt idx="499">
                  <c:v>8030</c:v>
                </c:pt>
                <c:pt idx="500">
                  <c:v>8030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33-41BC-9783-F19C33A4B095}"/>
            </c:ext>
          </c:extLst>
        </c:ser>
        <c:ser>
          <c:idx val="1"/>
          <c:order val="1"/>
          <c:tx>
            <c:strRef>
              <c:f>'2026-04-17_16-25-21_23_high'!$E$1</c:f>
              <c:strCache>
                <c:ptCount val="1"/>
                <c:pt idx="0">
                  <c:v>p45_raw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'2026-04-17_16-25-21_23_high'!$A$2:$A$502</c:f>
              <c:numCache>
                <c:formatCode>General</c:formatCode>
                <c:ptCount val="5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numCache>
            </c:numRef>
          </c:cat>
          <c:val>
            <c:numRef>
              <c:f>'2026-04-17_16-25-21_23_high'!$E$2:$E$502</c:f>
              <c:numCache>
                <c:formatCode>General</c:formatCode>
                <c:ptCount val="501"/>
                <c:pt idx="0">
                  <c:v>8123</c:v>
                </c:pt>
                <c:pt idx="1">
                  <c:v>8093</c:v>
                </c:pt>
                <c:pt idx="2">
                  <c:v>8105</c:v>
                </c:pt>
                <c:pt idx="3">
                  <c:v>8158</c:v>
                </c:pt>
                <c:pt idx="4">
                  <c:v>8093</c:v>
                </c:pt>
                <c:pt idx="5">
                  <c:v>8099</c:v>
                </c:pt>
                <c:pt idx="6">
                  <c:v>8111</c:v>
                </c:pt>
                <c:pt idx="7">
                  <c:v>8099</c:v>
                </c:pt>
                <c:pt idx="8">
                  <c:v>8105</c:v>
                </c:pt>
                <c:pt idx="9">
                  <c:v>8111</c:v>
                </c:pt>
                <c:pt idx="10">
                  <c:v>8105</c:v>
                </c:pt>
                <c:pt idx="11">
                  <c:v>8111</c:v>
                </c:pt>
                <c:pt idx="12">
                  <c:v>8111</c:v>
                </c:pt>
                <c:pt idx="13">
                  <c:v>8111</c:v>
                </c:pt>
                <c:pt idx="14">
                  <c:v>8117</c:v>
                </c:pt>
                <c:pt idx="15">
                  <c:v>8105</c:v>
                </c:pt>
                <c:pt idx="16">
                  <c:v>8093</c:v>
                </c:pt>
                <c:pt idx="17">
                  <c:v>8099</c:v>
                </c:pt>
                <c:pt idx="18">
                  <c:v>8105</c:v>
                </c:pt>
                <c:pt idx="19">
                  <c:v>8093</c:v>
                </c:pt>
                <c:pt idx="20">
                  <c:v>8117</c:v>
                </c:pt>
                <c:pt idx="21">
                  <c:v>8111</c:v>
                </c:pt>
                <c:pt idx="22">
                  <c:v>8129</c:v>
                </c:pt>
                <c:pt idx="23">
                  <c:v>8111</c:v>
                </c:pt>
                <c:pt idx="24">
                  <c:v>8111</c:v>
                </c:pt>
                <c:pt idx="25">
                  <c:v>8129</c:v>
                </c:pt>
                <c:pt idx="26">
                  <c:v>8111</c:v>
                </c:pt>
                <c:pt idx="27">
                  <c:v>8140</c:v>
                </c:pt>
                <c:pt idx="28">
                  <c:v>8129</c:v>
                </c:pt>
                <c:pt idx="29">
                  <c:v>8140</c:v>
                </c:pt>
                <c:pt idx="30">
                  <c:v>8123</c:v>
                </c:pt>
                <c:pt idx="31">
                  <c:v>8105</c:v>
                </c:pt>
                <c:pt idx="32">
                  <c:v>8093</c:v>
                </c:pt>
                <c:pt idx="33">
                  <c:v>8105</c:v>
                </c:pt>
                <c:pt idx="34">
                  <c:v>8129</c:v>
                </c:pt>
                <c:pt idx="35">
                  <c:v>8111</c:v>
                </c:pt>
                <c:pt idx="36">
                  <c:v>8117</c:v>
                </c:pt>
                <c:pt idx="37">
                  <c:v>8111</c:v>
                </c:pt>
                <c:pt idx="38">
                  <c:v>8093</c:v>
                </c:pt>
                <c:pt idx="39">
                  <c:v>8105</c:v>
                </c:pt>
                <c:pt idx="40">
                  <c:v>8111</c:v>
                </c:pt>
                <c:pt idx="41">
                  <c:v>8105</c:v>
                </c:pt>
                <c:pt idx="42">
                  <c:v>8111</c:v>
                </c:pt>
                <c:pt idx="43">
                  <c:v>8105</c:v>
                </c:pt>
                <c:pt idx="44">
                  <c:v>8111</c:v>
                </c:pt>
                <c:pt idx="45">
                  <c:v>8105</c:v>
                </c:pt>
                <c:pt idx="46">
                  <c:v>8087</c:v>
                </c:pt>
                <c:pt idx="47">
                  <c:v>8105</c:v>
                </c:pt>
                <c:pt idx="48">
                  <c:v>8093</c:v>
                </c:pt>
                <c:pt idx="49">
                  <c:v>8111</c:v>
                </c:pt>
                <c:pt idx="50">
                  <c:v>8093</c:v>
                </c:pt>
                <c:pt idx="51">
                  <c:v>8105</c:v>
                </c:pt>
                <c:pt idx="52">
                  <c:v>8117</c:v>
                </c:pt>
                <c:pt idx="53">
                  <c:v>8117</c:v>
                </c:pt>
                <c:pt idx="54">
                  <c:v>8099</c:v>
                </c:pt>
                <c:pt idx="55">
                  <c:v>8099</c:v>
                </c:pt>
                <c:pt idx="56">
                  <c:v>8099</c:v>
                </c:pt>
                <c:pt idx="57">
                  <c:v>8105</c:v>
                </c:pt>
                <c:pt idx="58">
                  <c:v>8111</c:v>
                </c:pt>
                <c:pt idx="59">
                  <c:v>8099</c:v>
                </c:pt>
                <c:pt idx="60">
                  <c:v>8129</c:v>
                </c:pt>
                <c:pt idx="61">
                  <c:v>8105</c:v>
                </c:pt>
                <c:pt idx="62">
                  <c:v>8099</c:v>
                </c:pt>
                <c:pt idx="63">
                  <c:v>8117</c:v>
                </c:pt>
                <c:pt idx="64">
                  <c:v>8099</c:v>
                </c:pt>
                <c:pt idx="65">
                  <c:v>8117</c:v>
                </c:pt>
                <c:pt idx="66">
                  <c:v>8105</c:v>
                </c:pt>
                <c:pt idx="67">
                  <c:v>8099</c:v>
                </c:pt>
                <c:pt idx="68">
                  <c:v>8099</c:v>
                </c:pt>
                <c:pt idx="69">
                  <c:v>8123</c:v>
                </c:pt>
                <c:pt idx="70">
                  <c:v>8093</c:v>
                </c:pt>
                <c:pt idx="71">
                  <c:v>8146</c:v>
                </c:pt>
                <c:pt idx="72">
                  <c:v>8111</c:v>
                </c:pt>
                <c:pt idx="73">
                  <c:v>8099</c:v>
                </c:pt>
                <c:pt idx="74">
                  <c:v>8117</c:v>
                </c:pt>
                <c:pt idx="75">
                  <c:v>8093</c:v>
                </c:pt>
                <c:pt idx="76">
                  <c:v>8105</c:v>
                </c:pt>
                <c:pt idx="77">
                  <c:v>8105</c:v>
                </c:pt>
                <c:pt idx="78">
                  <c:v>8099</c:v>
                </c:pt>
                <c:pt idx="79">
                  <c:v>8123</c:v>
                </c:pt>
                <c:pt idx="80">
                  <c:v>8111</c:v>
                </c:pt>
                <c:pt idx="81">
                  <c:v>8105</c:v>
                </c:pt>
                <c:pt idx="82">
                  <c:v>8087</c:v>
                </c:pt>
                <c:pt idx="83">
                  <c:v>8111</c:v>
                </c:pt>
                <c:pt idx="84">
                  <c:v>8123</c:v>
                </c:pt>
                <c:pt idx="85">
                  <c:v>8123</c:v>
                </c:pt>
                <c:pt idx="86">
                  <c:v>8093</c:v>
                </c:pt>
                <c:pt idx="87">
                  <c:v>8087</c:v>
                </c:pt>
                <c:pt idx="88">
                  <c:v>8087</c:v>
                </c:pt>
                <c:pt idx="89">
                  <c:v>8093</c:v>
                </c:pt>
                <c:pt idx="90">
                  <c:v>8123</c:v>
                </c:pt>
                <c:pt idx="91">
                  <c:v>8105</c:v>
                </c:pt>
                <c:pt idx="92">
                  <c:v>8111</c:v>
                </c:pt>
                <c:pt idx="93">
                  <c:v>8111</c:v>
                </c:pt>
                <c:pt idx="94">
                  <c:v>8117</c:v>
                </c:pt>
                <c:pt idx="95">
                  <c:v>8117</c:v>
                </c:pt>
                <c:pt idx="96">
                  <c:v>8134</c:v>
                </c:pt>
                <c:pt idx="97">
                  <c:v>8129</c:v>
                </c:pt>
                <c:pt idx="98">
                  <c:v>8105</c:v>
                </c:pt>
                <c:pt idx="99">
                  <c:v>8105</c:v>
                </c:pt>
                <c:pt idx="100">
                  <c:v>8093</c:v>
                </c:pt>
                <c:pt idx="101">
                  <c:v>8117</c:v>
                </c:pt>
                <c:pt idx="102">
                  <c:v>8105</c:v>
                </c:pt>
                <c:pt idx="103">
                  <c:v>8117</c:v>
                </c:pt>
                <c:pt idx="104">
                  <c:v>8087</c:v>
                </c:pt>
                <c:pt idx="105">
                  <c:v>8111</c:v>
                </c:pt>
                <c:pt idx="106">
                  <c:v>8111</c:v>
                </c:pt>
                <c:pt idx="107">
                  <c:v>8105</c:v>
                </c:pt>
                <c:pt idx="108">
                  <c:v>8111</c:v>
                </c:pt>
                <c:pt idx="109">
                  <c:v>8105</c:v>
                </c:pt>
                <c:pt idx="110">
                  <c:v>8099</c:v>
                </c:pt>
                <c:pt idx="111">
                  <c:v>8117</c:v>
                </c:pt>
                <c:pt idx="112">
                  <c:v>8129</c:v>
                </c:pt>
                <c:pt idx="113">
                  <c:v>8129</c:v>
                </c:pt>
                <c:pt idx="114">
                  <c:v>8123</c:v>
                </c:pt>
                <c:pt idx="115">
                  <c:v>8105</c:v>
                </c:pt>
                <c:pt idx="116">
                  <c:v>8099</c:v>
                </c:pt>
                <c:pt idx="117">
                  <c:v>8105</c:v>
                </c:pt>
                <c:pt idx="118">
                  <c:v>8117</c:v>
                </c:pt>
                <c:pt idx="119">
                  <c:v>8099</c:v>
                </c:pt>
                <c:pt idx="120">
                  <c:v>8105</c:v>
                </c:pt>
                <c:pt idx="121">
                  <c:v>8087</c:v>
                </c:pt>
                <c:pt idx="122">
                  <c:v>8105</c:v>
                </c:pt>
                <c:pt idx="123">
                  <c:v>8099</c:v>
                </c:pt>
                <c:pt idx="124">
                  <c:v>8123</c:v>
                </c:pt>
                <c:pt idx="125">
                  <c:v>8099</c:v>
                </c:pt>
                <c:pt idx="126">
                  <c:v>8111</c:v>
                </c:pt>
                <c:pt idx="127">
                  <c:v>8117</c:v>
                </c:pt>
                <c:pt idx="128">
                  <c:v>8099</c:v>
                </c:pt>
                <c:pt idx="129">
                  <c:v>8105</c:v>
                </c:pt>
                <c:pt idx="130">
                  <c:v>8105</c:v>
                </c:pt>
                <c:pt idx="131">
                  <c:v>8111</c:v>
                </c:pt>
                <c:pt idx="132">
                  <c:v>8111</c:v>
                </c:pt>
                <c:pt idx="133">
                  <c:v>8111</c:v>
                </c:pt>
                <c:pt idx="134">
                  <c:v>8111</c:v>
                </c:pt>
                <c:pt idx="135">
                  <c:v>8087</c:v>
                </c:pt>
                <c:pt idx="136">
                  <c:v>8117</c:v>
                </c:pt>
                <c:pt idx="137">
                  <c:v>8117</c:v>
                </c:pt>
                <c:pt idx="138">
                  <c:v>8129</c:v>
                </c:pt>
                <c:pt idx="139">
                  <c:v>8093</c:v>
                </c:pt>
                <c:pt idx="140">
                  <c:v>8099</c:v>
                </c:pt>
                <c:pt idx="141">
                  <c:v>8117</c:v>
                </c:pt>
                <c:pt idx="142">
                  <c:v>8123</c:v>
                </c:pt>
                <c:pt idx="143">
                  <c:v>8099</c:v>
                </c:pt>
                <c:pt idx="144">
                  <c:v>8117</c:v>
                </c:pt>
                <c:pt idx="145">
                  <c:v>8111</c:v>
                </c:pt>
                <c:pt idx="146">
                  <c:v>8117</c:v>
                </c:pt>
                <c:pt idx="147">
                  <c:v>8099</c:v>
                </c:pt>
                <c:pt idx="148">
                  <c:v>8105</c:v>
                </c:pt>
                <c:pt idx="149">
                  <c:v>8129</c:v>
                </c:pt>
                <c:pt idx="150">
                  <c:v>8105</c:v>
                </c:pt>
                <c:pt idx="151">
                  <c:v>8105</c:v>
                </c:pt>
                <c:pt idx="152">
                  <c:v>8111</c:v>
                </c:pt>
                <c:pt idx="153">
                  <c:v>8111</c:v>
                </c:pt>
                <c:pt idx="154">
                  <c:v>8099</c:v>
                </c:pt>
                <c:pt idx="155">
                  <c:v>8099</c:v>
                </c:pt>
                <c:pt idx="156">
                  <c:v>8111</c:v>
                </c:pt>
                <c:pt idx="157">
                  <c:v>8087</c:v>
                </c:pt>
                <c:pt idx="158">
                  <c:v>8105</c:v>
                </c:pt>
                <c:pt idx="159">
                  <c:v>8105</c:v>
                </c:pt>
                <c:pt idx="160">
                  <c:v>8105</c:v>
                </c:pt>
                <c:pt idx="161">
                  <c:v>8093</c:v>
                </c:pt>
                <c:pt idx="162">
                  <c:v>8105</c:v>
                </c:pt>
                <c:pt idx="163">
                  <c:v>8099</c:v>
                </c:pt>
                <c:pt idx="164">
                  <c:v>8111</c:v>
                </c:pt>
                <c:pt idx="165">
                  <c:v>8099</c:v>
                </c:pt>
                <c:pt idx="166">
                  <c:v>8099</c:v>
                </c:pt>
                <c:pt idx="167">
                  <c:v>8111</c:v>
                </c:pt>
                <c:pt idx="168">
                  <c:v>8099</c:v>
                </c:pt>
                <c:pt idx="169">
                  <c:v>8099</c:v>
                </c:pt>
                <c:pt idx="170">
                  <c:v>8152</c:v>
                </c:pt>
                <c:pt idx="171">
                  <c:v>8111</c:v>
                </c:pt>
                <c:pt idx="172">
                  <c:v>8117</c:v>
                </c:pt>
                <c:pt idx="173">
                  <c:v>8105</c:v>
                </c:pt>
                <c:pt idx="174">
                  <c:v>8117</c:v>
                </c:pt>
                <c:pt idx="175">
                  <c:v>8105</c:v>
                </c:pt>
                <c:pt idx="176">
                  <c:v>8105</c:v>
                </c:pt>
                <c:pt idx="177">
                  <c:v>8105</c:v>
                </c:pt>
                <c:pt idx="178">
                  <c:v>8111</c:v>
                </c:pt>
                <c:pt idx="179">
                  <c:v>8117</c:v>
                </c:pt>
                <c:pt idx="180">
                  <c:v>8123</c:v>
                </c:pt>
                <c:pt idx="181">
                  <c:v>8140</c:v>
                </c:pt>
                <c:pt idx="182">
                  <c:v>8129</c:v>
                </c:pt>
                <c:pt idx="183">
                  <c:v>8117</c:v>
                </c:pt>
                <c:pt idx="184">
                  <c:v>8117</c:v>
                </c:pt>
                <c:pt idx="185">
                  <c:v>8129</c:v>
                </c:pt>
                <c:pt idx="186">
                  <c:v>8105</c:v>
                </c:pt>
                <c:pt idx="187">
                  <c:v>8105</c:v>
                </c:pt>
                <c:pt idx="188">
                  <c:v>8111</c:v>
                </c:pt>
                <c:pt idx="189">
                  <c:v>8087</c:v>
                </c:pt>
                <c:pt idx="190">
                  <c:v>8087</c:v>
                </c:pt>
                <c:pt idx="191">
                  <c:v>8093</c:v>
                </c:pt>
                <c:pt idx="192">
                  <c:v>8111</c:v>
                </c:pt>
                <c:pt idx="193">
                  <c:v>8099</c:v>
                </c:pt>
                <c:pt idx="194">
                  <c:v>8123</c:v>
                </c:pt>
                <c:pt idx="195">
                  <c:v>8123</c:v>
                </c:pt>
                <c:pt idx="196">
                  <c:v>8117</c:v>
                </c:pt>
                <c:pt idx="197">
                  <c:v>8111</c:v>
                </c:pt>
                <c:pt idx="198">
                  <c:v>8093</c:v>
                </c:pt>
                <c:pt idx="199">
                  <c:v>8117</c:v>
                </c:pt>
                <c:pt idx="200">
                  <c:v>8111</c:v>
                </c:pt>
                <c:pt idx="201">
                  <c:v>8099</c:v>
                </c:pt>
                <c:pt idx="202">
                  <c:v>8129</c:v>
                </c:pt>
                <c:pt idx="203">
                  <c:v>8140</c:v>
                </c:pt>
                <c:pt idx="204">
                  <c:v>8134</c:v>
                </c:pt>
                <c:pt idx="205">
                  <c:v>8111</c:v>
                </c:pt>
                <c:pt idx="206">
                  <c:v>8146</c:v>
                </c:pt>
                <c:pt idx="207">
                  <c:v>8134</c:v>
                </c:pt>
                <c:pt idx="208">
                  <c:v>8105</c:v>
                </c:pt>
                <c:pt idx="209">
                  <c:v>8134</c:v>
                </c:pt>
                <c:pt idx="210">
                  <c:v>8105</c:v>
                </c:pt>
                <c:pt idx="211">
                  <c:v>8111</c:v>
                </c:pt>
                <c:pt idx="212">
                  <c:v>8117</c:v>
                </c:pt>
                <c:pt idx="213">
                  <c:v>8093</c:v>
                </c:pt>
                <c:pt idx="214">
                  <c:v>8129</c:v>
                </c:pt>
                <c:pt idx="215">
                  <c:v>8081</c:v>
                </c:pt>
                <c:pt idx="216">
                  <c:v>8117</c:v>
                </c:pt>
                <c:pt idx="217">
                  <c:v>8111</c:v>
                </c:pt>
                <c:pt idx="218">
                  <c:v>8099</c:v>
                </c:pt>
                <c:pt idx="219">
                  <c:v>8111</c:v>
                </c:pt>
                <c:pt idx="220">
                  <c:v>8123</c:v>
                </c:pt>
                <c:pt idx="221">
                  <c:v>8111</c:v>
                </c:pt>
                <c:pt idx="222">
                  <c:v>8105</c:v>
                </c:pt>
                <c:pt idx="223">
                  <c:v>8099</c:v>
                </c:pt>
                <c:pt idx="224">
                  <c:v>8111</c:v>
                </c:pt>
                <c:pt idx="225">
                  <c:v>8105</c:v>
                </c:pt>
                <c:pt idx="226">
                  <c:v>8140</c:v>
                </c:pt>
                <c:pt idx="227">
                  <c:v>8105</c:v>
                </c:pt>
                <c:pt idx="228">
                  <c:v>8099</c:v>
                </c:pt>
                <c:pt idx="229">
                  <c:v>8099</c:v>
                </c:pt>
                <c:pt idx="230">
                  <c:v>8099</c:v>
                </c:pt>
                <c:pt idx="231">
                  <c:v>8129</c:v>
                </c:pt>
                <c:pt idx="232">
                  <c:v>8093</c:v>
                </c:pt>
                <c:pt idx="233">
                  <c:v>8105</c:v>
                </c:pt>
                <c:pt idx="234">
                  <c:v>8105</c:v>
                </c:pt>
                <c:pt idx="235">
                  <c:v>8099</c:v>
                </c:pt>
                <c:pt idx="236">
                  <c:v>8105</c:v>
                </c:pt>
                <c:pt idx="237">
                  <c:v>8111</c:v>
                </c:pt>
                <c:pt idx="238">
                  <c:v>8129</c:v>
                </c:pt>
                <c:pt idx="239">
                  <c:v>8093</c:v>
                </c:pt>
                <c:pt idx="240">
                  <c:v>8105</c:v>
                </c:pt>
                <c:pt idx="241">
                  <c:v>8105</c:v>
                </c:pt>
                <c:pt idx="242">
                  <c:v>8117</c:v>
                </c:pt>
                <c:pt idx="243">
                  <c:v>8111</c:v>
                </c:pt>
                <c:pt idx="244">
                  <c:v>8099</c:v>
                </c:pt>
                <c:pt idx="245">
                  <c:v>8093</c:v>
                </c:pt>
                <c:pt idx="246">
                  <c:v>8111</c:v>
                </c:pt>
                <c:pt idx="247">
                  <c:v>8117</c:v>
                </c:pt>
                <c:pt idx="248">
                  <c:v>8099</c:v>
                </c:pt>
                <c:pt idx="249">
                  <c:v>8111</c:v>
                </c:pt>
                <c:pt idx="250">
                  <c:v>8105</c:v>
                </c:pt>
                <c:pt idx="251">
                  <c:v>8105</c:v>
                </c:pt>
                <c:pt idx="252">
                  <c:v>8099</c:v>
                </c:pt>
                <c:pt idx="253">
                  <c:v>8117</c:v>
                </c:pt>
                <c:pt idx="254">
                  <c:v>8117</c:v>
                </c:pt>
                <c:pt idx="255">
                  <c:v>8111</c:v>
                </c:pt>
                <c:pt idx="256">
                  <c:v>8105</c:v>
                </c:pt>
                <c:pt idx="257">
                  <c:v>8093</c:v>
                </c:pt>
                <c:pt idx="258">
                  <c:v>8111</c:v>
                </c:pt>
                <c:pt idx="259">
                  <c:v>8099</c:v>
                </c:pt>
                <c:pt idx="260">
                  <c:v>8081</c:v>
                </c:pt>
                <c:pt idx="261">
                  <c:v>8111</c:v>
                </c:pt>
                <c:pt idx="262">
                  <c:v>8099</c:v>
                </c:pt>
                <c:pt idx="263">
                  <c:v>8140</c:v>
                </c:pt>
                <c:pt idx="264">
                  <c:v>8105</c:v>
                </c:pt>
                <c:pt idx="265">
                  <c:v>8111</c:v>
                </c:pt>
                <c:pt idx="266">
                  <c:v>8105</c:v>
                </c:pt>
                <c:pt idx="267">
                  <c:v>8093</c:v>
                </c:pt>
                <c:pt idx="268">
                  <c:v>8081</c:v>
                </c:pt>
                <c:pt idx="269">
                  <c:v>8075</c:v>
                </c:pt>
                <c:pt idx="270">
                  <c:v>8087</c:v>
                </c:pt>
                <c:pt idx="271">
                  <c:v>8093</c:v>
                </c:pt>
                <c:pt idx="272">
                  <c:v>8099</c:v>
                </c:pt>
                <c:pt idx="273">
                  <c:v>8117</c:v>
                </c:pt>
                <c:pt idx="274">
                  <c:v>8105</c:v>
                </c:pt>
                <c:pt idx="275">
                  <c:v>8117</c:v>
                </c:pt>
                <c:pt idx="276">
                  <c:v>8099</c:v>
                </c:pt>
                <c:pt idx="277">
                  <c:v>8093</c:v>
                </c:pt>
                <c:pt idx="278">
                  <c:v>8140</c:v>
                </c:pt>
                <c:pt idx="279">
                  <c:v>8099</c:v>
                </c:pt>
                <c:pt idx="280">
                  <c:v>8087</c:v>
                </c:pt>
                <c:pt idx="281">
                  <c:v>8099</c:v>
                </c:pt>
                <c:pt idx="282">
                  <c:v>8111</c:v>
                </c:pt>
                <c:pt idx="283">
                  <c:v>8093</c:v>
                </c:pt>
                <c:pt idx="284">
                  <c:v>8093</c:v>
                </c:pt>
                <c:pt idx="285">
                  <c:v>8105</c:v>
                </c:pt>
                <c:pt idx="286">
                  <c:v>8087</c:v>
                </c:pt>
                <c:pt idx="287">
                  <c:v>8105</c:v>
                </c:pt>
                <c:pt idx="288">
                  <c:v>8105</c:v>
                </c:pt>
                <c:pt idx="289">
                  <c:v>8087</c:v>
                </c:pt>
                <c:pt idx="290">
                  <c:v>8105</c:v>
                </c:pt>
                <c:pt idx="291">
                  <c:v>8093</c:v>
                </c:pt>
                <c:pt idx="292">
                  <c:v>8105</c:v>
                </c:pt>
                <c:pt idx="293">
                  <c:v>8111</c:v>
                </c:pt>
                <c:pt idx="294">
                  <c:v>8111</c:v>
                </c:pt>
                <c:pt idx="295">
                  <c:v>8093</c:v>
                </c:pt>
                <c:pt idx="296">
                  <c:v>8105</c:v>
                </c:pt>
                <c:pt idx="297">
                  <c:v>8111</c:v>
                </c:pt>
                <c:pt idx="298">
                  <c:v>8105</c:v>
                </c:pt>
                <c:pt idx="299">
                  <c:v>8117</c:v>
                </c:pt>
                <c:pt idx="300">
                  <c:v>8111</c:v>
                </c:pt>
                <c:pt idx="301">
                  <c:v>8134</c:v>
                </c:pt>
                <c:pt idx="302">
                  <c:v>8129</c:v>
                </c:pt>
                <c:pt idx="303">
                  <c:v>8111</c:v>
                </c:pt>
                <c:pt idx="304">
                  <c:v>8105</c:v>
                </c:pt>
                <c:pt idx="305">
                  <c:v>8105</c:v>
                </c:pt>
                <c:pt idx="306">
                  <c:v>8134</c:v>
                </c:pt>
                <c:pt idx="307">
                  <c:v>8099</c:v>
                </c:pt>
                <c:pt idx="308">
                  <c:v>8111</c:v>
                </c:pt>
                <c:pt idx="309">
                  <c:v>8123</c:v>
                </c:pt>
                <c:pt idx="310">
                  <c:v>8117</c:v>
                </c:pt>
                <c:pt idx="311">
                  <c:v>8111</c:v>
                </c:pt>
                <c:pt idx="312">
                  <c:v>8099</c:v>
                </c:pt>
                <c:pt idx="313">
                  <c:v>8105</c:v>
                </c:pt>
                <c:pt idx="314">
                  <c:v>8111</c:v>
                </c:pt>
                <c:pt idx="315">
                  <c:v>8099</c:v>
                </c:pt>
                <c:pt idx="316">
                  <c:v>8129</c:v>
                </c:pt>
                <c:pt idx="317">
                  <c:v>8099</c:v>
                </c:pt>
                <c:pt idx="318">
                  <c:v>8075</c:v>
                </c:pt>
                <c:pt idx="319">
                  <c:v>8081</c:v>
                </c:pt>
                <c:pt idx="320">
                  <c:v>8105</c:v>
                </c:pt>
                <c:pt idx="321">
                  <c:v>8123</c:v>
                </c:pt>
                <c:pt idx="322">
                  <c:v>8105</c:v>
                </c:pt>
                <c:pt idx="323">
                  <c:v>8081</c:v>
                </c:pt>
                <c:pt idx="324">
                  <c:v>8111</c:v>
                </c:pt>
                <c:pt idx="325">
                  <c:v>8111</c:v>
                </c:pt>
                <c:pt idx="326">
                  <c:v>8093</c:v>
                </c:pt>
                <c:pt idx="327">
                  <c:v>8105</c:v>
                </c:pt>
                <c:pt idx="328">
                  <c:v>8111</c:v>
                </c:pt>
                <c:pt idx="329">
                  <c:v>8099</c:v>
                </c:pt>
                <c:pt idx="330">
                  <c:v>8105</c:v>
                </c:pt>
                <c:pt idx="331">
                  <c:v>8105</c:v>
                </c:pt>
                <c:pt idx="332">
                  <c:v>8111</c:v>
                </c:pt>
                <c:pt idx="333">
                  <c:v>8111</c:v>
                </c:pt>
                <c:pt idx="334">
                  <c:v>8111</c:v>
                </c:pt>
                <c:pt idx="335">
                  <c:v>8123</c:v>
                </c:pt>
                <c:pt idx="336">
                  <c:v>8129</c:v>
                </c:pt>
                <c:pt idx="337">
                  <c:v>8105</c:v>
                </c:pt>
                <c:pt idx="338">
                  <c:v>8123</c:v>
                </c:pt>
                <c:pt idx="339">
                  <c:v>8099</c:v>
                </c:pt>
                <c:pt idx="340">
                  <c:v>8099</c:v>
                </c:pt>
                <c:pt idx="341">
                  <c:v>8134</c:v>
                </c:pt>
                <c:pt idx="342">
                  <c:v>8099</c:v>
                </c:pt>
                <c:pt idx="343">
                  <c:v>8111</c:v>
                </c:pt>
                <c:pt idx="344">
                  <c:v>8105</c:v>
                </c:pt>
                <c:pt idx="345">
                  <c:v>8093</c:v>
                </c:pt>
                <c:pt idx="346">
                  <c:v>8105</c:v>
                </c:pt>
                <c:pt idx="347">
                  <c:v>8081</c:v>
                </c:pt>
                <c:pt idx="348">
                  <c:v>8123</c:v>
                </c:pt>
                <c:pt idx="349">
                  <c:v>8111</c:v>
                </c:pt>
                <c:pt idx="350">
                  <c:v>8093</c:v>
                </c:pt>
                <c:pt idx="351">
                  <c:v>8099</c:v>
                </c:pt>
                <c:pt idx="352">
                  <c:v>8099</c:v>
                </c:pt>
                <c:pt idx="353">
                  <c:v>8105</c:v>
                </c:pt>
                <c:pt idx="354">
                  <c:v>8111</c:v>
                </c:pt>
                <c:pt idx="355">
                  <c:v>8164</c:v>
                </c:pt>
                <c:pt idx="356">
                  <c:v>8117</c:v>
                </c:pt>
                <c:pt idx="357">
                  <c:v>8111</c:v>
                </c:pt>
                <c:pt idx="358">
                  <c:v>8117</c:v>
                </c:pt>
                <c:pt idx="359">
                  <c:v>8129</c:v>
                </c:pt>
                <c:pt idx="360">
                  <c:v>8117</c:v>
                </c:pt>
                <c:pt idx="361">
                  <c:v>8105</c:v>
                </c:pt>
                <c:pt idx="362">
                  <c:v>8093</c:v>
                </c:pt>
                <c:pt idx="363">
                  <c:v>8117</c:v>
                </c:pt>
                <c:pt idx="364">
                  <c:v>8140</c:v>
                </c:pt>
                <c:pt idx="365">
                  <c:v>8105</c:v>
                </c:pt>
                <c:pt idx="366">
                  <c:v>8099</c:v>
                </c:pt>
                <c:pt idx="367">
                  <c:v>8111</c:v>
                </c:pt>
                <c:pt idx="368">
                  <c:v>8099</c:v>
                </c:pt>
                <c:pt idx="369">
                  <c:v>8105</c:v>
                </c:pt>
                <c:pt idx="370">
                  <c:v>8105</c:v>
                </c:pt>
                <c:pt idx="371">
                  <c:v>8111</c:v>
                </c:pt>
                <c:pt idx="372">
                  <c:v>8123</c:v>
                </c:pt>
                <c:pt idx="373">
                  <c:v>8099</c:v>
                </c:pt>
                <c:pt idx="374">
                  <c:v>8123</c:v>
                </c:pt>
                <c:pt idx="375">
                  <c:v>8134</c:v>
                </c:pt>
                <c:pt idx="376">
                  <c:v>8111</c:v>
                </c:pt>
                <c:pt idx="377">
                  <c:v>8105</c:v>
                </c:pt>
                <c:pt idx="378">
                  <c:v>8111</c:v>
                </c:pt>
                <c:pt idx="379">
                  <c:v>8111</c:v>
                </c:pt>
                <c:pt idx="380">
                  <c:v>8129</c:v>
                </c:pt>
                <c:pt idx="381">
                  <c:v>8105</c:v>
                </c:pt>
                <c:pt idx="382">
                  <c:v>8105</c:v>
                </c:pt>
                <c:pt idx="383">
                  <c:v>8123</c:v>
                </c:pt>
                <c:pt idx="384">
                  <c:v>8093</c:v>
                </c:pt>
                <c:pt idx="385">
                  <c:v>8111</c:v>
                </c:pt>
                <c:pt idx="386">
                  <c:v>8099</c:v>
                </c:pt>
                <c:pt idx="387">
                  <c:v>8129</c:v>
                </c:pt>
                <c:pt idx="388">
                  <c:v>8117</c:v>
                </c:pt>
                <c:pt idx="389">
                  <c:v>8111</c:v>
                </c:pt>
                <c:pt idx="390">
                  <c:v>8129</c:v>
                </c:pt>
                <c:pt idx="391">
                  <c:v>8111</c:v>
                </c:pt>
                <c:pt idx="392">
                  <c:v>8081</c:v>
                </c:pt>
                <c:pt idx="393">
                  <c:v>8105</c:v>
                </c:pt>
                <c:pt idx="394">
                  <c:v>8129</c:v>
                </c:pt>
                <c:pt idx="395">
                  <c:v>8117</c:v>
                </c:pt>
                <c:pt idx="396">
                  <c:v>8123</c:v>
                </c:pt>
                <c:pt idx="397">
                  <c:v>8117</c:v>
                </c:pt>
                <c:pt idx="398">
                  <c:v>8087</c:v>
                </c:pt>
                <c:pt idx="399">
                  <c:v>8111</c:v>
                </c:pt>
                <c:pt idx="400">
                  <c:v>8105</c:v>
                </c:pt>
                <c:pt idx="401">
                  <c:v>8123</c:v>
                </c:pt>
                <c:pt idx="402">
                  <c:v>8152</c:v>
                </c:pt>
                <c:pt idx="403">
                  <c:v>8111</c:v>
                </c:pt>
                <c:pt idx="404">
                  <c:v>8099</c:v>
                </c:pt>
                <c:pt idx="405">
                  <c:v>8105</c:v>
                </c:pt>
                <c:pt idx="406">
                  <c:v>8117</c:v>
                </c:pt>
                <c:pt idx="407">
                  <c:v>8093</c:v>
                </c:pt>
                <c:pt idx="408">
                  <c:v>8117</c:v>
                </c:pt>
                <c:pt idx="409">
                  <c:v>8117</c:v>
                </c:pt>
                <c:pt idx="410">
                  <c:v>8111</c:v>
                </c:pt>
                <c:pt idx="411">
                  <c:v>8123</c:v>
                </c:pt>
                <c:pt idx="412">
                  <c:v>8129</c:v>
                </c:pt>
                <c:pt idx="413">
                  <c:v>8117</c:v>
                </c:pt>
                <c:pt idx="414">
                  <c:v>8093</c:v>
                </c:pt>
                <c:pt idx="415">
                  <c:v>8099</c:v>
                </c:pt>
                <c:pt idx="416">
                  <c:v>8105</c:v>
                </c:pt>
                <c:pt idx="417">
                  <c:v>8099</c:v>
                </c:pt>
                <c:pt idx="418">
                  <c:v>8087</c:v>
                </c:pt>
                <c:pt idx="419">
                  <c:v>8099</c:v>
                </c:pt>
                <c:pt idx="420">
                  <c:v>8111</c:v>
                </c:pt>
                <c:pt idx="421">
                  <c:v>8117</c:v>
                </c:pt>
                <c:pt idx="422">
                  <c:v>8111</c:v>
                </c:pt>
                <c:pt idx="423">
                  <c:v>8152</c:v>
                </c:pt>
                <c:pt idx="424">
                  <c:v>8123</c:v>
                </c:pt>
                <c:pt idx="425">
                  <c:v>8105</c:v>
                </c:pt>
                <c:pt idx="426">
                  <c:v>8099</c:v>
                </c:pt>
                <c:pt idx="427">
                  <c:v>8099</c:v>
                </c:pt>
                <c:pt idx="428">
                  <c:v>8105</c:v>
                </c:pt>
                <c:pt idx="429">
                  <c:v>8111</c:v>
                </c:pt>
                <c:pt idx="430">
                  <c:v>8105</c:v>
                </c:pt>
                <c:pt idx="431">
                  <c:v>8123</c:v>
                </c:pt>
                <c:pt idx="432">
                  <c:v>8093</c:v>
                </c:pt>
                <c:pt idx="433">
                  <c:v>8111</c:v>
                </c:pt>
                <c:pt idx="434">
                  <c:v>8111</c:v>
                </c:pt>
                <c:pt idx="435">
                  <c:v>8111</c:v>
                </c:pt>
                <c:pt idx="436">
                  <c:v>8117</c:v>
                </c:pt>
                <c:pt idx="437">
                  <c:v>8117</c:v>
                </c:pt>
                <c:pt idx="438">
                  <c:v>8123</c:v>
                </c:pt>
                <c:pt idx="439">
                  <c:v>8117</c:v>
                </c:pt>
                <c:pt idx="440">
                  <c:v>8105</c:v>
                </c:pt>
                <c:pt idx="441">
                  <c:v>8105</c:v>
                </c:pt>
                <c:pt idx="442">
                  <c:v>8087</c:v>
                </c:pt>
                <c:pt idx="443">
                  <c:v>8087</c:v>
                </c:pt>
                <c:pt idx="444">
                  <c:v>8087</c:v>
                </c:pt>
                <c:pt idx="445">
                  <c:v>8117</c:v>
                </c:pt>
                <c:pt idx="446">
                  <c:v>8111</c:v>
                </c:pt>
                <c:pt idx="447">
                  <c:v>8093</c:v>
                </c:pt>
                <c:pt idx="448">
                  <c:v>8117</c:v>
                </c:pt>
                <c:pt idx="449">
                  <c:v>8140</c:v>
                </c:pt>
                <c:pt idx="450">
                  <c:v>8111</c:v>
                </c:pt>
                <c:pt idx="451">
                  <c:v>8093</c:v>
                </c:pt>
                <c:pt idx="452">
                  <c:v>8129</c:v>
                </c:pt>
                <c:pt idx="453">
                  <c:v>8105</c:v>
                </c:pt>
                <c:pt idx="454">
                  <c:v>8117</c:v>
                </c:pt>
                <c:pt idx="455">
                  <c:v>8111</c:v>
                </c:pt>
                <c:pt idx="456">
                  <c:v>8105</c:v>
                </c:pt>
                <c:pt idx="457">
                  <c:v>8093</c:v>
                </c:pt>
                <c:pt idx="458">
                  <c:v>8123</c:v>
                </c:pt>
                <c:pt idx="459">
                  <c:v>8105</c:v>
                </c:pt>
                <c:pt idx="460">
                  <c:v>8105</c:v>
                </c:pt>
                <c:pt idx="461">
                  <c:v>8093</c:v>
                </c:pt>
                <c:pt idx="462">
                  <c:v>8105</c:v>
                </c:pt>
                <c:pt idx="463">
                  <c:v>8164</c:v>
                </c:pt>
                <c:pt idx="464">
                  <c:v>8105</c:v>
                </c:pt>
                <c:pt idx="465">
                  <c:v>8111</c:v>
                </c:pt>
                <c:pt idx="466">
                  <c:v>8134</c:v>
                </c:pt>
                <c:pt idx="467">
                  <c:v>8123</c:v>
                </c:pt>
                <c:pt idx="468">
                  <c:v>8111</c:v>
                </c:pt>
                <c:pt idx="469">
                  <c:v>8123</c:v>
                </c:pt>
                <c:pt idx="470">
                  <c:v>8117</c:v>
                </c:pt>
                <c:pt idx="471">
                  <c:v>8117</c:v>
                </c:pt>
                <c:pt idx="472">
                  <c:v>8111</c:v>
                </c:pt>
                <c:pt idx="473">
                  <c:v>8087</c:v>
                </c:pt>
                <c:pt idx="474">
                  <c:v>8123</c:v>
                </c:pt>
                <c:pt idx="475">
                  <c:v>8093</c:v>
                </c:pt>
                <c:pt idx="476">
                  <c:v>8093</c:v>
                </c:pt>
                <c:pt idx="477">
                  <c:v>8105</c:v>
                </c:pt>
                <c:pt idx="478">
                  <c:v>8123</c:v>
                </c:pt>
                <c:pt idx="479">
                  <c:v>8111</c:v>
                </c:pt>
                <c:pt idx="480">
                  <c:v>8099</c:v>
                </c:pt>
                <c:pt idx="481">
                  <c:v>8111</c:v>
                </c:pt>
                <c:pt idx="482">
                  <c:v>8105</c:v>
                </c:pt>
                <c:pt idx="483">
                  <c:v>8105</c:v>
                </c:pt>
                <c:pt idx="484">
                  <c:v>8105</c:v>
                </c:pt>
                <c:pt idx="485">
                  <c:v>8134</c:v>
                </c:pt>
                <c:pt idx="486">
                  <c:v>8111</c:v>
                </c:pt>
                <c:pt idx="487">
                  <c:v>8111</c:v>
                </c:pt>
                <c:pt idx="488">
                  <c:v>8111</c:v>
                </c:pt>
                <c:pt idx="489">
                  <c:v>8099</c:v>
                </c:pt>
                <c:pt idx="490">
                  <c:v>8099</c:v>
                </c:pt>
                <c:pt idx="491">
                  <c:v>8099</c:v>
                </c:pt>
                <c:pt idx="492">
                  <c:v>8075</c:v>
                </c:pt>
                <c:pt idx="493">
                  <c:v>8117</c:v>
                </c:pt>
                <c:pt idx="494">
                  <c:v>8099</c:v>
                </c:pt>
                <c:pt idx="495">
                  <c:v>8117</c:v>
                </c:pt>
                <c:pt idx="496">
                  <c:v>8105</c:v>
                </c:pt>
                <c:pt idx="497">
                  <c:v>8111</c:v>
                </c:pt>
                <c:pt idx="498">
                  <c:v>8111</c:v>
                </c:pt>
                <c:pt idx="499">
                  <c:v>8111</c:v>
                </c:pt>
                <c:pt idx="500">
                  <c:v>8123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33-41BC-9783-F19C33A4B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198304"/>
        <c:axId val="270199744"/>
      </c:lineChart>
      <c:catAx>
        <c:axId val="27019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199744"/>
        <c:crosses val="autoZero"/>
        <c:auto val="1"/>
        <c:lblAlgn val="ctr"/>
        <c:lblOffset val="100"/>
        <c:noMultiLvlLbl val="0"/>
      </c:catAx>
      <c:valAx>
        <c:axId val="27019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19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64770</xdr:rowOff>
    </xdr:from>
    <xdr:to>
      <xdr:col>5</xdr:col>
      <xdr:colOff>68580</xdr:colOff>
      <xdr:row>27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C50684-903A-FE7C-0369-29C6D893A7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220980</xdr:colOff>
      <xdr:row>12</xdr:row>
      <xdr:rowOff>118110</xdr:rowOff>
    </xdr:from>
    <xdr:to>
      <xdr:col>10</xdr:col>
      <xdr:colOff>190500</xdr:colOff>
      <xdr:row>27</xdr:row>
      <xdr:rowOff>118110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398C759-3D3B-A86C-8941-569C67D965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220980</xdr:colOff>
      <xdr:row>27</xdr:row>
      <xdr:rowOff>140970</xdr:rowOff>
    </xdr:from>
    <xdr:to>
      <xdr:col>4</xdr:col>
      <xdr:colOff>937260</xdr:colOff>
      <xdr:row>42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2A5289-51CC-9A61-5FFC-7FE0085C80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60960</xdr:colOff>
      <xdr:row>27</xdr:row>
      <xdr:rowOff>179070</xdr:rowOff>
    </xdr:from>
    <xdr:to>
      <xdr:col>8</xdr:col>
      <xdr:colOff>320040</xdr:colOff>
      <xdr:row>42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E78A0E-5933-BD70-3451-83E55395F7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304226</xdr:colOff>
      <xdr:row>4</xdr:row>
      <xdr:rowOff>121948</xdr:rowOff>
    </xdr:from>
    <xdr:to>
      <xdr:col>26</xdr:col>
      <xdr:colOff>606735</xdr:colOff>
      <xdr:row>19</xdr:row>
      <xdr:rowOff>121948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465EDA-E214-24B4-162F-86E1D8A2AA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548640</xdr:colOff>
      <xdr:row>4</xdr:row>
      <xdr:rowOff>125730</xdr:rowOff>
    </xdr:from>
    <xdr:to>
      <xdr:col>19</xdr:col>
      <xdr:colOff>243840</xdr:colOff>
      <xdr:row>19</xdr:row>
      <xdr:rowOff>125730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BFF58E-0E5D-1383-6466-A52DB238B8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16" xr16:uid="{3E895A0B-7F87-4677-BD92-C67D76DA6FC5}" autoFormatId="16" applyNumberFormats="0" applyBorderFormats="0" applyFontFormats="0" applyPatternFormats="0" applyAlignmentFormats="0" applyWidthHeightFormats="0">
  <queryTableRefresh nextId="11">
    <queryTableFields count="10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15" xr16:uid="{381B0868-5CB8-428C-B3B9-7D2318B5828E}" autoFormatId="16" applyNumberFormats="0" applyBorderFormats="0" applyFontFormats="0" applyPatternFormats="0" applyAlignmentFormats="0" applyWidthHeightFormats="0">
  <queryTableRefresh nextId="11">
    <queryTableFields count="10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17" xr16:uid="{04B32C25-28CE-4933-A0E3-829E88E0CC47}" autoFormatId="16" applyNumberFormats="0" applyBorderFormats="0" applyFontFormats="0" applyPatternFormats="0" applyAlignmentFormats="0" applyWidthHeightFormats="0">
  <queryTableRefresh nextId="11">
    <queryTableFields count="10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4" xr16:uid="{1A2D3650-BD1A-483C-8F47-BE4EF2BC2816}" autoFormatId="16" applyNumberFormats="0" applyBorderFormats="0" applyFontFormats="0" applyPatternFormats="0" applyAlignmentFormats="0" applyWidthHeightFormats="0">
  <queryTableRefresh nextId="11">
    <queryTableFields count="10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3" xr16:uid="{574C2C81-11EE-4F74-B6B6-AC8B5F56CCF5}" autoFormatId="16" applyNumberFormats="0" applyBorderFormats="0" applyFontFormats="0" applyPatternFormats="0" applyAlignmentFormats="0" applyWidthHeightFormats="0">
  <queryTableRefresh nextId="11">
    <queryTableFields count="10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2" xr16:uid="{520DE611-1FD7-46FB-A7F0-D261D7522340}" autoFormatId="16" applyNumberFormats="0" applyBorderFormats="0" applyFontFormats="0" applyPatternFormats="0" applyAlignmentFormats="0" applyWidthHeightFormats="0">
  <queryTableRefresh nextId="11">
    <queryTableFields count="10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1" xr16:uid="{CFB3416D-0109-45E2-807B-E668FA556949}" autoFormatId="16" applyNumberFormats="0" applyBorderFormats="0" applyFontFormats="0" applyPatternFormats="0" applyAlignmentFormats="0" applyWidthHeightFormats="0">
  <queryTableRefresh nextId="11">
    <queryTableFields count="10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0" xr16:uid="{354FFFAD-09A3-4C5B-A5AC-96F254F344F2}" autoFormatId="16" applyNumberFormats="0" applyBorderFormats="0" applyFontFormats="0" applyPatternFormats="0" applyAlignmentFormats="0" applyWidthHeightFormats="0">
  <queryTableRefresh nextId="11">
    <queryTableFields count="10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9" xr16:uid="{691766B3-C287-48DE-A924-0509EF6F1E6B}" autoFormatId="16" applyNumberFormats="0" applyBorderFormats="0" applyFontFormats="0" applyPatternFormats="0" applyAlignmentFormats="0" applyWidthHeightFormats="0">
  <queryTableRefresh nextId="11">
    <queryTableFields count="10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8" xr16:uid="{D5474E6C-0DF8-40EB-B93C-C7FC484CB761}" autoFormatId="16" applyNumberFormats="0" applyBorderFormats="0" applyFontFormats="0" applyPatternFormats="0" applyAlignmentFormats="0" applyWidthHeightFormats="0">
  <queryTableRefresh nextId="11">
    <queryTableFields count="10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" xr16:uid="{F9CCA58B-F977-4E3A-95DA-7217FD384942}" autoFormatId="16" applyNumberFormats="0" applyBorderFormats="0" applyFontFormats="0" applyPatternFormats="0" applyAlignmentFormats="0" applyWidthHeightFormats="0">
  <queryTableRefresh nextId="11">
    <queryTableFields count="10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7569D005-9B53-4C09-B869-836D69D44E42}" autoFormatId="16" applyNumberFormats="0" applyBorderFormats="0" applyFontFormats="0" applyPatternFormats="0" applyAlignmentFormats="0" applyWidthHeightFormats="0">
  <queryTableRefresh nextId="11">
    <queryTableFields count="10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43F788E0-2F0B-421C-8F9B-FEA724C78900}" autoFormatId="16" applyNumberFormats="0" applyBorderFormats="0" applyFontFormats="0" applyPatternFormats="0" applyAlignmentFormats="0" applyWidthHeightFormats="0">
  <queryTableRefresh nextId="11">
    <queryTableFields count="10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70D1B15B-817C-48C0-A918-4F4FBCB2072E}" autoFormatId="16" applyNumberFormats="0" applyBorderFormats="0" applyFontFormats="0" applyPatternFormats="0" applyAlignmentFormats="0" applyWidthHeightFormats="0">
  <queryTableRefresh nextId="11">
    <queryTableFields count="10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E2F41AB0-A43B-4174-BF53-AD87553D16D4}" autoFormatId="16" applyNumberFormats="0" applyBorderFormats="0" applyFontFormats="0" applyPatternFormats="0" applyAlignmentFormats="0" applyWidthHeightFormats="0">
  <queryTableRefresh nextId="11">
    <queryTableFields count="10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FA71332-961C-4F57-96D7-3053B3956D89}" autoFormatId="16" applyNumberFormats="0" applyBorderFormats="0" applyFontFormats="0" applyPatternFormats="0" applyAlignmentFormats="0" applyWidthHeightFormats="0">
  <queryTableRefresh nextId="13" unboundColumnsRight="2">
    <queryTableFields count="12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  <queryTableField id="11" dataBound="0" tableColumnId="11"/>
      <queryTableField id="12" dataBound="0" tableColumnId="1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90569DF-1CB2-4837-B77D-D5836B34A2A5}" name="Table18" displayName="Table18" ref="A1:I11" totalsRowShown="0">
  <autoFilter ref="A1:I11" xr:uid="{E90569DF-1CB2-4837-B77D-D5836B34A2A5}"/>
  <tableColumns count="9">
    <tableColumn id="1" xr3:uid="{F3493AEE-6699-4ECD-82D6-C2F332A4A7F7}" name="angle"/>
    <tableColumn id="2" xr3:uid="{C776B506-DEBF-42AC-8130-EEADA39B3113}" name="pfwd_filt_mean"/>
    <tableColumn id="3" xr3:uid="{589CCD64-EA9D-4050-8B86-147291725B64}" name="p45_filt_mean"/>
    <tableColumn id="4" xr3:uid="{BD7A8F8A-F91E-4E7C-8996-C1341FEA91FD}" name="pfwd_filt_median"/>
    <tableColumn id="5" xr3:uid="{41591598-AF6C-48CC-9CD3-0CABA77D5AEE}" name="p45_filt_median"/>
    <tableColumn id="6" xr3:uid="{93027C87-5D8A-4445-BD6E-28B1A1E334E7}" name="coeff_mean"/>
    <tableColumn id="7" xr3:uid="{E59EC160-EE2A-4918-8FDC-E81FE5F9EE1C}" name="coeff_median"/>
    <tableColumn id="9" xr3:uid="{FA1632B3-65B0-45CF-995A-DB7B6ABFCE38}" name="predicted_angle_mean" dataDxfId="1">
      <calculatedColumnFormula xml:space="preserve"> -66.186 *Table18[[#This Row],[coeff_mean]] + 72.445</calculatedColumnFormula>
    </tableColumn>
    <tableColumn id="8" xr3:uid="{E61FAC4E-8FD1-4CBA-8F51-019DD40BF1DE}" name="Column1" dataDxfId="0">
      <calculatedColumnFormula xml:space="preserve"> -66.186 *Table18[[#This Row],[coeff_mean]] + 72.445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11EC333-0C97-4986-9F4B-1D28EFC70893}" name="_2026_04_17_16_42_00__22_high" displayName="_2026_04_17_16_42_00__22_high" ref="A1:J502" tableType="queryTable" totalsRowShown="0">
  <autoFilter ref="A1:J502" xr:uid="{A11EC333-0C97-4986-9F4B-1D28EFC70893}"/>
  <tableColumns count="10">
    <tableColumn id="1" xr3:uid="{5FEFDEA1-9147-4053-80E2-D5E0C07F428F}" uniqueName="1" name="count" queryTableFieldId="1"/>
    <tableColumn id="2" xr3:uid="{122D4C3D-5CE5-4AEE-89A7-3C2F8AEA0F8A}" uniqueName="2" name="timestamp_ms" queryTableFieldId="2"/>
    <tableColumn id="3" xr3:uid="{C0AD3097-D59C-4F76-81D3-D1E9DEB6FF6B}" uniqueName="3" name="aoa_valid" queryTableFieldId="3"/>
    <tableColumn id="4" xr3:uid="{061D09E3-3A4F-4C3C-BF82-DB2A287E475E}" uniqueName="4" name="pfd_raw" queryTableFieldId="4"/>
    <tableColumn id="5" xr3:uid="{3BE3A789-801D-43FD-B7D1-662D565B6F34}" uniqueName="5" name="p45_raw" queryTableFieldId="5"/>
    <tableColumn id="6" xr3:uid="{78C1630C-DBA7-4E68-9CFF-1E1C0105A995}" uniqueName="6" name="pfwd_filt" queryTableFieldId="6"/>
    <tableColumn id="7" xr3:uid="{7BBED7EB-28AF-486B-B87E-020408F484A7}" uniqueName="7" name="p45_filt" queryTableFieldId="7"/>
    <tableColumn id="8" xr3:uid="{719F6EF3-C565-4F4F-B739-47336BDAE10F}" uniqueName="8" name="coeff" queryTableFieldId="8"/>
    <tableColumn id="9" xr3:uid="{C37D4A47-619D-4F25-993D-3FEEE7BCF3BB}" uniqueName="9" name="aoa_raw" queryTableFieldId="9"/>
    <tableColumn id="10" xr3:uid="{C72865CA-8C10-4D50-BCDF-997B5117B29A}" uniqueName="10" name="aoa_filt" queryTableField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C964CDD-9F0A-4B45-A28E-45B3DDBD8E02}" name="_2026_04_17_16_41_07__19_high" displayName="_2026_04_17_16_41_07__19_high" ref="A1:J502" tableType="queryTable" totalsRowShown="0">
  <autoFilter ref="A1:J502" xr:uid="{FC964CDD-9F0A-4B45-A28E-45B3DDBD8E02}"/>
  <tableColumns count="10">
    <tableColumn id="1" xr3:uid="{9A9B08BE-A7D9-4E21-98FC-23552CCA7430}" uniqueName="1" name="count" queryTableFieldId="1"/>
    <tableColumn id="2" xr3:uid="{0DEBAC0B-5F6C-47B5-9518-BBBA80DA54A4}" uniqueName="2" name="timestamp_ms" queryTableFieldId="2"/>
    <tableColumn id="3" xr3:uid="{C9FC1321-054D-4786-A644-380FFF19488D}" uniqueName="3" name="aoa_valid" queryTableFieldId="3"/>
    <tableColumn id="4" xr3:uid="{25A900AE-2582-42B8-9000-401DDC7BBCE4}" uniqueName="4" name="pfd_raw" queryTableFieldId="4"/>
    <tableColumn id="5" xr3:uid="{EBB31F77-EB17-4264-98F8-71B3C751A373}" uniqueName="5" name="p45_raw" queryTableFieldId="5"/>
    <tableColumn id="6" xr3:uid="{DFBF2508-0EFF-4C22-9D31-63FC91AA31DF}" uniqueName="6" name="pfwd_filt" queryTableFieldId="6"/>
    <tableColumn id="7" xr3:uid="{12DFD7E8-9920-458F-A2DF-ADAD32AD5D97}" uniqueName="7" name="p45_filt" queryTableFieldId="7"/>
    <tableColumn id="8" xr3:uid="{97AD6FE8-921F-4B99-B507-0AD56AF3CC23}" uniqueName="8" name="coeff" queryTableFieldId="8"/>
    <tableColumn id="9" xr3:uid="{F4D89B97-E289-4024-B825-5E5B977B8C9A}" uniqueName="9" name="aoa_raw" queryTableFieldId="9"/>
    <tableColumn id="10" xr3:uid="{878A9745-7AA7-467B-89FE-5359D2E6049C}" uniqueName="10" name="aoa_filt" queryTableField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8569464-3775-47BB-8095-E2B98A3C4139}" name="_2026_04_17_16_43_51__14_high" displayName="_2026_04_17_16_43_51__14_high" ref="A1:J502" tableType="queryTable" totalsRowShown="0">
  <autoFilter ref="A1:J502" xr:uid="{D8569464-3775-47BB-8095-E2B98A3C4139}"/>
  <tableColumns count="10">
    <tableColumn id="1" xr3:uid="{272E85D6-3824-4899-AEFC-72A1D78776CF}" uniqueName="1" name="count" queryTableFieldId="1"/>
    <tableColumn id="2" xr3:uid="{55F3FAE5-0F69-4517-8C76-A3CA74E87DCD}" uniqueName="2" name="timestamp_ms" queryTableFieldId="2"/>
    <tableColumn id="3" xr3:uid="{FAB4F428-DD0D-4F8C-AD8D-8DD3E4254676}" uniqueName="3" name="aoa_valid" queryTableFieldId="3"/>
    <tableColumn id="4" xr3:uid="{EE214A52-8593-4884-9ADC-122197DF27E4}" uniqueName="4" name="pfd_raw" queryTableFieldId="4"/>
    <tableColumn id="5" xr3:uid="{1B97D0F1-4963-4A1B-A1D2-567805886F8C}" uniqueName="5" name="p45_raw" queryTableFieldId="5"/>
    <tableColumn id="6" xr3:uid="{348D0C91-2FE5-4C8E-8925-4CF8F2818FF3}" uniqueName="6" name="pfwd_filt" queryTableFieldId="6"/>
    <tableColumn id="7" xr3:uid="{67F45708-9287-45EA-86F7-BB4ACC2BB768}" uniqueName="7" name="p45_filt" queryTableFieldId="7"/>
    <tableColumn id="8" xr3:uid="{0B6807F8-3D22-4601-821E-2260FDC83ED7}" uniqueName="8" name="coeff" queryTableFieldId="8"/>
    <tableColumn id="9" xr3:uid="{FC7232D9-4480-45B5-8F23-34FF2052EC73}" uniqueName="9" name="aoa_raw" queryTableFieldId="9"/>
    <tableColumn id="10" xr3:uid="{FC6ABAA1-E065-4C22-85EA-8135B773029E}" uniqueName="10" name="aoa_filt" queryTableField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D2075E0-3E89-41E1-9937-502B9F971F5B}" name="_2026_04_17_16_40_13__12_high" displayName="_2026_04_17_16_40_13__12_high" ref="A1:J502" tableType="queryTable" totalsRowShown="0">
  <autoFilter ref="A1:J502" xr:uid="{2D2075E0-3E89-41E1-9937-502B9F971F5B}"/>
  <tableColumns count="10">
    <tableColumn id="1" xr3:uid="{F7D133AF-BA89-401B-9BD0-D23DE236A0C4}" uniqueName="1" name="count" queryTableFieldId="1"/>
    <tableColumn id="2" xr3:uid="{D6937718-D5E0-47F9-A67D-7E3B1E410716}" uniqueName="2" name="timestamp_ms" queryTableFieldId="2"/>
    <tableColumn id="3" xr3:uid="{7DE13CBC-8A31-456D-94F3-901A8B4E4760}" uniqueName="3" name="aoa_valid" queryTableFieldId="3"/>
    <tableColumn id="4" xr3:uid="{92B03A8C-7AB1-4E35-96FB-713F6200F7F9}" uniqueName="4" name="pfd_raw" queryTableFieldId="4"/>
    <tableColumn id="5" xr3:uid="{E96FF091-67E8-4860-BD49-47F214B1B084}" uniqueName="5" name="p45_raw" queryTableFieldId="5"/>
    <tableColumn id="6" xr3:uid="{A3CB76D6-FB7E-4BC2-99C0-54D2C56C470F}" uniqueName="6" name="pfwd_filt" queryTableFieldId="6"/>
    <tableColumn id="7" xr3:uid="{0809A39C-7296-4028-89B4-7DF513C64E02}" uniqueName="7" name="p45_filt" queryTableFieldId="7"/>
    <tableColumn id="8" xr3:uid="{EE210835-7DED-4B1C-91E1-F6FFC744DB2F}" uniqueName="8" name="coeff" queryTableFieldId="8"/>
    <tableColumn id="9" xr3:uid="{D765C272-160E-49C9-858E-EEE47B978275}" uniqueName="9" name="aoa_raw" queryTableFieldId="9"/>
    <tableColumn id="10" xr3:uid="{9747BBE0-F8B7-455B-93BD-F9DCF8C5EFF4}" uniqueName="10" name="aoa_filt" queryTableField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7A948E0-B7EF-4654-9251-5A1D3ADE1240}" name="_2026_04_17_16_38_14__7_high" displayName="_2026_04_17_16_38_14__7_high" ref="A1:J502" tableType="queryTable" totalsRowShown="0">
  <autoFilter ref="A1:J502" xr:uid="{A7A948E0-B7EF-4654-9251-5A1D3ADE1240}"/>
  <tableColumns count="10">
    <tableColumn id="1" xr3:uid="{CAAFF6A0-8E87-4A49-9CC6-665ADB1A1FD8}" uniqueName="1" name="count" queryTableFieldId="1"/>
    <tableColumn id="2" xr3:uid="{CCF9162A-7496-4C4D-A5E8-BF00243C3FED}" uniqueName="2" name="timestamp_ms" queryTableFieldId="2"/>
    <tableColumn id="3" xr3:uid="{7B07B8E5-8675-4CF7-9506-2C8D6364C6B7}" uniqueName="3" name="aoa_valid" queryTableFieldId="3"/>
    <tableColumn id="4" xr3:uid="{F54F7922-2DDA-451E-B01C-26C8B95CF980}" uniqueName="4" name="pfd_raw" queryTableFieldId="4"/>
    <tableColumn id="5" xr3:uid="{8D7808F8-821E-45FA-A8D9-7A68EB632665}" uniqueName="5" name="p45_raw" queryTableFieldId="5"/>
    <tableColumn id="6" xr3:uid="{4AFDC496-9DCE-493F-8C8C-664D877BFB79}" uniqueName="6" name="pfwd_filt" queryTableFieldId="6"/>
    <tableColumn id="7" xr3:uid="{EC84C978-D8D2-4B26-8FDF-5EA7CE97254D}" uniqueName="7" name="p45_filt" queryTableFieldId="7"/>
    <tableColumn id="8" xr3:uid="{554A3B08-6C6C-48C0-8C16-746CA0B1A6F3}" uniqueName="8" name="coeff" queryTableFieldId="8"/>
    <tableColumn id="9" xr3:uid="{5117A7B3-7739-4488-9C7A-78833F1CE52F}" uniqueName="9" name="aoa_raw" queryTableFieldId="9"/>
    <tableColumn id="10" xr3:uid="{9B92D2F5-6ADE-40DC-A000-1037749EA175}" uniqueName="10" name="aoa_filt" queryTableFieldId="1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B0C15AF-CC39-44A9-B9F2-019B967BEFB9}" name="_2026_04_17_16_36_46__5_high" displayName="_2026_04_17_16_36_46__5_high" ref="A1:J502" tableType="queryTable" totalsRowShown="0">
  <autoFilter ref="A1:J502" xr:uid="{4B0C15AF-CC39-44A9-B9F2-019B967BEFB9}"/>
  <tableColumns count="10">
    <tableColumn id="1" xr3:uid="{DA06A7F8-2F18-4908-9398-7EE5BE86312C}" uniqueName="1" name="count" queryTableFieldId="1"/>
    <tableColumn id="2" xr3:uid="{81F85893-CDB1-4904-9EB4-1067C55BA689}" uniqueName="2" name="timestamp_ms" queryTableFieldId="2"/>
    <tableColumn id="3" xr3:uid="{2A89F1FD-80FB-4238-BD1F-AFDEDC1E0408}" uniqueName="3" name="aoa_valid" queryTableFieldId="3"/>
    <tableColumn id="4" xr3:uid="{C5824D40-DCF4-4E31-8C68-79F156B90A2C}" uniqueName="4" name="pfd_raw" queryTableFieldId="4"/>
    <tableColumn id="5" xr3:uid="{30DB8DA2-A08C-4F1E-A064-21CCA7EAABFB}" uniqueName="5" name="p45_raw" queryTableFieldId="5"/>
    <tableColumn id="6" xr3:uid="{630B356D-2136-44EA-AB29-BE10A20EBBED}" uniqueName="6" name="pfwd_filt" queryTableFieldId="6"/>
    <tableColumn id="7" xr3:uid="{5FA033DE-FDDF-4E37-87FA-8ADC6BA2C0C3}" uniqueName="7" name="p45_filt" queryTableFieldId="7"/>
    <tableColumn id="8" xr3:uid="{96B2CC2C-7203-43BE-BF60-1EB799CA5DDE}" uniqueName="8" name="coeff" queryTableFieldId="8"/>
    <tableColumn id="9" xr3:uid="{8F863E5C-7375-43DB-A5BD-1BC49A9F98FD}" uniqueName="9" name="aoa_raw" queryTableFieldId="9"/>
    <tableColumn id="10" xr3:uid="{8223606E-2D43-4B14-B6DB-D613D6E7D69E}" uniqueName="10" name="aoa_filt" queryTableFieldId="10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6AB920C-6F52-4B61-A862-CDA78BE16D1D}" name="_2026_04_17_16_35_28__2_high" displayName="_2026_04_17_16_35_28__2_high" ref="A1:J502" tableType="queryTable" totalsRowShown="0">
  <autoFilter ref="A1:J502" xr:uid="{76AB920C-6F52-4B61-A862-CDA78BE16D1D}"/>
  <tableColumns count="10">
    <tableColumn id="1" xr3:uid="{0883F901-A063-412E-A7BB-9D30BE8BC2F5}" uniqueName="1" name="count" queryTableFieldId="1"/>
    <tableColumn id="2" xr3:uid="{C094537F-9175-45A9-B0B2-DBEF150C25E1}" uniqueName="2" name="timestamp_ms" queryTableFieldId="2"/>
    <tableColumn id="3" xr3:uid="{4723767A-5A01-4593-8F11-2426780CEBA2}" uniqueName="3" name="aoa_valid" queryTableFieldId="3"/>
    <tableColumn id="4" xr3:uid="{D64D5756-AC4C-4875-84E7-A01495242C1D}" uniqueName="4" name="pfd_raw" queryTableFieldId="4"/>
    <tableColumn id="5" xr3:uid="{E2A8026D-4699-44D0-88E6-4E6FC873D41C}" uniqueName="5" name="p45_raw" queryTableFieldId="5"/>
    <tableColumn id="6" xr3:uid="{FF08E420-425C-4A3D-BE5F-0867E45C054D}" uniqueName="6" name="pfwd_filt" queryTableFieldId="6"/>
    <tableColumn id="7" xr3:uid="{6ADAA385-22AF-46C8-8B68-590569F53FC8}" uniqueName="7" name="p45_filt" queryTableFieldId="7"/>
    <tableColumn id="8" xr3:uid="{68704E6E-BEF0-4A23-9B81-13A217B630AD}" uniqueName="8" name="coeff" queryTableFieldId="8"/>
    <tableColumn id="9" xr3:uid="{D213F861-196C-4381-85C9-8442EDCC4879}" uniqueName="9" name="aoa_raw" queryTableFieldId="9"/>
    <tableColumn id="10" xr3:uid="{DAACA2C9-DD96-48FB-96E6-6CE664A77AC0}" uniqueName="10" name="aoa_filt" queryTableFieldId="10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168E6AC-36F7-4A0E-B995-EE2B2AE4B43A}" name="_2026_04_17_16_32_27_0_high" displayName="_2026_04_17_16_32_27_0_high" ref="A1:J502" tableType="queryTable" totalsRowShown="0">
  <autoFilter ref="A1:J502" xr:uid="{6168E6AC-36F7-4A0E-B995-EE2B2AE4B43A}"/>
  <tableColumns count="10">
    <tableColumn id="1" xr3:uid="{9BDA639D-4F87-4E77-A700-4D6D49A50640}" uniqueName="1" name="count" queryTableFieldId="1"/>
    <tableColumn id="2" xr3:uid="{7B0A8DC4-0335-4AC4-93FF-AD98838C8C1A}" uniqueName="2" name="timestamp_ms" queryTableFieldId="2"/>
    <tableColumn id="3" xr3:uid="{18507CFB-E9C9-4F86-AB9D-8C153C76FD64}" uniqueName="3" name="aoa_valid" queryTableFieldId="3"/>
    <tableColumn id="4" xr3:uid="{C334BEA1-E9EA-4B18-8933-A8C01A6720F4}" uniqueName="4" name="pfd_raw" queryTableFieldId="4"/>
    <tableColumn id="5" xr3:uid="{9E1AED6A-92FD-4340-819B-AAF83E5F4E8A}" uniqueName="5" name="p45_raw" queryTableFieldId="5"/>
    <tableColumn id="6" xr3:uid="{014D4330-036D-421E-9628-CD26D8D0153A}" uniqueName="6" name="pfwd_filt" queryTableFieldId="6"/>
    <tableColumn id="7" xr3:uid="{0794F741-7C24-4975-A21A-1AF8FB8685E4}" uniqueName="7" name="p45_filt" queryTableFieldId="7"/>
    <tableColumn id="8" xr3:uid="{60BE1DCA-0190-45AF-B6B1-86DDD79022EA}" uniqueName="8" name="coeff" queryTableFieldId="8"/>
    <tableColumn id="9" xr3:uid="{78E77989-0380-43F9-9BE4-DC3BA42F1246}" uniqueName="9" name="aoa_raw" queryTableFieldId="9"/>
    <tableColumn id="10" xr3:uid="{30EF1DA7-5D5A-4319-AE42-26680A7F6E8F}" uniqueName="10" name="aoa_filt" queryTableFieldId="10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5F11FFE-AE1B-495F-A81E-AC474F7490A4}" name="_2026_04_17_16_31_51_5_high" displayName="_2026_04_17_16_31_51_5_high" ref="A1:J502" tableType="queryTable" totalsRowShown="0">
  <autoFilter ref="A1:J502" xr:uid="{15F11FFE-AE1B-495F-A81E-AC474F7490A4}"/>
  <tableColumns count="10">
    <tableColumn id="1" xr3:uid="{2AE26EE6-D88D-45B6-AC35-F47B3458088F}" uniqueName="1" name="count" queryTableFieldId="1"/>
    <tableColumn id="2" xr3:uid="{ED2F4F4B-32C7-4D52-B814-F918EC2FF611}" uniqueName="2" name="timestamp_ms" queryTableFieldId="2"/>
    <tableColumn id="3" xr3:uid="{CD91BF31-795C-4A49-A64C-D5F7B2E0B9B7}" uniqueName="3" name="aoa_valid" queryTableFieldId="3"/>
    <tableColumn id="4" xr3:uid="{BE201EBD-043C-4A70-9741-3F34EBCC125F}" uniqueName="4" name="pfd_raw" queryTableFieldId="4"/>
    <tableColumn id="5" xr3:uid="{3393B7D5-E0D6-4F9C-A661-797F8FDDBD92}" uniqueName="5" name="p45_raw" queryTableFieldId="5"/>
    <tableColumn id="6" xr3:uid="{D56CE0D0-4EAB-4F8B-9F68-5568EAAC5871}" uniqueName="6" name="pfwd_filt" queryTableFieldId="6"/>
    <tableColumn id="7" xr3:uid="{E8E99302-0A9E-4650-8658-E8539741029E}" uniqueName="7" name="p45_filt" queryTableFieldId="7"/>
    <tableColumn id="8" xr3:uid="{F61FB454-0F4C-4FA2-AF3E-E8317B110A3A}" uniqueName="8" name="coeff" queryTableFieldId="8"/>
    <tableColumn id="9" xr3:uid="{20543BF7-C06A-405A-AA93-9D80DC26FA55}" uniqueName="9" name="aoa_raw" queryTableFieldId="9"/>
    <tableColumn id="10" xr3:uid="{71276CE0-7851-4560-8E28-DED769D8F579}" uniqueName="10" name="aoa_filt" queryTableFieldId="10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6635EC5-E8D1-46C7-A942-31908DCE6C9D}" name="_2026_04_17_16_31_16_7_high" displayName="_2026_04_17_16_31_16_7_high" ref="A1:J502" tableType="queryTable" totalsRowShown="0">
  <autoFilter ref="A1:J502" xr:uid="{B6635EC5-E8D1-46C7-A942-31908DCE6C9D}"/>
  <tableColumns count="10">
    <tableColumn id="1" xr3:uid="{06BE4A96-7172-460C-97EC-DF6634C48F8E}" uniqueName="1" name="count" queryTableFieldId="1"/>
    <tableColumn id="2" xr3:uid="{E4A01DF7-E010-4A04-B158-4D530CA31033}" uniqueName="2" name="timestamp_ms" queryTableFieldId="2"/>
    <tableColumn id="3" xr3:uid="{8B900823-C275-49BF-965D-3053453777F9}" uniqueName="3" name="aoa_valid" queryTableFieldId="3"/>
    <tableColumn id="4" xr3:uid="{537A3D84-C637-43A8-9923-401291D96274}" uniqueName="4" name="pfd_raw" queryTableFieldId="4"/>
    <tableColumn id="5" xr3:uid="{53AF5F8C-B9AC-497E-AAC7-8418552CCCE8}" uniqueName="5" name="p45_raw" queryTableFieldId="5"/>
    <tableColumn id="6" xr3:uid="{4EB2642E-772D-4F70-AAFC-F80E6CE56C0B}" uniqueName="6" name="pfwd_filt" queryTableFieldId="6"/>
    <tableColumn id="7" xr3:uid="{069069F3-D226-418A-8EF1-4ACE757C226A}" uniqueName="7" name="p45_filt" queryTableFieldId="7"/>
    <tableColumn id="8" xr3:uid="{FC858ACE-A2B0-48CA-964A-5DA6B9467A73}" uniqueName="8" name="coeff" queryTableFieldId="8"/>
    <tableColumn id="9" xr3:uid="{2B9C1E75-CE18-4F68-A866-037FDE7E123E}" uniqueName="9" name="aoa_raw" queryTableFieldId="9"/>
    <tableColumn id="10" xr3:uid="{9367F971-55D9-44EA-B775-428601C2A463}" uniqueName="10" name="aoa_filt" queryTableFieldId="10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3B3BCF0-7278-4B13-A71B-E868BB4215F1}" name="_2026_04_17_16_30_28_9_high" displayName="_2026_04_17_16_30_28_9_high" ref="A1:J502" tableType="queryTable" totalsRowShown="0">
  <autoFilter ref="A1:J502" xr:uid="{83B3BCF0-7278-4B13-A71B-E868BB4215F1}"/>
  <tableColumns count="10">
    <tableColumn id="1" xr3:uid="{C1D699BF-2FA7-48A6-96D9-8A6016EEFD16}" uniqueName="1" name="count" queryTableFieldId="1"/>
    <tableColumn id="2" xr3:uid="{35C909C0-0C5D-4BCD-B9D8-BEA426EACBDE}" uniqueName="2" name="timestamp_ms" queryTableFieldId="2"/>
    <tableColumn id="3" xr3:uid="{E20C0DA6-B135-4E25-BA1A-2CD53D31890F}" uniqueName="3" name="aoa_valid" queryTableFieldId="3"/>
    <tableColumn id="4" xr3:uid="{F090165F-74E4-48A0-BFC7-1FA811F3A370}" uniqueName="4" name="pfd_raw" queryTableFieldId="4"/>
    <tableColumn id="5" xr3:uid="{8F44EFB9-91DF-4CDD-B15E-06C79DB17F25}" uniqueName="5" name="p45_raw" queryTableFieldId="5"/>
    <tableColumn id="6" xr3:uid="{3D25B5F6-50C0-406B-A28C-1BC93CA18655}" uniqueName="6" name="pfwd_filt" queryTableFieldId="6"/>
    <tableColumn id="7" xr3:uid="{3289D4FE-795C-4994-9EDE-465B06D5BED4}" uniqueName="7" name="p45_filt" queryTableFieldId="7"/>
    <tableColumn id="8" xr3:uid="{A86A3C61-D2A1-4982-8D61-1DC2E7347BD2}" uniqueName="8" name="coeff" queryTableFieldId="8"/>
    <tableColumn id="9" xr3:uid="{4CAE4E31-79B6-43CB-BCDD-14E5381F20C3}" uniqueName="9" name="aoa_raw" queryTableFieldId="9"/>
    <tableColumn id="10" xr3:uid="{6F06DDC6-0CBB-4C31-BB03-EACEF2F5DB5B}" uniqueName="10" name="aoa_filt" queryTableFieldId="10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77F7E6E-ECCA-4886-9AAA-02D6ADF2D9E4}" name="_2026_04_17_16_29_45_13_high" displayName="_2026_04_17_16_29_45_13_high" ref="A1:J502" tableType="queryTable" totalsRowShown="0">
  <autoFilter ref="A1:J502" xr:uid="{277F7E6E-ECCA-4886-9AAA-02D6ADF2D9E4}"/>
  <tableColumns count="10">
    <tableColumn id="1" xr3:uid="{2CCD9F2B-1004-4BFE-BA39-AE3E6E383412}" uniqueName="1" name="count" queryTableFieldId="1"/>
    <tableColumn id="2" xr3:uid="{9DCA7DB6-B03F-4354-9C48-3790B455855B}" uniqueName="2" name="timestamp_ms" queryTableFieldId="2"/>
    <tableColumn id="3" xr3:uid="{4962F62C-0617-4053-B5C3-F1A2EA8A6090}" uniqueName="3" name="aoa_valid" queryTableFieldId="3"/>
    <tableColumn id="4" xr3:uid="{FC57C9E7-58CB-418E-905E-066AD70A7FF1}" uniqueName="4" name="pfd_raw" queryTableFieldId="4"/>
    <tableColumn id="5" xr3:uid="{EF9DD1ED-05E3-47CD-A1A7-FA27E74AE744}" uniqueName="5" name="p45_raw" queryTableFieldId="5"/>
    <tableColumn id="6" xr3:uid="{B4435608-331B-42BD-A1A5-2AC5A6CEC455}" uniqueName="6" name="pfwd_filt" queryTableFieldId="6"/>
    <tableColumn id="7" xr3:uid="{B1687BA4-7AC4-4120-8E8D-AD2FCD7259C4}" uniqueName="7" name="p45_filt" queryTableFieldId="7"/>
    <tableColumn id="8" xr3:uid="{3D056CB4-490C-4052-B8B2-7225FDDC6575}" uniqueName="8" name="coeff" queryTableFieldId="8"/>
    <tableColumn id="9" xr3:uid="{B3F81F29-C0B5-4840-B436-D377783A719A}" uniqueName="9" name="aoa_raw" queryTableFieldId="9"/>
    <tableColumn id="10" xr3:uid="{83D2E904-9D8C-4CAE-A7AF-DBF97F2A5C69}" uniqueName="10" name="aoa_filt" queryTableFieldId="10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751A31F-3245-4E0F-A863-9B91B3D78515}" name="_2026_04_17_16_29_05_14_high" displayName="_2026_04_17_16_29_05_14_high" ref="A1:J502" tableType="queryTable" totalsRowShown="0">
  <autoFilter ref="A1:J502" xr:uid="{7751A31F-3245-4E0F-A863-9B91B3D78515}"/>
  <tableColumns count="10">
    <tableColumn id="1" xr3:uid="{3CE4E3E6-A562-4A49-AEF8-62EF5CAC984B}" uniqueName="1" name="count" queryTableFieldId="1"/>
    <tableColumn id="2" xr3:uid="{C2694783-DC44-4B86-A7F3-FE1EBF93B3EC}" uniqueName="2" name="timestamp_ms" queryTableFieldId="2"/>
    <tableColumn id="3" xr3:uid="{925ABC44-95C9-4675-B71F-345445C9DEE4}" uniqueName="3" name="aoa_valid" queryTableFieldId="3"/>
    <tableColumn id="4" xr3:uid="{DD33D92A-4862-4D99-B292-86344C03305D}" uniqueName="4" name="pfd_raw" queryTableFieldId="4"/>
    <tableColumn id="5" xr3:uid="{2BA71A54-C2E2-4A47-A5A9-F5CE2EBF08EB}" uniqueName="5" name="p45_raw" queryTableFieldId="5"/>
    <tableColumn id="6" xr3:uid="{287111F2-A765-4ECC-8E4F-CADE61C5A5BB}" uniqueName="6" name="pfwd_filt" queryTableFieldId="6"/>
    <tableColumn id="7" xr3:uid="{C3116210-E41F-46BA-BF11-EC363EB90C96}" uniqueName="7" name="p45_filt" queryTableFieldId="7"/>
    <tableColumn id="8" xr3:uid="{78ECECF0-AC49-486B-98F5-3F9248AAF74D}" uniqueName="8" name="coeff" queryTableFieldId="8"/>
    <tableColumn id="9" xr3:uid="{6563478E-588B-46DC-A3F2-778FCC2FA0E8}" uniqueName="9" name="aoa_raw" queryTableFieldId="9"/>
    <tableColumn id="10" xr3:uid="{44061CE1-9879-439E-938D-C4FDB221669A}" uniqueName="10" name="aoa_filt" queryTableFieldId="10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5C16C3A-613B-45A3-9208-81A16D5C5E36}" name="_2026_04_17_16_28_20_16_high" displayName="_2026_04_17_16_28_20_16_high" ref="A1:J502" tableType="queryTable" totalsRowShown="0">
  <autoFilter ref="A1:J502" xr:uid="{15C16C3A-613B-45A3-9208-81A16D5C5E36}"/>
  <tableColumns count="10">
    <tableColumn id="1" xr3:uid="{AAEFF784-A65D-4495-9EEB-F8E790A947E7}" uniqueName="1" name="count" queryTableFieldId="1"/>
    <tableColumn id="2" xr3:uid="{EB9CD30B-8809-4171-ADA8-1958FFA335C2}" uniqueName="2" name="timestamp_ms" queryTableFieldId="2"/>
    <tableColumn id="3" xr3:uid="{C1804B77-69E2-44A4-A671-5C183989F7B4}" uniqueName="3" name="aoa_valid" queryTableFieldId="3"/>
    <tableColumn id="4" xr3:uid="{27E986EB-9AEC-45E6-B69A-2416F0938399}" uniqueName="4" name="pfd_raw" queryTableFieldId="4"/>
    <tableColumn id="5" xr3:uid="{67356BF1-1C38-4065-8BB6-82B28EE9BA99}" uniqueName="5" name="p45_raw" queryTableFieldId="5"/>
    <tableColumn id="6" xr3:uid="{F16A60C7-0A7A-434D-9002-E0FED89EE4A7}" uniqueName="6" name="pfwd_filt" queryTableFieldId="6"/>
    <tableColumn id="7" xr3:uid="{145C614E-24E8-4445-A63B-0B147147BE90}" uniqueName="7" name="p45_filt" queryTableFieldId="7"/>
    <tableColumn id="8" xr3:uid="{204C2A2E-C580-425D-8640-98B85B06F909}" uniqueName="8" name="coeff" queryTableFieldId="8"/>
    <tableColumn id="9" xr3:uid="{EF130E7F-D977-43E9-B330-970B0C886990}" uniqueName="9" name="aoa_raw" queryTableFieldId="9"/>
    <tableColumn id="10" xr3:uid="{3EE22329-BA64-4D6F-8565-DA845D20C45A}" uniqueName="10" name="aoa_filt" queryTableFieldId="10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224220-46E3-4D60-ACA8-A2AF3793B546}" name="_2026_04_17_16_26_30_19_high" displayName="_2026_04_17_16_26_30_19_high" ref="A1:J502" tableType="queryTable" totalsRowShown="0">
  <autoFilter ref="A1:J502" xr:uid="{A8224220-46E3-4D60-ACA8-A2AF3793B546}"/>
  <tableColumns count="10">
    <tableColumn id="1" xr3:uid="{FEC04CDA-2BF1-44EF-90A6-20D5C0BEF4F3}" uniqueName="1" name="count" queryTableFieldId="1"/>
    <tableColumn id="2" xr3:uid="{56D9EB01-57F1-418B-B4D6-0251640F95B1}" uniqueName="2" name="timestamp_ms" queryTableFieldId="2"/>
    <tableColumn id="3" xr3:uid="{4210359D-395D-4EF7-A567-FAAD088BA9F3}" uniqueName="3" name="aoa_valid" queryTableFieldId="3"/>
    <tableColumn id="4" xr3:uid="{25B0DCB2-DBD0-486A-B935-A83EE3648A42}" uniqueName="4" name="pfd_raw" queryTableFieldId="4"/>
    <tableColumn id="5" xr3:uid="{4E0678C1-8DAD-4A4F-A5FB-5F0E76A72F73}" uniqueName="5" name="p45_raw" queryTableFieldId="5"/>
    <tableColumn id="6" xr3:uid="{2DBEFF86-6B18-4354-9601-1D297FF587C8}" uniqueName="6" name="pfwd_filt" queryTableFieldId="6"/>
    <tableColumn id="7" xr3:uid="{7EE3ADC3-3B00-4BED-B923-E008D28552D4}" uniqueName="7" name="p45_filt" queryTableFieldId="7"/>
    <tableColumn id="8" xr3:uid="{D4BD5447-C987-4D2A-B5DC-DC3AC23605B9}" uniqueName="8" name="coeff" queryTableFieldId="8"/>
    <tableColumn id="9" xr3:uid="{D433DE34-2794-440D-94E9-44E8A7BF5E4A}" uniqueName="9" name="aoa_raw" queryTableFieldId="9"/>
    <tableColumn id="10" xr3:uid="{E6717426-0ADB-400B-A9D0-414477904B22}" uniqueName="10" name="aoa_filt" queryTableFieldId="10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2264C8-DFC3-44C2-A71A-645EA66D71F0}" name="_2026_04_17_16_25_21_23_high" displayName="_2026_04_17_16_25_21_23_high" ref="A1:L502" tableType="queryTable" totalsRowShown="0">
  <autoFilter ref="A1:L502" xr:uid="{642264C8-DFC3-44C2-A71A-645EA66D71F0}"/>
  <tableColumns count="12">
    <tableColumn id="1" xr3:uid="{947EBD83-2758-4273-BF58-B4C89F3E0AE5}" uniqueName="1" name="count" queryTableFieldId="1"/>
    <tableColumn id="2" xr3:uid="{78D1E392-9CB5-4D89-B93F-9C5EEC969866}" uniqueName="2" name="timestamp_ms" queryTableFieldId="2"/>
    <tableColumn id="3" xr3:uid="{94CE3766-27F1-4B03-92B1-14990CDA31B7}" uniqueName="3" name="aoa_valid" queryTableFieldId="3"/>
    <tableColumn id="4" xr3:uid="{FF5BDCAF-A3C2-4D7F-BB6C-D0916A1D5247}" uniqueName="4" name="pfd_raw" queryTableFieldId="4"/>
    <tableColumn id="5" xr3:uid="{B495A30F-1357-45F1-87EE-8C4D8DC92C5A}" uniqueName="5" name="p45_raw" queryTableFieldId="5"/>
    <tableColumn id="6" xr3:uid="{46DD8505-5080-49E4-AE92-C464114EE276}" uniqueName="6" name="pfwd_filt" queryTableFieldId="6"/>
    <tableColumn id="7" xr3:uid="{353D2286-2968-40DA-A487-FCCF2C5A1C5B}" uniqueName="7" name="p45_filt" queryTableFieldId="7"/>
    <tableColumn id="8" xr3:uid="{0D42DDF1-4FA5-464B-9686-DB404DAC948B}" uniqueName="8" name="coeff" queryTableFieldId="8"/>
    <tableColumn id="9" xr3:uid="{98C02632-B2CD-4A0A-A713-CECC81CC0B79}" uniqueName="9" name="aoa_raw" queryTableFieldId="9"/>
    <tableColumn id="10" xr3:uid="{CD02D085-2125-4885-A05C-AE1C85F06AFC}" uniqueName="10" name="aoa_filt" queryTableFieldId="10"/>
    <tableColumn id="11" xr3:uid="{8CB55200-280A-49FA-B484-8B44702B1BE3}" uniqueName="11" name="new_aoa" queryTableFieldId="11" dataDxfId="3">
      <calculatedColumnFormula xml:space="preserve"> -55.696 * _2026_04_17_16_25_21_23_high[[#This Row],[coeff]] + 79.57</calculatedColumnFormula>
    </tableColumn>
    <tableColumn id="12" xr3:uid="{6D9434DF-0B32-4646-A381-8B9BEBEA427B}" uniqueName="12" name="moving_aoa" queryTableFieldId="12" dataDxfId="2">
      <calculatedColumnFormula xml:space="preserve"> -55.696 * _2026_04_17_16_25_21_23_high[[#This Row],[coeff]] + 79.57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FF91D-291F-4F64-9DC1-297448E85CBA}">
  <dimension ref="A1:U11"/>
  <sheetViews>
    <sheetView tabSelected="1" workbookViewId="0">
      <selection activeCell="A3" sqref="A3:G8"/>
    </sheetView>
  </sheetViews>
  <sheetFormatPr defaultRowHeight="14.4" x14ac:dyDescent="0.3"/>
  <cols>
    <col min="2" max="2" width="15.5546875" customWidth="1"/>
    <col min="3" max="3" width="14.5546875" bestFit="1" customWidth="1"/>
    <col min="4" max="4" width="17.21875" customWidth="1"/>
    <col min="5" max="5" width="16.21875" customWidth="1"/>
    <col min="6" max="6" width="12.44140625" customWidth="1"/>
    <col min="7" max="7" width="14.109375" customWidth="1"/>
    <col min="8" max="8" width="22.44140625" customWidth="1"/>
  </cols>
  <sheetData>
    <row r="1" spans="1:21" x14ac:dyDescent="0.3">
      <c r="A1" t="s">
        <v>10</v>
      </c>
      <c r="B1" t="s">
        <v>11</v>
      </c>
      <c r="C1" t="s">
        <v>15</v>
      </c>
      <c r="D1" t="s">
        <v>12</v>
      </c>
      <c r="E1" t="s">
        <v>13</v>
      </c>
      <c r="F1" t="s">
        <v>16</v>
      </c>
      <c r="G1" t="s">
        <v>14</v>
      </c>
      <c r="H1" t="s">
        <v>17</v>
      </c>
      <c r="I1" t="s">
        <v>20</v>
      </c>
    </row>
    <row r="2" spans="1:21" x14ac:dyDescent="0.3">
      <c r="H2" s="13"/>
      <c r="I2" s="13"/>
    </row>
    <row r="3" spans="1:21" x14ac:dyDescent="0.3">
      <c r="A3" s="4">
        <v>-15</v>
      </c>
      <c r="B3" s="5">
        <f>AVERAGE(_2026_04_17_16_43_51__14_high[pfwd_filt])</f>
        <v>215.24942303393212</v>
      </c>
      <c r="C3" s="5">
        <f>AVERAGE(_2026_04_17_16_43_51__14_high[p45_filt])</f>
        <v>171.68195323353311</v>
      </c>
      <c r="D3" s="5">
        <f>MEDIAN(_2026_04_17_16_43_51__14_high[pfwd_filt])</f>
        <v>214.93333000000001</v>
      </c>
      <c r="E3" s="5">
        <f>MEDIAN(_2026_04_17_16_43_51__14_high[p45_filt])</f>
        <v>172.46665999999999</v>
      </c>
      <c r="F3" s="5">
        <f>AVERAGE(_2026_04_17_16_43_51__14_high[coeff])</f>
        <v>1.2542885105788424</v>
      </c>
      <c r="G3" s="5">
        <f>MEDIAN(_2026_04_17_16_43_51__14_high[coeff])</f>
        <v>1.2454721</v>
      </c>
      <c r="H3" s="5">
        <f xml:space="preserve"> -41.522 *Table18[[#This Row],[coeff_mean]] + 47.122</f>
        <v>-4.9585675362546908</v>
      </c>
      <c r="I3" s="6">
        <f xml:space="preserve"> -66.186 *Table18[[#This Row],[coeff_mean]] + 72.445</f>
        <v>-10.571339361171283</v>
      </c>
    </row>
    <row r="4" spans="1:21" x14ac:dyDescent="0.3">
      <c r="A4" s="1">
        <v>-9</v>
      </c>
      <c r="B4" s="2">
        <f>AVERAGE(_2026_04_17_16_40_13__12_high[pfwd_filt])</f>
        <v>283.93506510978074</v>
      </c>
      <c r="C4" s="2">
        <f>AVERAGE(_2026_04_17_16_40_13__12_high[p45_filt])</f>
        <v>191.58626678642702</v>
      </c>
      <c r="D4" s="2">
        <f>MEDIAN(_2026_04_17_16_40_13__12_high[pfwd_filt])</f>
        <v>283.2</v>
      </c>
      <c r="E4" s="2">
        <f>MEDIAN(_2026_04_17_16_40_13__12_high[p45_filt])</f>
        <v>190.6</v>
      </c>
      <c r="F4" s="2">
        <f>AVERAGE(_2026_04_17_16_40_13__12_high[coeff])</f>
        <v>1.4832468712574862</v>
      </c>
      <c r="G4" s="2">
        <f>MEDIAN(_2026_04_17_16_40_13__12_high[coeff])</f>
        <v>1.4856739000000001</v>
      </c>
      <c r="H4" s="5">
        <f xml:space="preserve"> -41.522 *Table18[[#This Row],[coeff_mean]] + 47.122</f>
        <v>-14.465376588353344</v>
      </c>
      <c r="I4" s="3">
        <f xml:space="preserve"> -66.186 *Table18[[#This Row],[coeff_mean]] + 72.445</f>
        <v>-25.725177421048002</v>
      </c>
    </row>
    <row r="5" spans="1:21" x14ac:dyDescent="0.3">
      <c r="H5" s="5">
        <f xml:space="preserve"> -41.522 *Table18[[#This Row],[coeff_mean]] + 47.122</f>
        <v>47.122</v>
      </c>
      <c r="I5" s="13"/>
    </row>
    <row r="6" spans="1:21" x14ac:dyDescent="0.3">
      <c r="A6">
        <v>2</v>
      </c>
      <c r="B6">
        <f>AVERAGE(_2026_04_17_16_32_27_0_high[pfwd_filt])</f>
        <v>278.96197938123777</v>
      </c>
      <c r="C6">
        <f>AVERAGE(_2026_04_17_16_32_27_0_high[p45_filt])</f>
        <v>252.70938055888223</v>
      </c>
      <c r="D6">
        <f>MEDIAN(_2026_04_17_16_32_27_0_high[pfwd_filt])</f>
        <v>278.39999999999998</v>
      </c>
      <c r="E6">
        <f>MEDIAN(_2026_04_17_16_32_27_0_high[p45_filt])</f>
        <v>253</v>
      </c>
      <c r="F6">
        <f>AVERAGE(_2026_04_17_16_32_27_0_high[coeff])</f>
        <v>1.1043678816367268</v>
      </c>
      <c r="G6">
        <f>MEDIAN(_2026_04_17_16_32_27_0_high[coeff])</f>
        <v>1.1033046</v>
      </c>
      <c r="H6" s="5">
        <f xml:space="preserve"> -41.522 *Table18[[#This Row],[coeff_mean]] + 47.122</f>
        <v>1.2664368186798285</v>
      </c>
      <c r="I6">
        <f xml:space="preserve"> -66.186 *Table18[[#This Row],[coeff_mean]] + 72.445</f>
        <v>-0.64869261400841083</v>
      </c>
    </row>
    <row r="7" spans="1:21" x14ac:dyDescent="0.3">
      <c r="A7">
        <v>6</v>
      </c>
      <c r="B7">
        <f>AVERAGE(_2026_04_17_16_31_51_5_high[pfwd_filt])</f>
        <v>281.98543153692611</v>
      </c>
      <c r="C7">
        <f>AVERAGE(_2026_04_17_16_31_51_5_high[p45_filt])</f>
        <v>279.04979005988037</v>
      </c>
      <c r="D7">
        <f>MEDIAN(_2026_04_17_16_31_51_5_high[pfwd_filt])</f>
        <v>281.60000000000002</v>
      </c>
      <c r="E7">
        <f>MEDIAN(_2026_04_17_16_31_51_5_high[p45_filt])</f>
        <v>278.60000000000002</v>
      </c>
      <c r="F7">
        <f>AVERAGE(_2026_04_17_16_31_51_5_high[coeff])</f>
        <v>1.0108568580039918</v>
      </c>
      <c r="G7">
        <f>MEDIAN(_2026_04_17_16_31_51_5_high[coeff])</f>
        <v>1.0127803</v>
      </c>
      <c r="H7" s="5">
        <f xml:space="preserve"> -41.522 *Table18[[#This Row],[coeff_mean]] + 47.122</f>
        <v>5.1492015419582557</v>
      </c>
      <c r="I7">
        <f xml:space="preserve"> -66.186 *Table18[[#This Row],[coeff_mean]] + 72.445</f>
        <v>5.540427996147784</v>
      </c>
      <c r="M7" s="7">
        <v>-21</v>
      </c>
      <c r="N7" s="8">
        <f>AVERAGE(_2026_04_17_16_42_00__22_high[pfwd_filt])</f>
        <v>299.01166880239538</v>
      </c>
      <c r="O7" s="8">
        <f>AVERAGE(_2026_04_17_16_42_00__22_high[p45_filt])</f>
        <v>221.43194784431159</v>
      </c>
      <c r="P7" s="8">
        <f>MEDIAN(_2026_04_17_16_42_00__22_high[pfwd_filt])</f>
        <v>298.93331999999998</v>
      </c>
      <c r="Q7" s="8">
        <f>MEDIAN(_2026_04_17_16_42_00__22_high[p45_filt])</f>
        <v>221.13333</v>
      </c>
      <c r="R7" s="8">
        <f>AVERAGE(_2026_04_17_16_42_00__22_high[coeff])</f>
        <v>1.3507106273453102</v>
      </c>
      <c r="S7" s="8">
        <f>MEDIAN(_2026_04_17_16_42_00__22_high[coeff])</f>
        <v>1.3516847000000001</v>
      </c>
      <c r="T7" s="8">
        <f xml:space="preserve"> -84.534 *Table18[[#This Row],[coeff_median]] + 87.249</f>
        <v>1.6346301197999935</v>
      </c>
      <c r="U7" s="9">
        <f xml:space="preserve"> -66.186 *Table18[[#This Row],[coeff_mean]] + 72.445</f>
        <v>5.540427996147784</v>
      </c>
    </row>
    <row r="8" spans="1:21" x14ac:dyDescent="0.3">
      <c r="A8">
        <v>11</v>
      </c>
      <c r="B8">
        <f>AVERAGE(_2026_04_17_16_30_28_9_high[pfwd_filt])</f>
        <v>270.59418397205604</v>
      </c>
      <c r="C8">
        <f>AVERAGE(_2026_04_17_16_30_28_9_high[p45_filt])</f>
        <v>287.3023714570856</v>
      </c>
      <c r="D8">
        <f>MEDIAN(_2026_04_17_16_30_28_9_high[pfwd_filt])</f>
        <v>270.39999999999998</v>
      </c>
      <c r="E8">
        <f>MEDIAN(_2026_04_17_16_30_28_9_high[p45_filt])</f>
        <v>287.13333</v>
      </c>
      <c r="F8">
        <f>AVERAGE(_2026_04_17_16_30_28_9_high[coeff])</f>
        <v>0.94200048878243503</v>
      </c>
      <c r="G8">
        <f>MEDIAN(_2026_04_17_16_30_28_9_high[coeff])</f>
        <v>0.93975350000000002</v>
      </c>
      <c r="H8" s="5">
        <f xml:space="preserve"> -41.522 *Table18[[#This Row],[coeff_mean]] + 47.122</f>
        <v>8.0082557047757348</v>
      </c>
      <c r="I8">
        <f xml:space="preserve"> -66.186 *Table18[[#This Row],[coeff_mean]] + 72.445</f>
        <v>10.097755649445745</v>
      </c>
      <c r="M8" s="10">
        <v>-5</v>
      </c>
      <c r="N8" s="11">
        <f>AVERAGE(_2026_04_17_16_36_46__5_high[pfwd_filt])</f>
        <v>231.8616300598803</v>
      </c>
      <c r="O8" s="11">
        <f>AVERAGE(_2026_04_17_16_36_46__5_high[p45_filt])</f>
        <v>221.62458970059885</v>
      </c>
      <c r="P8" s="11">
        <f>MEDIAN(_2026_04_17_16_36_46__5_high[pfwd_filt])</f>
        <v>231.4</v>
      </c>
      <c r="Q8" s="11">
        <f>MEDIAN(_2026_04_17_16_36_46__5_high[p45_filt])</f>
        <v>221.93333000000001</v>
      </c>
      <c r="R8" s="11">
        <f>AVERAGE(_2026_04_17_16_36_46__5_high[coeff])</f>
        <v>1.046729068682634</v>
      </c>
      <c r="S8" s="11">
        <f>MEDIAN(_2026_04_17_16_36_46__5_high[coeff])</f>
        <v>1.0452026000000001</v>
      </c>
      <c r="T8" s="11">
        <f xml:space="preserve"> -84.534 *Table18[[#This Row],[coeff_median]] + 87.249</f>
        <v>7.8078776309999824</v>
      </c>
      <c r="U8" s="12">
        <f xml:space="preserve"> -66.186 *Table18[[#This Row],[coeff_mean]] + 72.445</f>
        <v>10.097755649445745</v>
      </c>
    </row>
    <row r="9" spans="1:21" x14ac:dyDescent="0.3">
      <c r="H9" s="13"/>
      <c r="I9" s="13"/>
      <c r="M9" s="10">
        <v>15</v>
      </c>
      <c r="N9" s="11">
        <f>AVERAGE(_2026_04_17_16_29_05_14_high[pfwd_filt])</f>
        <v>220.2970717564867</v>
      </c>
      <c r="O9" s="11">
        <f>AVERAGE(_2026_04_17_16_29_05_14_high[p45_filt])</f>
        <v>188.51742632734536</v>
      </c>
      <c r="P9" s="11">
        <f>MEDIAN(_2026_04_17_16_29_05_14_high[pfwd_filt])</f>
        <v>220.86667</v>
      </c>
      <c r="Q9" s="11">
        <f>MEDIAN(_2026_04_17_16_29_05_14_high[p45_filt])</f>
        <v>188.4</v>
      </c>
      <c r="R9" s="11">
        <f>AVERAGE(_2026_04_17_16_29_05_14_high[coeff])</f>
        <v>1.1692435730538917</v>
      </c>
      <c r="S9" s="11">
        <f>MEDIAN(_2026_04_17_16_29_05_14_high[coeff])</f>
        <v>1.1718534</v>
      </c>
      <c r="T9" s="11">
        <f xml:space="preserve"> -55.696 * Table18[[#This Row],[coeff_mean]] + 79.57</f>
        <v>79.569999999999993</v>
      </c>
      <c r="U9" s="12">
        <f xml:space="preserve"> -66.186 *Table18[[#This Row],[coeff_mean]] + 72.445</f>
        <v>72.444999999999993</v>
      </c>
    </row>
    <row r="10" spans="1:21" x14ac:dyDescent="0.3">
      <c r="H10" s="13"/>
      <c r="I10" s="13"/>
      <c r="M10" s="7">
        <v>20</v>
      </c>
      <c r="N10" s="8">
        <f>AVERAGE(_2026_04_17_16_26_30_19_high[pfwd_filt])</f>
        <v>204.71259225548931</v>
      </c>
      <c r="O10" s="8">
        <f>AVERAGE(_2026_04_17_16_26_30_19_high[p45_filt])</f>
        <v>191.95005972055901</v>
      </c>
      <c r="P10" s="8">
        <f>MEDIAN(_2026_04_17_16_26_30_19_high[pfwd_filt])</f>
        <v>205.2</v>
      </c>
      <c r="Q10" s="8">
        <f>MEDIAN(_2026_04_17_16_26_30_19_high[p45_filt])</f>
        <v>192</v>
      </c>
      <c r="R10" s="8">
        <f>AVERAGE(_2026_04_17_16_26_30_19_high[coeff])</f>
        <v>1.0668804583832345</v>
      </c>
      <c r="S10" s="8">
        <f>MEDIAN(_2026_04_17_16_26_30_19_high[coeff])</f>
        <v>1.0694444000000001</v>
      </c>
      <c r="T10" s="8">
        <f xml:space="preserve"> -55.696 * Table18[[#This Row],[coeff_mean]] + 79.57</f>
        <v>79.569999999999993</v>
      </c>
      <c r="U10" s="9">
        <f xml:space="preserve"> -66.186 *Table18[[#This Row],[coeff_mean]] + 72.445</f>
        <v>72.444999999999993</v>
      </c>
    </row>
    <row r="11" spans="1:21" x14ac:dyDescent="0.3">
      <c r="H11" s="13"/>
      <c r="I11" s="13"/>
      <c r="M11" s="10">
        <v>22</v>
      </c>
      <c r="N11" s="11">
        <f>AVERAGE(_2026_04_17_16_25_21_23_high[pfwd_filt])</f>
        <v>200.40656968063874</v>
      </c>
      <c r="O11" s="11">
        <f>AVERAGE(_2026_04_17_16_25_21_23_high[p45_filt])</f>
        <v>193.24538762475046</v>
      </c>
      <c r="P11" s="11">
        <f>MEDIAN(_2026_04_17_16_25_21_23_high[pfwd_filt])</f>
        <v>200.33332999999999</v>
      </c>
      <c r="Q11" s="11">
        <f>MEDIAN(_2026_04_17_16_25_21_23_high[p45_filt])</f>
        <v>193.2</v>
      </c>
      <c r="R11" s="11">
        <f>AVERAGE(_2026_04_17_16_25_21_23_high[coeff])</f>
        <v>1.037635571536925</v>
      </c>
      <c r="S11" s="11">
        <f>MEDIAN(_2026_04_17_16_25_21_23_high[coeff])</f>
        <v>1.0363636000000001</v>
      </c>
      <c r="T11" s="11">
        <f xml:space="preserve"> -55.696 * Table18[[#This Row],[coeff_mean]] + 79.57</f>
        <v>79.569999999999993</v>
      </c>
      <c r="U11" s="12">
        <f xml:space="preserve"> -66.186 *Table18[[#This Row],[coeff_mean]] + 72.445</f>
        <v>72.444999999999993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33D1E-0431-4B4C-A4D3-7A9C96D8B6B7}">
  <dimension ref="A1:J502"/>
  <sheetViews>
    <sheetView workbookViewId="0">
      <selection activeCell="A2" sqref="A2:J502"/>
    </sheetView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10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 t="b">
        <v>1</v>
      </c>
      <c r="D2">
        <v>8175</v>
      </c>
      <c r="E2">
        <v>8146</v>
      </c>
      <c r="F2">
        <v>335</v>
      </c>
      <c r="G2">
        <v>231</v>
      </c>
      <c r="H2">
        <v>1.4502164</v>
      </c>
      <c r="I2">
        <v>-0.45021644</v>
      </c>
      <c r="J2">
        <v>0.40812722000000001</v>
      </c>
    </row>
    <row r="3" spans="1:10" x14ac:dyDescent="0.3">
      <c r="A3">
        <v>1</v>
      </c>
      <c r="B3">
        <v>25</v>
      </c>
      <c r="C3" t="b">
        <v>1</v>
      </c>
      <c r="D3">
        <v>8140</v>
      </c>
      <c r="E3">
        <v>8164</v>
      </c>
      <c r="F3">
        <v>335</v>
      </c>
      <c r="G3">
        <v>240</v>
      </c>
      <c r="H3">
        <v>1.3958333999999999</v>
      </c>
      <c r="I3">
        <v>-0.39583333999999998</v>
      </c>
      <c r="J3">
        <v>0.41739130000000002</v>
      </c>
    </row>
    <row r="4" spans="1:10" x14ac:dyDescent="0.3">
      <c r="A4">
        <v>2</v>
      </c>
      <c r="B4">
        <v>42</v>
      </c>
      <c r="C4" t="b">
        <v>1</v>
      </c>
      <c r="D4">
        <v>8129</v>
      </c>
      <c r="E4">
        <v>8140</v>
      </c>
      <c r="F4">
        <v>323.33334000000002</v>
      </c>
      <c r="G4">
        <v>237</v>
      </c>
      <c r="H4">
        <v>1.3642757000000001</v>
      </c>
      <c r="I4">
        <v>-0.36427572000000003</v>
      </c>
      <c r="J4">
        <v>0.42296250000000002</v>
      </c>
    </row>
    <row r="5" spans="1:10" x14ac:dyDescent="0.3">
      <c r="A5">
        <v>3</v>
      </c>
      <c r="B5">
        <v>58</v>
      </c>
      <c r="C5" t="b">
        <v>1</v>
      </c>
      <c r="D5">
        <v>8140</v>
      </c>
      <c r="E5">
        <v>8146</v>
      </c>
      <c r="F5">
        <v>317.5</v>
      </c>
      <c r="G5">
        <v>235.5</v>
      </c>
      <c r="H5">
        <v>1.3481953</v>
      </c>
      <c r="I5">
        <v>-0.34819529999999999</v>
      </c>
      <c r="J5">
        <v>0.42585894000000002</v>
      </c>
    </row>
    <row r="6" spans="1:10" x14ac:dyDescent="0.3">
      <c r="A6">
        <v>4</v>
      </c>
      <c r="B6">
        <v>74</v>
      </c>
      <c r="C6" t="b">
        <v>1</v>
      </c>
      <c r="D6">
        <v>8111</v>
      </c>
      <c r="E6">
        <v>8134</v>
      </c>
      <c r="F6">
        <v>314</v>
      </c>
      <c r="G6">
        <v>234.6</v>
      </c>
      <c r="H6">
        <v>1.3384484000000001</v>
      </c>
      <c r="I6">
        <v>-0.33844837999999999</v>
      </c>
      <c r="J6">
        <v>0.42763400000000001</v>
      </c>
    </row>
    <row r="7" spans="1:10" x14ac:dyDescent="0.3">
      <c r="A7">
        <v>5</v>
      </c>
      <c r="B7">
        <v>89</v>
      </c>
      <c r="C7" t="b">
        <v>1</v>
      </c>
      <c r="D7">
        <v>8163</v>
      </c>
      <c r="E7">
        <v>8134</v>
      </c>
      <c r="F7">
        <v>311.66665999999998</v>
      </c>
      <c r="G7">
        <v>233</v>
      </c>
      <c r="H7">
        <v>1.3376250999999999</v>
      </c>
      <c r="I7">
        <v>-0.33762514999999998</v>
      </c>
      <c r="J7">
        <v>0.42778462</v>
      </c>
    </row>
    <row r="8" spans="1:10" x14ac:dyDescent="0.3">
      <c r="A8">
        <v>6</v>
      </c>
      <c r="B8">
        <v>105</v>
      </c>
      <c r="C8" t="b">
        <v>1</v>
      </c>
      <c r="D8">
        <v>8140</v>
      </c>
      <c r="E8">
        <v>8146</v>
      </c>
      <c r="F8">
        <v>310</v>
      </c>
      <c r="G8">
        <v>231.85714999999999</v>
      </c>
      <c r="H8">
        <v>1.3370302000000001</v>
      </c>
      <c r="I8">
        <v>-0.33703017000000002</v>
      </c>
      <c r="J8">
        <v>0.42789346</v>
      </c>
    </row>
    <row r="9" spans="1:10" x14ac:dyDescent="0.3">
      <c r="A9">
        <v>7</v>
      </c>
      <c r="B9">
        <v>121</v>
      </c>
      <c r="C9" t="b">
        <v>1</v>
      </c>
      <c r="D9">
        <v>8158</v>
      </c>
      <c r="E9">
        <v>8129</v>
      </c>
      <c r="F9">
        <v>308.75</v>
      </c>
      <c r="G9">
        <v>230.25</v>
      </c>
      <c r="H9">
        <v>1.3409338</v>
      </c>
      <c r="I9">
        <v>-0.34093377000000002</v>
      </c>
      <c r="J9">
        <v>0.42717996000000003</v>
      </c>
    </row>
    <row r="10" spans="1:10" x14ac:dyDescent="0.3">
      <c r="A10">
        <v>8</v>
      </c>
      <c r="B10">
        <v>137</v>
      </c>
      <c r="C10" t="b">
        <v>1</v>
      </c>
      <c r="D10">
        <v>8169</v>
      </c>
      <c r="E10">
        <v>8134</v>
      </c>
      <c r="F10">
        <v>309.77776999999998</v>
      </c>
      <c r="G10">
        <v>229</v>
      </c>
      <c r="H10">
        <v>1.3527414</v>
      </c>
      <c r="I10">
        <v>-0.35274136</v>
      </c>
      <c r="J10">
        <v>0.42503609999999997</v>
      </c>
    </row>
    <row r="11" spans="1:10" x14ac:dyDescent="0.3">
      <c r="A11">
        <v>9</v>
      </c>
      <c r="B11">
        <v>152</v>
      </c>
      <c r="C11" t="b">
        <v>1</v>
      </c>
      <c r="D11">
        <v>8163</v>
      </c>
      <c r="E11">
        <v>8123</v>
      </c>
      <c r="F11">
        <v>311.10000000000002</v>
      </c>
      <c r="G11">
        <v>228</v>
      </c>
      <c r="H11">
        <v>1.3644737</v>
      </c>
      <c r="I11">
        <v>-0.36447370000000001</v>
      </c>
      <c r="J11">
        <v>0.4229271</v>
      </c>
    </row>
    <row r="12" spans="1:10" x14ac:dyDescent="0.3">
      <c r="A12">
        <v>10</v>
      </c>
      <c r="B12">
        <v>184</v>
      </c>
      <c r="C12" t="b">
        <v>1</v>
      </c>
      <c r="D12">
        <v>8140</v>
      </c>
      <c r="E12">
        <v>8164</v>
      </c>
      <c r="F12">
        <v>311.72726</v>
      </c>
      <c r="G12">
        <v>227.18181999999999</v>
      </c>
      <c r="H12">
        <v>1.3721487999999999</v>
      </c>
      <c r="I12">
        <v>-0.37214878000000001</v>
      </c>
      <c r="J12">
        <v>0.42155873999999999</v>
      </c>
    </row>
    <row r="13" spans="1:10" x14ac:dyDescent="0.3">
      <c r="A13">
        <v>11</v>
      </c>
      <c r="B13">
        <v>215</v>
      </c>
      <c r="C13" t="b">
        <v>1</v>
      </c>
      <c r="D13">
        <v>8140</v>
      </c>
      <c r="E13">
        <v>8129</v>
      </c>
      <c r="F13">
        <v>312.25</v>
      </c>
      <c r="G13">
        <v>226.08332999999999</v>
      </c>
      <c r="H13">
        <v>1.3811279999999999</v>
      </c>
      <c r="I13">
        <v>-0.38112792000000001</v>
      </c>
      <c r="J13">
        <v>0.41996905000000001</v>
      </c>
    </row>
    <row r="14" spans="1:10" x14ac:dyDescent="0.3">
      <c r="A14">
        <v>12</v>
      </c>
      <c r="B14">
        <v>247</v>
      </c>
      <c r="C14" t="b">
        <v>1</v>
      </c>
      <c r="D14">
        <v>8123</v>
      </c>
      <c r="E14">
        <v>8152</v>
      </c>
      <c r="F14">
        <v>311.30768</v>
      </c>
      <c r="G14">
        <v>225.53846999999999</v>
      </c>
      <c r="H14">
        <v>1.3802863000000001</v>
      </c>
      <c r="I14">
        <v>-0.38028640000000002</v>
      </c>
      <c r="J14">
        <v>0.42011753000000002</v>
      </c>
    </row>
    <row r="15" spans="1:10" x14ac:dyDescent="0.3">
      <c r="A15">
        <v>13</v>
      </c>
      <c r="B15">
        <v>279</v>
      </c>
      <c r="C15" t="b">
        <v>1</v>
      </c>
      <c r="D15">
        <v>8192</v>
      </c>
      <c r="E15">
        <v>8146</v>
      </c>
      <c r="F15">
        <v>310.5</v>
      </c>
      <c r="G15">
        <v>225.92857000000001</v>
      </c>
      <c r="H15">
        <v>1.3743281000000001</v>
      </c>
      <c r="I15">
        <v>-0.37432817000000002</v>
      </c>
      <c r="J15">
        <v>0.42117175000000001</v>
      </c>
    </row>
    <row r="16" spans="1:10" x14ac:dyDescent="0.3">
      <c r="A16">
        <v>14</v>
      </c>
      <c r="B16">
        <v>295</v>
      </c>
      <c r="C16" t="b">
        <v>1</v>
      </c>
      <c r="D16">
        <v>8100</v>
      </c>
      <c r="E16">
        <v>8117</v>
      </c>
      <c r="F16">
        <v>309.8</v>
      </c>
      <c r="G16">
        <v>226.26666</v>
      </c>
      <c r="H16">
        <v>1.3691808999999999</v>
      </c>
      <c r="I16">
        <v>-0.36918089999999998</v>
      </c>
      <c r="J16">
        <v>0.42208679999999998</v>
      </c>
    </row>
    <row r="17" spans="1:10" x14ac:dyDescent="0.3">
      <c r="A17">
        <v>15</v>
      </c>
      <c r="B17">
        <v>311</v>
      </c>
      <c r="C17" t="b">
        <v>1</v>
      </c>
      <c r="D17">
        <v>8123</v>
      </c>
      <c r="E17">
        <v>8129</v>
      </c>
      <c r="F17">
        <v>306.33334000000002</v>
      </c>
      <c r="G17">
        <v>225.13333</v>
      </c>
      <c r="H17">
        <v>1.3606752</v>
      </c>
      <c r="I17">
        <v>-0.36067522000000002</v>
      </c>
      <c r="J17">
        <v>0.42360762000000002</v>
      </c>
    </row>
    <row r="18" spans="1:10" x14ac:dyDescent="0.3">
      <c r="A18">
        <v>16</v>
      </c>
      <c r="B18">
        <v>327</v>
      </c>
      <c r="C18" t="b">
        <v>1</v>
      </c>
      <c r="D18">
        <v>8123</v>
      </c>
      <c r="E18">
        <v>8152</v>
      </c>
      <c r="F18">
        <v>302.86667</v>
      </c>
      <c r="G18">
        <v>223.93333000000001</v>
      </c>
      <c r="H18">
        <v>1.3524859</v>
      </c>
      <c r="I18">
        <v>-0.35248586999999998</v>
      </c>
      <c r="J18">
        <v>0.42508226999999998</v>
      </c>
    </row>
    <row r="19" spans="1:10" x14ac:dyDescent="0.3">
      <c r="A19">
        <v>17</v>
      </c>
      <c r="B19">
        <v>342</v>
      </c>
      <c r="C19" t="b">
        <v>1</v>
      </c>
      <c r="D19">
        <v>8123</v>
      </c>
      <c r="E19">
        <v>8146</v>
      </c>
      <c r="F19">
        <v>301.73334</v>
      </c>
      <c r="G19">
        <v>223.93333000000001</v>
      </c>
      <c r="H19">
        <v>1.3474249</v>
      </c>
      <c r="I19">
        <v>-0.34742483000000002</v>
      </c>
      <c r="J19">
        <v>0.42599872</v>
      </c>
    </row>
    <row r="20" spans="1:10" x14ac:dyDescent="0.3">
      <c r="A20">
        <v>18</v>
      </c>
      <c r="B20">
        <v>358</v>
      </c>
      <c r="C20" t="b">
        <v>1</v>
      </c>
      <c r="D20">
        <v>8169</v>
      </c>
      <c r="E20">
        <v>8146</v>
      </c>
      <c r="F20">
        <v>300.60000000000002</v>
      </c>
      <c r="G20">
        <v>223.93333000000001</v>
      </c>
      <c r="H20">
        <v>1.3423638</v>
      </c>
      <c r="I20">
        <v>-0.34236382999999998</v>
      </c>
      <c r="J20">
        <v>0.42691916000000002</v>
      </c>
    </row>
    <row r="21" spans="1:10" x14ac:dyDescent="0.3">
      <c r="A21">
        <v>19</v>
      </c>
      <c r="B21">
        <v>374</v>
      </c>
      <c r="C21" t="b">
        <v>1</v>
      </c>
      <c r="D21">
        <v>8186</v>
      </c>
      <c r="E21">
        <v>8146</v>
      </c>
      <c r="F21">
        <v>299.46667000000002</v>
      </c>
      <c r="G21">
        <v>223.93333000000001</v>
      </c>
      <c r="H21">
        <v>1.3373028</v>
      </c>
      <c r="I21">
        <v>-0.33730280000000001</v>
      </c>
      <c r="J21">
        <v>0.42784357000000001</v>
      </c>
    </row>
    <row r="22" spans="1:10" x14ac:dyDescent="0.3">
      <c r="A22">
        <v>20</v>
      </c>
      <c r="B22">
        <v>390</v>
      </c>
      <c r="C22" t="b">
        <v>1</v>
      </c>
      <c r="D22">
        <v>8198</v>
      </c>
      <c r="E22">
        <v>8164</v>
      </c>
      <c r="F22">
        <v>301.39999999999998</v>
      </c>
      <c r="G22">
        <v>224.33332999999999</v>
      </c>
      <c r="H22">
        <v>1.3435364000000001</v>
      </c>
      <c r="I22">
        <v>-0.34353640000000002</v>
      </c>
      <c r="J22">
        <v>0.42670553999999999</v>
      </c>
    </row>
    <row r="23" spans="1:10" x14ac:dyDescent="0.3">
      <c r="A23">
        <v>21</v>
      </c>
      <c r="B23">
        <v>406</v>
      </c>
      <c r="C23" t="b">
        <v>1</v>
      </c>
      <c r="D23">
        <v>8158</v>
      </c>
      <c r="E23">
        <v>8140</v>
      </c>
      <c r="F23">
        <v>303.33334000000002</v>
      </c>
      <c r="G23">
        <v>224.73334</v>
      </c>
      <c r="H23">
        <v>1.3497478999999999</v>
      </c>
      <c r="I23">
        <v>-0.34974787000000002</v>
      </c>
      <c r="J23">
        <v>0.4255776</v>
      </c>
    </row>
    <row r="24" spans="1:10" x14ac:dyDescent="0.3">
      <c r="A24">
        <v>22</v>
      </c>
      <c r="B24">
        <v>421</v>
      </c>
      <c r="C24" t="b">
        <v>1</v>
      </c>
      <c r="D24">
        <v>8152</v>
      </c>
      <c r="E24">
        <v>8123</v>
      </c>
      <c r="F24">
        <v>305.26666</v>
      </c>
      <c r="G24">
        <v>225.53334000000001</v>
      </c>
      <c r="H24">
        <v>1.3535322999999999</v>
      </c>
      <c r="I24">
        <v>-0.35353230000000002</v>
      </c>
      <c r="J24">
        <v>0.42489325999999999</v>
      </c>
    </row>
    <row r="25" spans="1:10" x14ac:dyDescent="0.3">
      <c r="A25">
        <v>23</v>
      </c>
      <c r="B25">
        <v>437</v>
      </c>
      <c r="C25" t="b">
        <v>1</v>
      </c>
      <c r="D25">
        <v>8140</v>
      </c>
      <c r="E25">
        <v>8123</v>
      </c>
      <c r="F25">
        <v>305.26666</v>
      </c>
      <c r="G25">
        <v>225.93333000000001</v>
      </c>
      <c r="H25">
        <v>1.3511359999999999</v>
      </c>
      <c r="I25">
        <v>-0.351136</v>
      </c>
      <c r="J25">
        <v>0.42532629999999999</v>
      </c>
    </row>
    <row r="26" spans="1:10" x14ac:dyDescent="0.3">
      <c r="A26">
        <v>24</v>
      </c>
      <c r="B26">
        <v>453</v>
      </c>
      <c r="C26" t="b">
        <v>1</v>
      </c>
      <c r="D26">
        <v>8146</v>
      </c>
      <c r="E26">
        <v>8140</v>
      </c>
      <c r="F26">
        <v>304.53332999999998</v>
      </c>
      <c r="G26">
        <v>226.33332999999999</v>
      </c>
      <c r="H26">
        <v>1.3455081</v>
      </c>
      <c r="I26">
        <v>-0.34550809999999998</v>
      </c>
      <c r="J26">
        <v>0.42634686999999999</v>
      </c>
    </row>
    <row r="27" spans="1:10" x14ac:dyDescent="0.3">
      <c r="A27">
        <v>25</v>
      </c>
      <c r="B27">
        <v>469</v>
      </c>
      <c r="C27" t="b">
        <v>1</v>
      </c>
      <c r="D27">
        <v>8129</v>
      </c>
      <c r="E27">
        <v>8140</v>
      </c>
      <c r="F27">
        <v>303.73334</v>
      </c>
      <c r="G27">
        <v>226.73334</v>
      </c>
      <c r="H27">
        <v>1.3396060000000001</v>
      </c>
      <c r="I27">
        <v>-0.33960600000000002</v>
      </c>
      <c r="J27">
        <v>0.42742239999999998</v>
      </c>
    </row>
    <row r="28" spans="1:10" x14ac:dyDescent="0.3">
      <c r="A28">
        <v>26</v>
      </c>
      <c r="B28">
        <v>485</v>
      </c>
      <c r="C28" t="b">
        <v>1</v>
      </c>
      <c r="D28">
        <v>8146</v>
      </c>
      <c r="E28">
        <v>8146</v>
      </c>
      <c r="F28">
        <v>302.93331999999998</v>
      </c>
      <c r="G28">
        <v>227.46665999999999</v>
      </c>
      <c r="H28">
        <v>1.3317702</v>
      </c>
      <c r="I28">
        <v>-0.33177020000000002</v>
      </c>
      <c r="J28">
        <v>0.42885873000000002</v>
      </c>
    </row>
    <row r="29" spans="1:10" x14ac:dyDescent="0.3">
      <c r="A29">
        <v>27</v>
      </c>
      <c r="B29">
        <v>501</v>
      </c>
      <c r="C29" t="b">
        <v>1</v>
      </c>
      <c r="D29">
        <v>8152</v>
      </c>
      <c r="E29">
        <v>8152</v>
      </c>
      <c r="F29">
        <v>303.33334000000002</v>
      </c>
      <c r="G29">
        <v>227.86667</v>
      </c>
      <c r="H29">
        <v>1.3311877999999999</v>
      </c>
      <c r="I29">
        <v>-0.33118787</v>
      </c>
      <c r="J29">
        <v>0.42896587000000003</v>
      </c>
    </row>
    <row r="30" spans="1:10" x14ac:dyDescent="0.3">
      <c r="A30">
        <v>28</v>
      </c>
      <c r="B30">
        <v>517</v>
      </c>
      <c r="C30" t="b">
        <v>1</v>
      </c>
      <c r="D30">
        <v>8129</v>
      </c>
      <c r="E30">
        <v>8146</v>
      </c>
      <c r="F30">
        <v>303.73334</v>
      </c>
      <c r="G30">
        <v>227.86667</v>
      </c>
      <c r="H30">
        <v>1.3329432000000001</v>
      </c>
      <c r="I30">
        <v>-0.33294326000000002</v>
      </c>
      <c r="J30">
        <v>0.4286431</v>
      </c>
    </row>
    <row r="31" spans="1:10" x14ac:dyDescent="0.3">
      <c r="A31">
        <v>29</v>
      </c>
      <c r="B31">
        <v>549</v>
      </c>
      <c r="C31" t="b">
        <v>1</v>
      </c>
      <c r="D31">
        <v>8146</v>
      </c>
      <c r="E31">
        <v>8129</v>
      </c>
      <c r="F31">
        <v>304.13333</v>
      </c>
      <c r="G31">
        <v>227.86667</v>
      </c>
      <c r="H31">
        <v>1.3346986999999999</v>
      </c>
      <c r="I31">
        <v>-0.33469864999999999</v>
      </c>
      <c r="J31">
        <v>0.4283208</v>
      </c>
    </row>
    <row r="32" spans="1:10" x14ac:dyDescent="0.3">
      <c r="A32">
        <v>30</v>
      </c>
      <c r="B32">
        <v>580</v>
      </c>
      <c r="C32" t="b">
        <v>1</v>
      </c>
      <c r="D32">
        <v>8135</v>
      </c>
      <c r="E32">
        <v>8140</v>
      </c>
      <c r="F32">
        <v>305.66665999999998</v>
      </c>
      <c r="G32">
        <v>229</v>
      </c>
      <c r="H32">
        <v>1.3347888999999999</v>
      </c>
      <c r="I32">
        <v>-0.3347889</v>
      </c>
      <c r="J32">
        <v>0.42830427999999998</v>
      </c>
    </row>
    <row r="33" spans="1:10" x14ac:dyDescent="0.3">
      <c r="A33">
        <v>31</v>
      </c>
      <c r="B33">
        <v>613</v>
      </c>
      <c r="C33" t="b">
        <v>1</v>
      </c>
      <c r="D33">
        <v>8175</v>
      </c>
      <c r="E33">
        <v>8134</v>
      </c>
      <c r="F33">
        <v>307.2</v>
      </c>
      <c r="G33">
        <v>228.6</v>
      </c>
      <c r="H33">
        <v>1.3438319999999999</v>
      </c>
      <c r="I33">
        <v>-0.34383205</v>
      </c>
      <c r="J33">
        <v>0.42665172000000001</v>
      </c>
    </row>
    <row r="34" spans="1:10" x14ac:dyDescent="0.3">
      <c r="A34">
        <v>32</v>
      </c>
      <c r="B34">
        <v>645</v>
      </c>
      <c r="C34" t="b">
        <v>1</v>
      </c>
      <c r="D34">
        <v>8140</v>
      </c>
      <c r="E34">
        <v>8134</v>
      </c>
      <c r="F34">
        <v>308.33334000000002</v>
      </c>
      <c r="G34">
        <v>227.8</v>
      </c>
      <c r="H34">
        <v>1.3535265000000001</v>
      </c>
      <c r="I34">
        <v>-0.35352650000000002</v>
      </c>
      <c r="J34">
        <v>0.42489427000000002</v>
      </c>
    </row>
    <row r="35" spans="1:10" x14ac:dyDescent="0.3">
      <c r="A35">
        <v>33</v>
      </c>
      <c r="B35">
        <v>676</v>
      </c>
      <c r="C35" t="b">
        <v>1</v>
      </c>
      <c r="D35">
        <v>8135</v>
      </c>
      <c r="E35">
        <v>8134</v>
      </c>
      <c r="F35">
        <v>309.46667000000002</v>
      </c>
      <c r="G35">
        <v>227</v>
      </c>
      <c r="H35">
        <v>1.3632894</v>
      </c>
      <c r="I35">
        <v>-0.36328933000000002</v>
      </c>
      <c r="J35">
        <v>0.42313907000000001</v>
      </c>
    </row>
    <row r="36" spans="1:10" x14ac:dyDescent="0.3">
      <c r="A36">
        <v>34</v>
      </c>
      <c r="B36">
        <v>692</v>
      </c>
      <c r="C36" t="b">
        <v>1</v>
      </c>
      <c r="D36">
        <v>8175</v>
      </c>
      <c r="E36">
        <v>8140</v>
      </c>
      <c r="F36">
        <v>310.60000000000002</v>
      </c>
      <c r="G36">
        <v>226.2</v>
      </c>
      <c r="H36">
        <v>1.3731211000000001</v>
      </c>
      <c r="I36">
        <v>-0.37312117</v>
      </c>
      <c r="J36">
        <v>0.42138599999999998</v>
      </c>
    </row>
    <row r="37" spans="1:10" x14ac:dyDescent="0.3">
      <c r="A37">
        <v>35</v>
      </c>
      <c r="B37">
        <v>707</v>
      </c>
      <c r="C37" t="b">
        <v>1</v>
      </c>
      <c r="D37">
        <v>8152</v>
      </c>
      <c r="E37">
        <v>8146</v>
      </c>
      <c r="F37">
        <v>309.46667000000002</v>
      </c>
      <c r="G37">
        <v>225.4</v>
      </c>
      <c r="H37">
        <v>1.3729666</v>
      </c>
      <c r="I37">
        <v>-0.37296665000000001</v>
      </c>
      <c r="J37">
        <v>0.42141339999999999</v>
      </c>
    </row>
    <row r="38" spans="1:10" x14ac:dyDescent="0.3">
      <c r="A38">
        <v>36</v>
      </c>
      <c r="B38">
        <v>723</v>
      </c>
      <c r="C38" t="b">
        <v>1</v>
      </c>
      <c r="D38">
        <v>8100</v>
      </c>
      <c r="E38">
        <v>8134</v>
      </c>
      <c r="F38">
        <v>307.53332999999998</v>
      </c>
      <c r="G38">
        <v>224.6</v>
      </c>
      <c r="H38">
        <v>1.3692489999999999</v>
      </c>
      <c r="I38">
        <v>-0.36924896000000001</v>
      </c>
      <c r="J38">
        <v>0.42207470000000002</v>
      </c>
    </row>
    <row r="39" spans="1:10" x14ac:dyDescent="0.3">
      <c r="A39">
        <v>37</v>
      </c>
      <c r="B39">
        <v>739</v>
      </c>
      <c r="C39" t="b">
        <v>1</v>
      </c>
      <c r="D39">
        <v>8158</v>
      </c>
      <c r="E39">
        <v>8158</v>
      </c>
      <c r="F39">
        <v>306.39999999999998</v>
      </c>
      <c r="G39">
        <v>224.2</v>
      </c>
      <c r="H39">
        <v>1.3666369</v>
      </c>
      <c r="I39">
        <v>-0.36663693000000003</v>
      </c>
      <c r="J39">
        <v>0.42254055000000001</v>
      </c>
    </row>
    <row r="40" spans="1:10" x14ac:dyDescent="0.3">
      <c r="A40">
        <v>38</v>
      </c>
      <c r="B40">
        <v>755</v>
      </c>
      <c r="C40" t="b">
        <v>1</v>
      </c>
      <c r="D40">
        <v>8169</v>
      </c>
      <c r="E40">
        <v>8134</v>
      </c>
      <c r="F40">
        <v>306.39999999999998</v>
      </c>
      <c r="G40">
        <v>224.2</v>
      </c>
      <c r="H40">
        <v>1.3666369</v>
      </c>
      <c r="I40">
        <v>-0.36663693000000003</v>
      </c>
      <c r="J40">
        <v>0.42254055000000001</v>
      </c>
    </row>
    <row r="41" spans="1:10" x14ac:dyDescent="0.3">
      <c r="A41">
        <v>39</v>
      </c>
      <c r="B41">
        <v>770</v>
      </c>
      <c r="C41" t="b">
        <v>1</v>
      </c>
      <c r="D41">
        <v>8146</v>
      </c>
      <c r="E41">
        <v>8129</v>
      </c>
      <c r="F41">
        <v>306.39999999999998</v>
      </c>
      <c r="G41">
        <v>223.8</v>
      </c>
      <c r="H41">
        <v>1.3690795</v>
      </c>
      <c r="I41">
        <v>-0.3690795</v>
      </c>
      <c r="J41">
        <v>0.42210487000000002</v>
      </c>
    </row>
    <row r="42" spans="1:10" x14ac:dyDescent="0.3">
      <c r="A42">
        <v>40</v>
      </c>
      <c r="B42">
        <v>786</v>
      </c>
      <c r="C42" t="b">
        <v>1</v>
      </c>
      <c r="D42">
        <v>8135</v>
      </c>
      <c r="E42">
        <v>8105</v>
      </c>
      <c r="F42">
        <v>306.39999999999998</v>
      </c>
      <c r="G42">
        <v>223.4</v>
      </c>
      <c r="H42">
        <v>1.3715309</v>
      </c>
      <c r="I42">
        <v>-0.3715309</v>
      </c>
      <c r="J42">
        <v>0.42166856000000003</v>
      </c>
    </row>
    <row r="43" spans="1:10" x14ac:dyDescent="0.3">
      <c r="A43">
        <v>41</v>
      </c>
      <c r="B43">
        <v>802</v>
      </c>
      <c r="C43" t="b">
        <v>1</v>
      </c>
      <c r="D43">
        <v>8111</v>
      </c>
      <c r="E43">
        <v>8134</v>
      </c>
      <c r="F43">
        <v>306.39999999999998</v>
      </c>
      <c r="G43">
        <v>223</v>
      </c>
      <c r="H43">
        <v>1.373991</v>
      </c>
      <c r="I43">
        <v>-0.37399100000000002</v>
      </c>
      <c r="J43">
        <v>0.42123157</v>
      </c>
    </row>
    <row r="44" spans="1:10" x14ac:dyDescent="0.3">
      <c r="A44">
        <v>42</v>
      </c>
      <c r="B44">
        <v>833</v>
      </c>
      <c r="C44" t="b">
        <v>1</v>
      </c>
      <c r="D44">
        <v>8140</v>
      </c>
      <c r="E44">
        <v>8105</v>
      </c>
      <c r="F44">
        <v>306</v>
      </c>
      <c r="G44">
        <v>222.26666</v>
      </c>
      <c r="H44">
        <v>1.3767247</v>
      </c>
      <c r="I44">
        <v>-0.37672470000000002</v>
      </c>
      <c r="J44">
        <v>0.42074709999999998</v>
      </c>
    </row>
    <row r="45" spans="1:10" x14ac:dyDescent="0.3">
      <c r="A45">
        <v>43</v>
      </c>
      <c r="B45">
        <v>864</v>
      </c>
      <c r="C45" t="b">
        <v>1</v>
      </c>
      <c r="D45">
        <v>8140</v>
      </c>
      <c r="E45">
        <v>8117</v>
      </c>
      <c r="F45">
        <v>305.60000000000002</v>
      </c>
      <c r="G45">
        <v>220.33332999999999</v>
      </c>
      <c r="H45">
        <v>1.3869895000000001</v>
      </c>
      <c r="I45">
        <v>-0.38698947</v>
      </c>
      <c r="J45">
        <v>0.41893774</v>
      </c>
    </row>
    <row r="46" spans="1:10" x14ac:dyDescent="0.3">
      <c r="A46">
        <v>44</v>
      </c>
      <c r="B46">
        <v>896</v>
      </c>
      <c r="C46" t="b">
        <v>1</v>
      </c>
      <c r="D46">
        <v>8169</v>
      </c>
      <c r="E46">
        <v>8152</v>
      </c>
      <c r="F46">
        <v>305.2</v>
      </c>
      <c r="G46">
        <v>218.4</v>
      </c>
      <c r="H46">
        <v>1.3974359999999999</v>
      </c>
      <c r="I46">
        <v>-0.39743600000000001</v>
      </c>
      <c r="J46">
        <v>0.41711231999999998</v>
      </c>
    </row>
    <row r="47" spans="1:10" x14ac:dyDescent="0.3">
      <c r="A47">
        <v>45</v>
      </c>
      <c r="B47">
        <v>928</v>
      </c>
      <c r="C47" t="b">
        <v>1</v>
      </c>
      <c r="D47">
        <v>8117</v>
      </c>
      <c r="E47">
        <v>8134</v>
      </c>
      <c r="F47">
        <v>304.8</v>
      </c>
      <c r="G47">
        <v>217.6</v>
      </c>
      <c r="H47">
        <v>1.4007350999999999</v>
      </c>
      <c r="I47">
        <v>-0.40073520000000001</v>
      </c>
      <c r="J47">
        <v>0.41653904000000003</v>
      </c>
    </row>
    <row r="48" spans="1:10" x14ac:dyDescent="0.3">
      <c r="A48">
        <v>46</v>
      </c>
      <c r="B48">
        <v>943</v>
      </c>
      <c r="C48" t="b">
        <v>1</v>
      </c>
      <c r="D48">
        <v>8169</v>
      </c>
      <c r="E48">
        <v>8152</v>
      </c>
      <c r="F48">
        <v>304.39999999999998</v>
      </c>
      <c r="G48">
        <v>217.2</v>
      </c>
      <c r="H48">
        <v>1.4014732999999999</v>
      </c>
      <c r="I48">
        <v>-0.40147327999999999</v>
      </c>
      <c r="J48">
        <v>0.41641104000000001</v>
      </c>
    </row>
    <row r="49" spans="1:10" x14ac:dyDescent="0.3">
      <c r="A49">
        <v>47</v>
      </c>
      <c r="B49">
        <v>959</v>
      </c>
      <c r="C49" t="b">
        <v>1</v>
      </c>
      <c r="D49">
        <v>8146</v>
      </c>
      <c r="E49">
        <v>8140</v>
      </c>
      <c r="F49">
        <v>304.8</v>
      </c>
      <c r="G49">
        <v>217.6</v>
      </c>
      <c r="H49">
        <v>1.4007350999999999</v>
      </c>
      <c r="I49">
        <v>-0.40073520000000001</v>
      </c>
      <c r="J49">
        <v>0.41653904000000003</v>
      </c>
    </row>
    <row r="50" spans="1:10" x14ac:dyDescent="0.3">
      <c r="A50">
        <v>48</v>
      </c>
      <c r="B50">
        <v>975</v>
      </c>
      <c r="C50" t="b">
        <v>1</v>
      </c>
      <c r="D50">
        <v>8135</v>
      </c>
      <c r="E50">
        <v>8140</v>
      </c>
      <c r="F50">
        <v>305.2</v>
      </c>
      <c r="G50">
        <v>218</v>
      </c>
      <c r="H50">
        <v>1.4000001</v>
      </c>
      <c r="I50">
        <v>-0.40000006999999999</v>
      </c>
      <c r="J50">
        <v>0.41666666000000002</v>
      </c>
    </row>
    <row r="51" spans="1:10" x14ac:dyDescent="0.3">
      <c r="A51">
        <v>49</v>
      </c>
      <c r="B51">
        <v>991</v>
      </c>
      <c r="C51" t="b">
        <v>1</v>
      </c>
      <c r="D51">
        <v>8135</v>
      </c>
      <c r="E51">
        <v>8140</v>
      </c>
      <c r="F51">
        <v>304.86667</v>
      </c>
      <c r="G51">
        <v>218.4</v>
      </c>
      <c r="H51">
        <v>1.3959097</v>
      </c>
      <c r="I51">
        <v>-0.39590969999999998</v>
      </c>
      <c r="J51">
        <v>0.41737800000000003</v>
      </c>
    </row>
    <row r="52" spans="1:10" x14ac:dyDescent="0.3">
      <c r="A52">
        <v>50</v>
      </c>
      <c r="B52">
        <v>1007</v>
      </c>
      <c r="C52" t="b">
        <v>1</v>
      </c>
      <c r="D52">
        <v>8181</v>
      </c>
      <c r="E52">
        <v>8123</v>
      </c>
      <c r="F52">
        <v>304.46667000000002</v>
      </c>
      <c r="G52">
        <v>218.8</v>
      </c>
      <c r="H52">
        <v>1.3915295999999999</v>
      </c>
      <c r="I52">
        <v>-0.39152956</v>
      </c>
      <c r="J52">
        <v>0.41814244</v>
      </c>
    </row>
    <row r="53" spans="1:10" x14ac:dyDescent="0.3">
      <c r="A53">
        <v>51</v>
      </c>
      <c r="B53">
        <v>1023</v>
      </c>
      <c r="C53" t="b">
        <v>1</v>
      </c>
      <c r="D53">
        <v>8158</v>
      </c>
      <c r="E53">
        <v>8129</v>
      </c>
      <c r="F53">
        <v>304.86667</v>
      </c>
      <c r="G53">
        <v>219.2</v>
      </c>
      <c r="H53">
        <v>1.3908151</v>
      </c>
      <c r="I53">
        <v>-0.39081510000000003</v>
      </c>
      <c r="J53">
        <v>0.41826740000000001</v>
      </c>
    </row>
    <row r="54" spans="1:10" x14ac:dyDescent="0.3">
      <c r="A54">
        <v>52</v>
      </c>
      <c r="B54">
        <v>1054</v>
      </c>
      <c r="C54" t="b">
        <v>1</v>
      </c>
      <c r="D54">
        <v>8146</v>
      </c>
      <c r="E54">
        <v>8111</v>
      </c>
      <c r="F54">
        <v>304.46667000000002</v>
      </c>
      <c r="G54">
        <v>218.46665999999999</v>
      </c>
      <c r="H54">
        <v>1.3936527999999999</v>
      </c>
      <c r="I54">
        <v>-0.39365283000000001</v>
      </c>
      <c r="J54">
        <v>0.41777152000000001</v>
      </c>
    </row>
    <row r="55" spans="1:10" x14ac:dyDescent="0.3">
      <c r="A55">
        <v>53</v>
      </c>
      <c r="B55">
        <v>1070</v>
      </c>
      <c r="C55" t="b">
        <v>1</v>
      </c>
      <c r="D55">
        <v>8146</v>
      </c>
      <c r="E55">
        <v>8129</v>
      </c>
      <c r="F55">
        <v>303.66665999999998</v>
      </c>
      <c r="G55">
        <v>217.73334</v>
      </c>
      <c r="H55">
        <v>1.3946723000000001</v>
      </c>
      <c r="I55">
        <v>-0.39467229999999998</v>
      </c>
      <c r="J55">
        <v>0.41759365999999998</v>
      </c>
    </row>
    <row r="56" spans="1:10" x14ac:dyDescent="0.3">
      <c r="A56">
        <v>54</v>
      </c>
      <c r="B56">
        <v>1086</v>
      </c>
      <c r="C56" t="b">
        <v>1</v>
      </c>
      <c r="D56">
        <v>8083</v>
      </c>
      <c r="E56">
        <v>8129</v>
      </c>
      <c r="F56">
        <v>303.26666</v>
      </c>
      <c r="G56">
        <v>217.4</v>
      </c>
      <c r="H56">
        <v>1.3949708999999999</v>
      </c>
      <c r="I56">
        <v>-0.39497090000000001</v>
      </c>
      <c r="J56">
        <v>0.41754162</v>
      </c>
    </row>
    <row r="57" spans="1:10" x14ac:dyDescent="0.3">
      <c r="A57">
        <v>55</v>
      </c>
      <c r="B57">
        <v>1102</v>
      </c>
      <c r="C57" t="b">
        <v>1</v>
      </c>
      <c r="D57">
        <v>8117</v>
      </c>
      <c r="E57">
        <v>8129</v>
      </c>
      <c r="F57">
        <v>303.26666</v>
      </c>
      <c r="G57">
        <v>217.06666999999999</v>
      </c>
      <c r="H57">
        <v>1.397113</v>
      </c>
      <c r="I57">
        <v>-0.39711299999999999</v>
      </c>
      <c r="J57">
        <v>0.4171685</v>
      </c>
    </row>
    <row r="58" spans="1:10" x14ac:dyDescent="0.3">
      <c r="A58">
        <v>56</v>
      </c>
      <c r="B58">
        <v>1118</v>
      </c>
      <c r="C58" t="b">
        <v>1</v>
      </c>
      <c r="D58">
        <v>8158</v>
      </c>
      <c r="E58">
        <v>8123</v>
      </c>
      <c r="F58">
        <v>303.26666</v>
      </c>
      <c r="G58">
        <v>216.73334</v>
      </c>
      <c r="H58">
        <v>1.3992617000000001</v>
      </c>
      <c r="I58">
        <v>-0.3992617</v>
      </c>
      <c r="J58">
        <v>0.41679486999999998</v>
      </c>
    </row>
    <row r="59" spans="1:10" x14ac:dyDescent="0.3">
      <c r="A59">
        <v>57</v>
      </c>
      <c r="B59">
        <v>1133</v>
      </c>
      <c r="C59" t="b">
        <v>1</v>
      </c>
      <c r="D59">
        <v>8100</v>
      </c>
      <c r="E59">
        <v>8134</v>
      </c>
      <c r="F59">
        <v>301.73334</v>
      </c>
      <c r="G59">
        <v>216.73334</v>
      </c>
      <c r="H59">
        <v>1.3921870000000001</v>
      </c>
      <c r="I59">
        <v>-0.39218700000000001</v>
      </c>
      <c r="J59">
        <v>0.41802751999999999</v>
      </c>
    </row>
    <row r="60" spans="1:10" x14ac:dyDescent="0.3">
      <c r="A60">
        <v>58</v>
      </c>
      <c r="B60">
        <v>1165</v>
      </c>
      <c r="C60" t="b">
        <v>1</v>
      </c>
      <c r="D60">
        <v>8158</v>
      </c>
      <c r="E60">
        <v>8134</v>
      </c>
      <c r="F60">
        <v>300.2</v>
      </c>
      <c r="G60">
        <v>217.53334000000001</v>
      </c>
      <c r="H60">
        <v>1.3800184</v>
      </c>
      <c r="I60">
        <v>-0.38001839999999998</v>
      </c>
      <c r="J60">
        <v>0.42016481999999999</v>
      </c>
    </row>
    <row r="61" spans="1:10" x14ac:dyDescent="0.3">
      <c r="A61">
        <v>59</v>
      </c>
      <c r="B61">
        <v>1197</v>
      </c>
      <c r="C61" t="b">
        <v>1</v>
      </c>
      <c r="D61">
        <v>8135</v>
      </c>
      <c r="E61">
        <v>8123</v>
      </c>
      <c r="F61">
        <v>299.86667</v>
      </c>
      <c r="G61">
        <v>218.33332999999999</v>
      </c>
      <c r="H61">
        <v>1.3734351</v>
      </c>
      <c r="I61">
        <v>-0.37343516999999998</v>
      </c>
      <c r="J61">
        <v>0.42133019999999999</v>
      </c>
    </row>
    <row r="62" spans="1:10" x14ac:dyDescent="0.3">
      <c r="A62">
        <v>60</v>
      </c>
      <c r="B62">
        <v>1229</v>
      </c>
      <c r="C62" t="b">
        <v>1</v>
      </c>
      <c r="D62">
        <v>8129</v>
      </c>
      <c r="E62">
        <v>8146</v>
      </c>
      <c r="F62">
        <v>299.53332999999998</v>
      </c>
      <c r="G62">
        <v>218.33332999999999</v>
      </c>
      <c r="H62">
        <v>1.3719083999999999</v>
      </c>
      <c r="I62">
        <v>-0.37190839999999997</v>
      </c>
      <c r="J62">
        <v>0.42160143999999999</v>
      </c>
    </row>
    <row r="63" spans="1:10" x14ac:dyDescent="0.3">
      <c r="A63">
        <v>61</v>
      </c>
      <c r="B63">
        <v>1261</v>
      </c>
      <c r="C63" t="b">
        <v>1</v>
      </c>
      <c r="D63">
        <v>8169</v>
      </c>
      <c r="E63">
        <v>8152</v>
      </c>
      <c r="F63">
        <v>299.2</v>
      </c>
      <c r="G63">
        <v>218.33332999999999</v>
      </c>
      <c r="H63">
        <v>1.3703817</v>
      </c>
      <c r="I63">
        <v>-0.37038177</v>
      </c>
      <c r="J63">
        <v>0.42187297000000001</v>
      </c>
    </row>
    <row r="64" spans="1:10" x14ac:dyDescent="0.3">
      <c r="A64">
        <v>62</v>
      </c>
      <c r="B64">
        <v>1277</v>
      </c>
      <c r="C64" t="b">
        <v>1</v>
      </c>
      <c r="D64">
        <v>8117</v>
      </c>
      <c r="E64">
        <v>8129</v>
      </c>
      <c r="F64">
        <v>298.46667000000002</v>
      </c>
      <c r="G64">
        <v>217.93333000000001</v>
      </c>
      <c r="H64">
        <v>1.369532</v>
      </c>
      <c r="I64">
        <v>-0.36953200000000003</v>
      </c>
      <c r="J64">
        <v>0.42202424999999999</v>
      </c>
    </row>
    <row r="65" spans="1:10" x14ac:dyDescent="0.3">
      <c r="A65">
        <v>63</v>
      </c>
      <c r="B65">
        <v>1292</v>
      </c>
      <c r="C65" t="b">
        <v>1</v>
      </c>
      <c r="D65">
        <v>8146</v>
      </c>
      <c r="E65">
        <v>8140</v>
      </c>
      <c r="F65">
        <v>297.73334</v>
      </c>
      <c r="G65">
        <v>217.93333000000001</v>
      </c>
      <c r="H65">
        <v>1.3661671</v>
      </c>
      <c r="I65">
        <v>-0.36616704</v>
      </c>
      <c r="J65">
        <v>0.42262440000000001</v>
      </c>
    </row>
    <row r="66" spans="1:10" x14ac:dyDescent="0.3">
      <c r="A66">
        <v>64</v>
      </c>
      <c r="B66">
        <v>1309</v>
      </c>
      <c r="C66" t="b">
        <v>1</v>
      </c>
      <c r="D66">
        <v>8169</v>
      </c>
      <c r="E66">
        <v>8146</v>
      </c>
      <c r="F66">
        <v>298.46667000000002</v>
      </c>
      <c r="G66">
        <v>218.33332999999999</v>
      </c>
      <c r="H66">
        <v>1.3670230000000001</v>
      </c>
      <c r="I66">
        <v>-0.36702296000000001</v>
      </c>
      <c r="J66">
        <v>0.4224716</v>
      </c>
    </row>
    <row r="67" spans="1:10" x14ac:dyDescent="0.3">
      <c r="A67">
        <v>65</v>
      </c>
      <c r="B67">
        <v>1324</v>
      </c>
      <c r="C67" t="b">
        <v>1</v>
      </c>
      <c r="D67">
        <v>8129</v>
      </c>
      <c r="E67">
        <v>8134</v>
      </c>
      <c r="F67">
        <v>298.46667000000002</v>
      </c>
      <c r="G67">
        <v>218.33332999999999</v>
      </c>
      <c r="H67">
        <v>1.3670230000000001</v>
      </c>
      <c r="I67">
        <v>-0.36702296000000001</v>
      </c>
      <c r="J67">
        <v>0.4224716</v>
      </c>
    </row>
    <row r="68" spans="1:10" x14ac:dyDescent="0.3">
      <c r="A68">
        <v>66</v>
      </c>
      <c r="B68">
        <v>1340</v>
      </c>
      <c r="C68" t="b">
        <v>1</v>
      </c>
      <c r="D68">
        <v>8163</v>
      </c>
      <c r="E68">
        <v>8134</v>
      </c>
      <c r="F68">
        <v>298.46667000000002</v>
      </c>
      <c r="G68">
        <v>217.93333000000001</v>
      </c>
      <c r="H68">
        <v>1.369532</v>
      </c>
      <c r="I68">
        <v>-0.36953200000000003</v>
      </c>
      <c r="J68">
        <v>0.42202424999999999</v>
      </c>
    </row>
    <row r="69" spans="1:10" x14ac:dyDescent="0.3">
      <c r="A69">
        <v>67</v>
      </c>
      <c r="B69">
        <v>1357</v>
      </c>
      <c r="C69" t="b">
        <v>1</v>
      </c>
      <c r="D69">
        <v>8169</v>
      </c>
      <c r="E69">
        <v>8146</v>
      </c>
      <c r="F69">
        <v>299.60000000000002</v>
      </c>
      <c r="G69">
        <v>218.66667000000001</v>
      </c>
      <c r="H69">
        <v>1.3701220000000001</v>
      </c>
      <c r="I69">
        <v>-0.37012196000000003</v>
      </c>
      <c r="J69">
        <v>0.42191922999999998</v>
      </c>
    </row>
    <row r="70" spans="1:10" x14ac:dyDescent="0.3">
      <c r="A70">
        <v>68</v>
      </c>
      <c r="B70">
        <v>1372</v>
      </c>
      <c r="C70" t="b">
        <v>1</v>
      </c>
      <c r="D70">
        <v>8152</v>
      </c>
      <c r="E70">
        <v>8152</v>
      </c>
      <c r="F70">
        <v>300.73334</v>
      </c>
      <c r="G70">
        <v>219.8</v>
      </c>
      <c r="H70">
        <v>1.3682135</v>
      </c>
      <c r="I70">
        <v>-0.36821353000000001</v>
      </c>
      <c r="J70">
        <v>0.42225923999999998</v>
      </c>
    </row>
    <row r="71" spans="1:10" x14ac:dyDescent="0.3">
      <c r="A71">
        <v>69</v>
      </c>
      <c r="B71">
        <v>1388</v>
      </c>
      <c r="C71" t="b">
        <v>1</v>
      </c>
      <c r="D71">
        <v>8140</v>
      </c>
      <c r="E71">
        <v>8164</v>
      </c>
      <c r="F71">
        <v>301.13333</v>
      </c>
      <c r="G71">
        <v>220.93333000000001</v>
      </c>
      <c r="H71">
        <v>1.3630054</v>
      </c>
      <c r="I71">
        <v>-0.36300543000000002</v>
      </c>
      <c r="J71">
        <v>0.42318990000000001</v>
      </c>
    </row>
    <row r="72" spans="1:10" x14ac:dyDescent="0.3">
      <c r="A72">
        <v>70</v>
      </c>
      <c r="B72">
        <v>1404</v>
      </c>
      <c r="C72" t="b">
        <v>1</v>
      </c>
      <c r="D72">
        <v>8152</v>
      </c>
      <c r="E72">
        <v>8129</v>
      </c>
      <c r="F72">
        <v>301.53332999999998</v>
      </c>
      <c r="G72">
        <v>222.06666999999999</v>
      </c>
      <c r="H72">
        <v>1.3578504</v>
      </c>
      <c r="I72">
        <v>-0.35785045999999998</v>
      </c>
      <c r="J72">
        <v>0.42411512000000001</v>
      </c>
    </row>
    <row r="73" spans="1:10" x14ac:dyDescent="0.3">
      <c r="A73">
        <v>71</v>
      </c>
      <c r="B73">
        <v>1420</v>
      </c>
      <c r="C73" t="b">
        <v>1</v>
      </c>
      <c r="D73">
        <v>8146</v>
      </c>
      <c r="E73">
        <v>8129</v>
      </c>
      <c r="F73">
        <v>301.93331999999998</v>
      </c>
      <c r="G73">
        <v>223.2</v>
      </c>
      <c r="H73">
        <v>1.3527479</v>
      </c>
      <c r="I73">
        <v>-0.35274786000000002</v>
      </c>
      <c r="J73">
        <v>0.42503494000000003</v>
      </c>
    </row>
    <row r="74" spans="1:10" x14ac:dyDescent="0.3">
      <c r="A74">
        <v>72</v>
      </c>
      <c r="B74">
        <v>1436</v>
      </c>
      <c r="C74" t="b">
        <v>1</v>
      </c>
      <c r="D74">
        <v>8152</v>
      </c>
      <c r="E74">
        <v>8140</v>
      </c>
      <c r="F74">
        <v>304.26666</v>
      </c>
      <c r="G74">
        <v>223.93333000000001</v>
      </c>
      <c r="H74">
        <v>1.3587377</v>
      </c>
      <c r="I74">
        <v>-0.35873769999999999</v>
      </c>
      <c r="J74">
        <v>0.42395556000000001</v>
      </c>
    </row>
    <row r="75" spans="1:10" x14ac:dyDescent="0.3">
      <c r="A75">
        <v>73</v>
      </c>
      <c r="B75">
        <v>1452</v>
      </c>
      <c r="C75" t="b">
        <v>1</v>
      </c>
      <c r="D75">
        <v>8135</v>
      </c>
      <c r="E75">
        <v>8152</v>
      </c>
      <c r="F75">
        <v>306.2</v>
      </c>
      <c r="G75">
        <v>224.66667000000001</v>
      </c>
      <c r="H75">
        <v>1.362908</v>
      </c>
      <c r="I75">
        <v>-0.36290803999999999</v>
      </c>
      <c r="J75">
        <v>0.42320730000000001</v>
      </c>
    </row>
    <row r="76" spans="1:10" x14ac:dyDescent="0.3">
      <c r="A76">
        <v>74</v>
      </c>
      <c r="B76">
        <v>1467</v>
      </c>
      <c r="C76" t="b">
        <v>1</v>
      </c>
      <c r="D76">
        <v>8169</v>
      </c>
      <c r="E76">
        <v>8123</v>
      </c>
      <c r="F76">
        <v>307.33334000000002</v>
      </c>
      <c r="G76">
        <v>224.66667000000001</v>
      </c>
      <c r="H76">
        <v>1.3679526</v>
      </c>
      <c r="I76">
        <v>-0.36795253</v>
      </c>
      <c r="J76">
        <v>0.42230575999999997</v>
      </c>
    </row>
    <row r="77" spans="1:10" x14ac:dyDescent="0.3">
      <c r="A77">
        <v>75</v>
      </c>
      <c r="B77">
        <v>1499</v>
      </c>
      <c r="C77" t="b">
        <v>1</v>
      </c>
      <c r="D77">
        <v>8152</v>
      </c>
      <c r="E77">
        <v>8146</v>
      </c>
      <c r="F77">
        <v>308.46667000000002</v>
      </c>
      <c r="G77">
        <v>225.06666999999999</v>
      </c>
      <c r="H77">
        <v>1.370557</v>
      </c>
      <c r="I77">
        <v>-0.37055692000000001</v>
      </c>
      <c r="J77">
        <v>0.42184179999999999</v>
      </c>
    </row>
    <row r="78" spans="1:10" x14ac:dyDescent="0.3">
      <c r="A78">
        <v>76</v>
      </c>
      <c r="B78">
        <v>1530</v>
      </c>
      <c r="C78" t="b">
        <v>1</v>
      </c>
      <c r="D78">
        <v>8135</v>
      </c>
      <c r="E78">
        <v>8146</v>
      </c>
      <c r="F78">
        <v>309.60000000000002</v>
      </c>
      <c r="G78">
        <v>225.86667</v>
      </c>
      <c r="H78">
        <v>1.3707201</v>
      </c>
      <c r="I78">
        <v>-0.3707202</v>
      </c>
      <c r="J78">
        <v>0.42181274000000002</v>
      </c>
    </row>
    <row r="79" spans="1:10" x14ac:dyDescent="0.3">
      <c r="A79">
        <v>77</v>
      </c>
      <c r="B79">
        <v>1562</v>
      </c>
      <c r="C79" t="b">
        <v>1</v>
      </c>
      <c r="D79">
        <v>8135</v>
      </c>
      <c r="E79">
        <v>8123</v>
      </c>
      <c r="F79">
        <v>309.60000000000002</v>
      </c>
      <c r="G79">
        <v>226.66667000000001</v>
      </c>
      <c r="H79">
        <v>1.3658824000000001</v>
      </c>
      <c r="I79">
        <v>-0.36588233999999997</v>
      </c>
      <c r="J79">
        <v>0.42267529999999998</v>
      </c>
    </row>
    <row r="80" spans="1:10" x14ac:dyDescent="0.3">
      <c r="A80">
        <v>78</v>
      </c>
      <c r="B80">
        <v>1578</v>
      </c>
      <c r="C80" t="b">
        <v>1</v>
      </c>
      <c r="D80">
        <v>8083</v>
      </c>
      <c r="E80">
        <v>8140</v>
      </c>
      <c r="F80">
        <v>309.60000000000002</v>
      </c>
      <c r="G80">
        <v>226.66667000000001</v>
      </c>
      <c r="H80">
        <v>1.3658824000000001</v>
      </c>
      <c r="I80">
        <v>-0.36588233999999997</v>
      </c>
      <c r="J80">
        <v>0.42267529999999998</v>
      </c>
    </row>
    <row r="81" spans="1:10" x14ac:dyDescent="0.3">
      <c r="A81">
        <v>79</v>
      </c>
      <c r="B81">
        <v>1594</v>
      </c>
      <c r="C81" t="b">
        <v>1</v>
      </c>
      <c r="D81">
        <v>8152</v>
      </c>
      <c r="E81">
        <v>8134</v>
      </c>
      <c r="F81">
        <v>308.86667</v>
      </c>
      <c r="G81">
        <v>226.26666</v>
      </c>
      <c r="H81">
        <v>1.365056</v>
      </c>
      <c r="I81">
        <v>-0.36505599999999999</v>
      </c>
      <c r="J81">
        <v>0.42282298000000001</v>
      </c>
    </row>
    <row r="82" spans="1:10" x14ac:dyDescent="0.3">
      <c r="A82">
        <v>80</v>
      </c>
      <c r="B82">
        <v>1626</v>
      </c>
      <c r="C82" t="b">
        <v>1</v>
      </c>
      <c r="D82">
        <v>8146</v>
      </c>
      <c r="E82">
        <v>8134</v>
      </c>
      <c r="F82">
        <v>308.13333</v>
      </c>
      <c r="G82">
        <v>225.86667</v>
      </c>
      <c r="H82">
        <v>1.3642266999999999</v>
      </c>
      <c r="I82">
        <v>-0.36422666999999997</v>
      </c>
      <c r="J82">
        <v>0.42297128000000001</v>
      </c>
    </row>
    <row r="83" spans="1:10" x14ac:dyDescent="0.3">
      <c r="A83">
        <v>81</v>
      </c>
      <c r="B83">
        <v>1642</v>
      </c>
      <c r="C83" t="b">
        <v>1</v>
      </c>
      <c r="D83">
        <v>8152</v>
      </c>
      <c r="E83">
        <v>8140</v>
      </c>
      <c r="F83">
        <v>308.13333</v>
      </c>
      <c r="G83">
        <v>225.86667</v>
      </c>
      <c r="H83">
        <v>1.3642266999999999</v>
      </c>
      <c r="I83">
        <v>-0.36422666999999997</v>
      </c>
      <c r="J83">
        <v>0.42297128000000001</v>
      </c>
    </row>
    <row r="84" spans="1:10" x14ac:dyDescent="0.3">
      <c r="A84">
        <v>82</v>
      </c>
      <c r="B84">
        <v>1657</v>
      </c>
      <c r="C84" t="b">
        <v>1</v>
      </c>
      <c r="D84">
        <v>8140</v>
      </c>
      <c r="E84">
        <v>8129</v>
      </c>
      <c r="F84">
        <v>307</v>
      </c>
      <c r="G84">
        <v>225.46665999999999</v>
      </c>
      <c r="H84">
        <v>1.3616204000000001</v>
      </c>
      <c r="I84">
        <v>-0.36162040000000001</v>
      </c>
      <c r="J84">
        <v>0.42343807</v>
      </c>
    </row>
    <row r="85" spans="1:10" x14ac:dyDescent="0.3">
      <c r="A85">
        <v>83</v>
      </c>
      <c r="B85">
        <v>1673</v>
      </c>
      <c r="C85" t="b">
        <v>1</v>
      </c>
      <c r="D85">
        <v>8100</v>
      </c>
      <c r="E85">
        <v>8152</v>
      </c>
      <c r="F85">
        <v>305.86667</v>
      </c>
      <c r="G85">
        <v>224.66667000000001</v>
      </c>
      <c r="H85">
        <v>1.3614242999999999</v>
      </c>
      <c r="I85">
        <v>-0.36142429999999998</v>
      </c>
      <c r="J85">
        <v>0.42347323999999997</v>
      </c>
    </row>
    <row r="86" spans="1:10" x14ac:dyDescent="0.3">
      <c r="A86">
        <v>84</v>
      </c>
      <c r="B86">
        <v>1689</v>
      </c>
      <c r="C86" t="b">
        <v>1</v>
      </c>
      <c r="D86">
        <v>8100</v>
      </c>
      <c r="E86">
        <v>8111</v>
      </c>
      <c r="F86">
        <v>305.06668000000002</v>
      </c>
      <c r="G86">
        <v>223.86667</v>
      </c>
      <c r="H86">
        <v>1.362716</v>
      </c>
      <c r="I86">
        <v>-0.36271596</v>
      </c>
      <c r="J86">
        <v>0.42324172999999998</v>
      </c>
    </row>
    <row r="87" spans="1:10" x14ac:dyDescent="0.3">
      <c r="A87">
        <v>85</v>
      </c>
      <c r="B87">
        <v>1705</v>
      </c>
      <c r="C87" t="b">
        <v>1</v>
      </c>
      <c r="D87">
        <v>8129</v>
      </c>
      <c r="E87">
        <v>8129</v>
      </c>
      <c r="F87">
        <v>303.53332999999998</v>
      </c>
      <c r="G87">
        <v>222.73334</v>
      </c>
      <c r="H87">
        <v>1.3627655999999999</v>
      </c>
      <c r="I87">
        <v>-0.36276557999999998</v>
      </c>
      <c r="J87">
        <v>0.42323284999999999</v>
      </c>
    </row>
    <row r="88" spans="1:10" x14ac:dyDescent="0.3">
      <c r="A88">
        <v>86</v>
      </c>
      <c r="B88">
        <v>1721</v>
      </c>
      <c r="C88" t="b">
        <v>1</v>
      </c>
      <c r="D88">
        <v>8135</v>
      </c>
      <c r="E88">
        <v>8129</v>
      </c>
      <c r="F88">
        <v>302</v>
      </c>
      <c r="G88">
        <v>221.6</v>
      </c>
      <c r="H88">
        <v>1.3628159</v>
      </c>
      <c r="I88">
        <v>-0.36281585999999999</v>
      </c>
      <c r="J88">
        <v>0.42322385000000001</v>
      </c>
    </row>
    <row r="89" spans="1:10" x14ac:dyDescent="0.3">
      <c r="A89">
        <v>87</v>
      </c>
      <c r="B89">
        <v>1737</v>
      </c>
      <c r="C89" t="b">
        <v>1</v>
      </c>
      <c r="D89">
        <v>8146</v>
      </c>
      <c r="E89">
        <v>8134</v>
      </c>
      <c r="F89">
        <v>300.46667000000002</v>
      </c>
      <c r="G89">
        <v>220.86667</v>
      </c>
      <c r="H89">
        <v>1.3603984</v>
      </c>
      <c r="I89">
        <v>-0.36039843999999999</v>
      </c>
      <c r="J89">
        <v>0.42365726999999997</v>
      </c>
    </row>
    <row r="90" spans="1:10" x14ac:dyDescent="0.3">
      <c r="A90">
        <v>88</v>
      </c>
      <c r="B90">
        <v>1753</v>
      </c>
      <c r="C90" t="b">
        <v>1</v>
      </c>
      <c r="D90">
        <v>8140</v>
      </c>
      <c r="E90">
        <v>8129</v>
      </c>
      <c r="F90">
        <v>299.73334</v>
      </c>
      <c r="G90">
        <v>220.13333</v>
      </c>
      <c r="H90">
        <v>1.3615991000000001</v>
      </c>
      <c r="I90">
        <v>-0.36159906000000003</v>
      </c>
      <c r="J90">
        <v>0.42344189999999998</v>
      </c>
    </row>
    <row r="91" spans="1:10" x14ac:dyDescent="0.3">
      <c r="A91">
        <v>89</v>
      </c>
      <c r="B91">
        <v>1769</v>
      </c>
      <c r="C91" t="b">
        <v>1</v>
      </c>
      <c r="D91">
        <v>8152</v>
      </c>
      <c r="E91">
        <v>8129</v>
      </c>
      <c r="F91">
        <v>298.93331999999998</v>
      </c>
      <c r="G91">
        <v>220.13333</v>
      </c>
      <c r="H91">
        <v>1.3579649</v>
      </c>
      <c r="I91">
        <v>-0.35796480000000003</v>
      </c>
      <c r="J91">
        <v>0.42409453000000003</v>
      </c>
    </row>
    <row r="92" spans="1:10" x14ac:dyDescent="0.3">
      <c r="A92">
        <v>90</v>
      </c>
      <c r="B92">
        <v>1800</v>
      </c>
      <c r="C92" t="b">
        <v>1</v>
      </c>
      <c r="D92">
        <v>8146</v>
      </c>
      <c r="E92">
        <v>8129</v>
      </c>
      <c r="F92">
        <v>298.53332999999998</v>
      </c>
      <c r="G92">
        <v>219.4</v>
      </c>
      <c r="H92">
        <v>1.3606807000000001</v>
      </c>
      <c r="I92">
        <v>-0.36068064</v>
      </c>
      <c r="J92">
        <v>0.4236066</v>
      </c>
    </row>
    <row r="93" spans="1:10" x14ac:dyDescent="0.3">
      <c r="A93">
        <v>91</v>
      </c>
      <c r="B93">
        <v>1831</v>
      </c>
      <c r="C93" t="b">
        <v>1</v>
      </c>
      <c r="D93">
        <v>8135</v>
      </c>
      <c r="E93">
        <v>8134</v>
      </c>
      <c r="F93">
        <v>298.13333</v>
      </c>
      <c r="G93">
        <v>218.26666</v>
      </c>
      <c r="H93">
        <v>1.3659133000000001</v>
      </c>
      <c r="I93">
        <v>-0.36591327000000001</v>
      </c>
      <c r="J93">
        <v>0.42266974000000002</v>
      </c>
    </row>
    <row r="94" spans="1:10" x14ac:dyDescent="0.3">
      <c r="A94">
        <v>92</v>
      </c>
      <c r="B94">
        <v>1847</v>
      </c>
      <c r="C94" t="b">
        <v>1</v>
      </c>
      <c r="D94">
        <v>8129</v>
      </c>
      <c r="E94">
        <v>8152</v>
      </c>
      <c r="F94">
        <v>298.46667000000002</v>
      </c>
      <c r="G94">
        <v>217.13333</v>
      </c>
      <c r="H94">
        <v>1.3745779</v>
      </c>
      <c r="I94">
        <v>-0.37457787999999997</v>
      </c>
      <c r="J94">
        <v>0.42112749999999999</v>
      </c>
    </row>
    <row r="95" spans="1:10" x14ac:dyDescent="0.3">
      <c r="A95">
        <v>93</v>
      </c>
      <c r="B95">
        <v>1879</v>
      </c>
      <c r="C95" t="b">
        <v>1</v>
      </c>
      <c r="D95">
        <v>8140</v>
      </c>
      <c r="E95">
        <v>8146</v>
      </c>
      <c r="F95">
        <v>298.8</v>
      </c>
      <c r="G95">
        <v>216.73334</v>
      </c>
      <c r="H95">
        <v>1.3786527</v>
      </c>
      <c r="I95">
        <v>-0.37865262999999999</v>
      </c>
      <c r="J95">
        <v>0.42040607000000002</v>
      </c>
    </row>
    <row r="96" spans="1:10" x14ac:dyDescent="0.3">
      <c r="A96">
        <v>94</v>
      </c>
      <c r="B96">
        <v>1911</v>
      </c>
      <c r="C96" t="b">
        <v>1</v>
      </c>
      <c r="D96">
        <v>8129</v>
      </c>
      <c r="E96">
        <v>8140</v>
      </c>
      <c r="F96">
        <v>298.8</v>
      </c>
      <c r="G96">
        <v>216.73334</v>
      </c>
      <c r="H96">
        <v>1.3786527</v>
      </c>
      <c r="I96">
        <v>-0.37865262999999999</v>
      </c>
      <c r="J96">
        <v>0.42040607000000002</v>
      </c>
    </row>
    <row r="97" spans="1:10" x14ac:dyDescent="0.3">
      <c r="A97">
        <v>95</v>
      </c>
      <c r="B97">
        <v>1927</v>
      </c>
      <c r="C97" t="b">
        <v>1</v>
      </c>
      <c r="D97">
        <v>8158</v>
      </c>
      <c r="E97">
        <v>8146</v>
      </c>
      <c r="F97">
        <v>298.8</v>
      </c>
      <c r="G97">
        <v>217.53334000000001</v>
      </c>
      <c r="H97">
        <v>1.3735824999999999</v>
      </c>
      <c r="I97">
        <v>-0.37358247999999999</v>
      </c>
      <c r="J97">
        <v>0.42130410000000001</v>
      </c>
    </row>
    <row r="98" spans="1:10" x14ac:dyDescent="0.3">
      <c r="A98">
        <v>96</v>
      </c>
      <c r="B98">
        <v>1943</v>
      </c>
      <c r="C98" t="b">
        <v>1</v>
      </c>
      <c r="D98">
        <v>8169</v>
      </c>
      <c r="E98">
        <v>8117</v>
      </c>
      <c r="F98">
        <v>298.39999999999998</v>
      </c>
      <c r="G98">
        <v>218.33332999999999</v>
      </c>
      <c r="H98">
        <v>1.3667176000000001</v>
      </c>
      <c r="I98">
        <v>-0.36671755</v>
      </c>
      <c r="J98">
        <v>0.42252612000000001</v>
      </c>
    </row>
    <row r="99" spans="1:10" x14ac:dyDescent="0.3">
      <c r="A99">
        <v>97</v>
      </c>
      <c r="B99">
        <v>1959</v>
      </c>
      <c r="C99" t="b">
        <v>1</v>
      </c>
      <c r="D99">
        <v>8135</v>
      </c>
      <c r="E99">
        <v>8129</v>
      </c>
      <c r="F99">
        <v>298</v>
      </c>
      <c r="G99">
        <v>218.73334</v>
      </c>
      <c r="H99">
        <v>1.3623894000000001</v>
      </c>
      <c r="I99">
        <v>-0.36238949999999998</v>
      </c>
      <c r="J99">
        <v>0.42330023999999999</v>
      </c>
    </row>
    <row r="100" spans="1:10" x14ac:dyDescent="0.3">
      <c r="A100">
        <v>98</v>
      </c>
      <c r="B100">
        <v>1975</v>
      </c>
      <c r="C100" t="b">
        <v>1</v>
      </c>
      <c r="D100">
        <v>8129</v>
      </c>
      <c r="E100">
        <v>8129</v>
      </c>
      <c r="F100">
        <v>297.26666</v>
      </c>
      <c r="G100">
        <v>218.4</v>
      </c>
      <c r="H100">
        <v>1.3611112000000001</v>
      </c>
      <c r="I100">
        <v>-0.36111113</v>
      </c>
      <c r="J100">
        <v>0.42352944999999997</v>
      </c>
    </row>
    <row r="101" spans="1:10" x14ac:dyDescent="0.3">
      <c r="A101">
        <v>99</v>
      </c>
      <c r="B101">
        <v>2006</v>
      </c>
      <c r="C101" t="b">
        <v>1</v>
      </c>
      <c r="D101">
        <v>8158</v>
      </c>
      <c r="E101">
        <v>8140</v>
      </c>
      <c r="F101">
        <v>298.46667000000002</v>
      </c>
      <c r="G101">
        <v>218.06666999999999</v>
      </c>
      <c r="H101">
        <v>1.3686947</v>
      </c>
      <c r="I101">
        <v>-0.36869463000000002</v>
      </c>
      <c r="J101">
        <v>0.42217347</v>
      </c>
    </row>
    <row r="102" spans="1:10" x14ac:dyDescent="0.3">
      <c r="A102">
        <v>100</v>
      </c>
      <c r="B102">
        <v>2021</v>
      </c>
      <c r="C102" t="b">
        <v>1</v>
      </c>
      <c r="D102">
        <v>8123</v>
      </c>
      <c r="E102">
        <v>8123</v>
      </c>
      <c r="F102">
        <v>298.86667</v>
      </c>
      <c r="G102">
        <v>218.06666999999999</v>
      </c>
      <c r="H102">
        <v>1.3705289</v>
      </c>
      <c r="I102">
        <v>-0.37052889999999999</v>
      </c>
      <c r="J102">
        <v>0.42184677999999998</v>
      </c>
    </row>
    <row r="103" spans="1:10" x14ac:dyDescent="0.3">
      <c r="A103">
        <v>101</v>
      </c>
      <c r="B103">
        <v>2037</v>
      </c>
      <c r="C103" t="b">
        <v>1</v>
      </c>
      <c r="D103">
        <v>8152</v>
      </c>
      <c r="E103">
        <v>8123</v>
      </c>
      <c r="F103">
        <v>299.26666</v>
      </c>
      <c r="G103">
        <v>218.06666999999999</v>
      </c>
      <c r="H103">
        <v>1.3723631999999999</v>
      </c>
      <c r="I103">
        <v>-0.37236318000000002</v>
      </c>
      <c r="J103">
        <v>0.42152062000000001</v>
      </c>
    </row>
    <row r="104" spans="1:10" x14ac:dyDescent="0.3">
      <c r="A104">
        <v>102</v>
      </c>
      <c r="B104">
        <v>2053</v>
      </c>
      <c r="C104" t="b">
        <v>1</v>
      </c>
      <c r="D104">
        <v>8129</v>
      </c>
      <c r="E104">
        <v>8123</v>
      </c>
      <c r="F104">
        <v>299.26666</v>
      </c>
      <c r="G104">
        <v>217.66667000000001</v>
      </c>
      <c r="H104">
        <v>1.3748851</v>
      </c>
      <c r="I104">
        <v>-0.37488507999999998</v>
      </c>
      <c r="J104">
        <v>0.42107299999999998</v>
      </c>
    </row>
    <row r="105" spans="1:10" x14ac:dyDescent="0.3">
      <c r="A105">
        <v>103</v>
      </c>
      <c r="B105">
        <v>2069</v>
      </c>
      <c r="C105" t="b">
        <v>1</v>
      </c>
      <c r="D105">
        <v>8146</v>
      </c>
      <c r="E105">
        <v>8111</v>
      </c>
      <c r="F105">
        <v>300</v>
      </c>
      <c r="G105">
        <v>217.26666</v>
      </c>
      <c r="H105">
        <v>1.3807917000000001</v>
      </c>
      <c r="I105">
        <v>-0.38079170000000001</v>
      </c>
      <c r="J105">
        <v>0.42002835999999999</v>
      </c>
    </row>
    <row r="106" spans="1:10" x14ac:dyDescent="0.3">
      <c r="A106">
        <v>104</v>
      </c>
      <c r="B106">
        <v>2085</v>
      </c>
      <c r="C106" t="b">
        <v>1</v>
      </c>
      <c r="D106">
        <v>8106</v>
      </c>
      <c r="E106">
        <v>8140</v>
      </c>
      <c r="F106">
        <v>299.26666</v>
      </c>
      <c r="G106">
        <v>216.86667</v>
      </c>
      <c r="H106">
        <v>1.3799570000000001</v>
      </c>
      <c r="I106">
        <v>-0.37995693000000003</v>
      </c>
      <c r="J106">
        <v>0.42017569999999999</v>
      </c>
    </row>
    <row r="107" spans="1:10" x14ac:dyDescent="0.3">
      <c r="A107">
        <v>105</v>
      </c>
      <c r="B107">
        <v>2100</v>
      </c>
      <c r="C107" t="b">
        <v>1</v>
      </c>
      <c r="D107">
        <v>8152</v>
      </c>
      <c r="E107">
        <v>8152</v>
      </c>
      <c r="F107">
        <v>299.26666</v>
      </c>
      <c r="G107">
        <v>216.46665999999999</v>
      </c>
      <c r="H107">
        <v>1.3825069999999999</v>
      </c>
      <c r="I107">
        <v>-0.38250697</v>
      </c>
      <c r="J107">
        <v>0.41972591999999997</v>
      </c>
    </row>
    <row r="108" spans="1:10" x14ac:dyDescent="0.3">
      <c r="A108">
        <v>106</v>
      </c>
      <c r="B108">
        <v>2133</v>
      </c>
      <c r="C108" t="b">
        <v>1</v>
      </c>
      <c r="D108">
        <v>8152</v>
      </c>
      <c r="E108">
        <v>8117</v>
      </c>
      <c r="F108">
        <v>299.26666</v>
      </c>
      <c r="G108">
        <v>216.06666999999999</v>
      </c>
      <c r="H108">
        <v>1.3850663000000001</v>
      </c>
      <c r="I108">
        <v>-0.38506633000000001</v>
      </c>
      <c r="J108">
        <v>0.41927555</v>
      </c>
    </row>
    <row r="109" spans="1:10" x14ac:dyDescent="0.3">
      <c r="A109">
        <v>107</v>
      </c>
      <c r="B109">
        <v>2164</v>
      </c>
      <c r="C109" t="b">
        <v>1</v>
      </c>
      <c r="D109">
        <v>8100</v>
      </c>
      <c r="E109">
        <v>8146</v>
      </c>
      <c r="F109">
        <v>299.66665999999998</v>
      </c>
      <c r="G109">
        <v>216.8</v>
      </c>
      <c r="H109">
        <v>1.3822262000000001</v>
      </c>
      <c r="I109">
        <v>-0.38222625999999998</v>
      </c>
      <c r="J109">
        <v>0.41977540000000002</v>
      </c>
    </row>
    <row r="110" spans="1:10" x14ac:dyDescent="0.3">
      <c r="A110">
        <v>108</v>
      </c>
      <c r="B110">
        <v>2196</v>
      </c>
      <c r="C110" t="b">
        <v>1</v>
      </c>
      <c r="D110">
        <v>8140</v>
      </c>
      <c r="E110">
        <v>8146</v>
      </c>
      <c r="F110">
        <v>299.66665999999998</v>
      </c>
      <c r="G110">
        <v>217.6</v>
      </c>
      <c r="H110">
        <v>1.3771446000000001</v>
      </c>
      <c r="I110">
        <v>-0.37714451999999998</v>
      </c>
      <c r="J110">
        <v>0.42067276999999997</v>
      </c>
    </row>
    <row r="111" spans="1:10" x14ac:dyDescent="0.3">
      <c r="A111">
        <v>109</v>
      </c>
      <c r="B111">
        <v>2227</v>
      </c>
      <c r="C111" t="b">
        <v>1</v>
      </c>
      <c r="D111">
        <v>8163</v>
      </c>
      <c r="E111">
        <v>8123</v>
      </c>
      <c r="F111">
        <v>300.8</v>
      </c>
      <c r="G111">
        <v>218</v>
      </c>
      <c r="H111">
        <v>1.3798163999999999</v>
      </c>
      <c r="I111">
        <v>-0.37981647000000002</v>
      </c>
      <c r="J111">
        <v>0.42020046999999999</v>
      </c>
    </row>
    <row r="112" spans="1:10" x14ac:dyDescent="0.3">
      <c r="A112">
        <v>110</v>
      </c>
      <c r="B112">
        <v>2243</v>
      </c>
      <c r="C112" t="b">
        <v>1</v>
      </c>
      <c r="D112">
        <v>8152</v>
      </c>
      <c r="E112">
        <v>8134</v>
      </c>
      <c r="F112">
        <v>301.93331999999998</v>
      </c>
      <c r="G112">
        <v>217.2</v>
      </c>
      <c r="H112">
        <v>1.3901166</v>
      </c>
      <c r="I112">
        <v>-0.39011659999999998</v>
      </c>
      <c r="J112">
        <v>0.41838965</v>
      </c>
    </row>
    <row r="113" spans="1:10" x14ac:dyDescent="0.3">
      <c r="A113">
        <v>111</v>
      </c>
      <c r="B113">
        <v>2259</v>
      </c>
      <c r="C113" t="b">
        <v>1</v>
      </c>
      <c r="D113">
        <v>8186</v>
      </c>
      <c r="E113">
        <v>8134</v>
      </c>
      <c r="F113">
        <v>302.73334</v>
      </c>
      <c r="G113">
        <v>216.4</v>
      </c>
      <c r="H113">
        <v>1.3989526000000001</v>
      </c>
      <c r="I113">
        <v>-0.39895259999999999</v>
      </c>
      <c r="J113">
        <v>0.41684860000000001</v>
      </c>
    </row>
    <row r="114" spans="1:10" x14ac:dyDescent="0.3">
      <c r="A114">
        <v>112</v>
      </c>
      <c r="B114">
        <v>2275</v>
      </c>
      <c r="C114" t="b">
        <v>1</v>
      </c>
      <c r="D114">
        <v>8146</v>
      </c>
      <c r="E114">
        <v>8140</v>
      </c>
      <c r="F114">
        <v>303.53332999999998</v>
      </c>
      <c r="G114">
        <v>216</v>
      </c>
      <c r="H114">
        <v>1.4052469000000001</v>
      </c>
      <c r="I114">
        <v>-0.40524687999999998</v>
      </c>
      <c r="J114">
        <v>0.41575774999999998</v>
      </c>
    </row>
    <row r="115" spans="1:10" x14ac:dyDescent="0.3">
      <c r="A115">
        <v>113</v>
      </c>
      <c r="B115">
        <v>2291</v>
      </c>
      <c r="C115" t="b">
        <v>1</v>
      </c>
      <c r="D115">
        <v>8158</v>
      </c>
      <c r="E115">
        <v>8152</v>
      </c>
      <c r="F115">
        <v>305.06668000000002</v>
      </c>
      <c r="G115">
        <v>216.33332999999999</v>
      </c>
      <c r="H115">
        <v>1.4101695999999999</v>
      </c>
      <c r="I115">
        <v>-0.41016960000000002</v>
      </c>
      <c r="J115">
        <v>0.41490855999999998</v>
      </c>
    </row>
    <row r="116" spans="1:10" x14ac:dyDescent="0.3">
      <c r="A116">
        <v>114</v>
      </c>
      <c r="B116">
        <v>2307</v>
      </c>
      <c r="C116" t="b">
        <v>1</v>
      </c>
      <c r="D116">
        <v>8152</v>
      </c>
      <c r="E116">
        <v>8146</v>
      </c>
      <c r="F116">
        <v>304.66665999999998</v>
      </c>
      <c r="G116">
        <v>217.06666999999999</v>
      </c>
      <c r="H116">
        <v>1.4035626999999999</v>
      </c>
      <c r="I116">
        <v>-0.40356259999999999</v>
      </c>
      <c r="J116">
        <v>0.41604906000000003</v>
      </c>
    </row>
    <row r="117" spans="1:10" x14ac:dyDescent="0.3">
      <c r="A117">
        <v>115</v>
      </c>
      <c r="B117">
        <v>2323</v>
      </c>
      <c r="C117" t="b">
        <v>1</v>
      </c>
      <c r="D117">
        <v>8123</v>
      </c>
      <c r="E117">
        <v>8140</v>
      </c>
      <c r="F117">
        <v>305.8</v>
      </c>
      <c r="G117">
        <v>217.8</v>
      </c>
      <c r="H117">
        <v>1.4040402999999999</v>
      </c>
      <c r="I117">
        <v>-0.40404034</v>
      </c>
      <c r="J117">
        <v>0.41596642</v>
      </c>
    </row>
    <row r="118" spans="1:10" x14ac:dyDescent="0.3">
      <c r="A118">
        <v>116</v>
      </c>
      <c r="B118">
        <v>2339</v>
      </c>
      <c r="C118" t="b">
        <v>1</v>
      </c>
      <c r="D118">
        <v>8169</v>
      </c>
      <c r="E118">
        <v>8099</v>
      </c>
      <c r="F118">
        <v>306.93331999999998</v>
      </c>
      <c r="G118">
        <v>218.53334000000001</v>
      </c>
      <c r="H118">
        <v>1.4045148000000001</v>
      </c>
      <c r="I118">
        <v>-0.40451484999999998</v>
      </c>
      <c r="J118">
        <v>0.41588429999999998</v>
      </c>
    </row>
    <row r="119" spans="1:10" x14ac:dyDescent="0.3">
      <c r="A119">
        <v>117</v>
      </c>
      <c r="B119">
        <v>2355</v>
      </c>
      <c r="C119" t="b">
        <v>1</v>
      </c>
      <c r="D119">
        <v>8169</v>
      </c>
      <c r="E119">
        <v>8164</v>
      </c>
      <c r="F119">
        <v>308.86667</v>
      </c>
      <c r="G119">
        <v>220.06666999999999</v>
      </c>
      <c r="H119">
        <v>1.4035141</v>
      </c>
      <c r="I119">
        <v>-0.40351411999999998</v>
      </c>
      <c r="J119">
        <v>0.41605746999999998</v>
      </c>
    </row>
    <row r="120" spans="1:10" x14ac:dyDescent="0.3">
      <c r="A120">
        <v>118</v>
      </c>
      <c r="B120">
        <v>2371</v>
      </c>
      <c r="C120" t="b">
        <v>1</v>
      </c>
      <c r="D120">
        <v>8181</v>
      </c>
      <c r="E120">
        <v>8134</v>
      </c>
      <c r="F120">
        <v>310.39999999999998</v>
      </c>
      <c r="G120">
        <v>221.2</v>
      </c>
      <c r="H120">
        <v>1.4032549999999999</v>
      </c>
      <c r="I120">
        <v>-0.40325496</v>
      </c>
      <c r="J120">
        <v>0.41610235000000001</v>
      </c>
    </row>
    <row r="121" spans="1:10" x14ac:dyDescent="0.3">
      <c r="A121">
        <v>119</v>
      </c>
      <c r="B121">
        <v>2387</v>
      </c>
      <c r="C121" t="b">
        <v>1</v>
      </c>
      <c r="D121">
        <v>8140</v>
      </c>
      <c r="E121">
        <v>8140</v>
      </c>
      <c r="F121">
        <v>313.06668000000002</v>
      </c>
      <c r="G121">
        <v>222.33332999999999</v>
      </c>
      <c r="H121">
        <v>1.4080961000000001</v>
      </c>
      <c r="I121">
        <v>-0.40809604999999999</v>
      </c>
      <c r="J121">
        <v>0.41526583</v>
      </c>
    </row>
    <row r="122" spans="1:10" x14ac:dyDescent="0.3">
      <c r="A122">
        <v>120</v>
      </c>
      <c r="B122">
        <v>2418</v>
      </c>
      <c r="C122" t="b">
        <v>1</v>
      </c>
      <c r="D122">
        <v>8140</v>
      </c>
      <c r="E122">
        <v>8134</v>
      </c>
      <c r="F122">
        <v>314.60000000000002</v>
      </c>
      <c r="G122">
        <v>223.06666999999999</v>
      </c>
      <c r="H122">
        <v>1.4103408</v>
      </c>
      <c r="I122">
        <v>-0.41034072999999999</v>
      </c>
      <c r="J122">
        <v>0.41487908000000001</v>
      </c>
    </row>
    <row r="123" spans="1:10" x14ac:dyDescent="0.3">
      <c r="A123">
        <v>121</v>
      </c>
      <c r="B123">
        <v>2434</v>
      </c>
      <c r="C123" t="b">
        <v>1</v>
      </c>
      <c r="D123">
        <v>8083</v>
      </c>
      <c r="E123">
        <v>8146</v>
      </c>
      <c r="F123">
        <v>314.2</v>
      </c>
      <c r="G123">
        <v>224.2</v>
      </c>
      <c r="H123">
        <v>1.4014274</v>
      </c>
      <c r="I123">
        <v>-0.40142736000000001</v>
      </c>
      <c r="J123">
        <v>0.41641899999999998</v>
      </c>
    </row>
    <row r="124" spans="1:10" x14ac:dyDescent="0.3">
      <c r="A124">
        <v>122</v>
      </c>
      <c r="B124">
        <v>2466</v>
      </c>
      <c r="C124" t="b">
        <v>1</v>
      </c>
      <c r="D124">
        <v>8140</v>
      </c>
      <c r="E124">
        <v>8129</v>
      </c>
      <c r="F124">
        <v>313.8</v>
      </c>
      <c r="G124">
        <v>223.8</v>
      </c>
      <c r="H124">
        <v>1.4021447</v>
      </c>
      <c r="I124">
        <v>-0.40214470000000002</v>
      </c>
      <c r="J124">
        <v>0.41629465999999998</v>
      </c>
    </row>
    <row r="125" spans="1:10" x14ac:dyDescent="0.3">
      <c r="A125">
        <v>123</v>
      </c>
      <c r="B125">
        <v>2482</v>
      </c>
      <c r="C125" t="b">
        <v>1</v>
      </c>
      <c r="D125">
        <v>8123</v>
      </c>
      <c r="E125">
        <v>8146</v>
      </c>
      <c r="F125">
        <v>313.8</v>
      </c>
      <c r="G125">
        <v>223.4</v>
      </c>
      <c r="H125">
        <v>1.4046552999999999</v>
      </c>
      <c r="I125">
        <v>-0.4046553</v>
      </c>
      <c r="J125">
        <v>0.41586002999999999</v>
      </c>
    </row>
    <row r="126" spans="1:10" x14ac:dyDescent="0.3">
      <c r="A126">
        <v>124</v>
      </c>
      <c r="B126">
        <v>2514</v>
      </c>
      <c r="C126" t="b">
        <v>1</v>
      </c>
      <c r="D126">
        <v>8117</v>
      </c>
      <c r="E126">
        <v>8134</v>
      </c>
      <c r="F126">
        <v>311.86667</v>
      </c>
      <c r="G126">
        <v>222.6</v>
      </c>
      <c r="H126">
        <v>1.4010183</v>
      </c>
      <c r="I126">
        <v>-0.40101822999999998</v>
      </c>
      <c r="J126">
        <v>0.41648995999999999</v>
      </c>
    </row>
    <row r="127" spans="1:10" x14ac:dyDescent="0.3">
      <c r="A127">
        <v>125</v>
      </c>
      <c r="B127">
        <v>2545</v>
      </c>
      <c r="C127" t="b">
        <v>1</v>
      </c>
      <c r="D127">
        <v>8135</v>
      </c>
      <c r="E127">
        <v>8129</v>
      </c>
      <c r="F127">
        <v>309.93331999999998</v>
      </c>
      <c r="G127">
        <v>222.6</v>
      </c>
      <c r="H127">
        <v>1.3923329</v>
      </c>
      <c r="I127">
        <v>-0.39233294000000002</v>
      </c>
      <c r="J127">
        <v>0.41800199999999998</v>
      </c>
    </row>
    <row r="128" spans="1:10" x14ac:dyDescent="0.3">
      <c r="A128">
        <v>126</v>
      </c>
      <c r="B128">
        <v>2561</v>
      </c>
      <c r="C128" t="b">
        <v>1</v>
      </c>
      <c r="D128">
        <v>8140</v>
      </c>
      <c r="E128">
        <v>8123</v>
      </c>
      <c r="F128">
        <v>308.8</v>
      </c>
      <c r="G128">
        <v>222.26666</v>
      </c>
      <c r="H128">
        <v>1.3893222000000001</v>
      </c>
      <c r="I128">
        <v>-0.3893221</v>
      </c>
      <c r="J128">
        <v>0.41852876999999999</v>
      </c>
    </row>
    <row r="129" spans="1:10" x14ac:dyDescent="0.3">
      <c r="A129">
        <v>127</v>
      </c>
      <c r="B129">
        <v>2577</v>
      </c>
      <c r="C129" t="b">
        <v>1</v>
      </c>
      <c r="D129">
        <v>8192</v>
      </c>
      <c r="E129">
        <v>8146</v>
      </c>
      <c r="F129">
        <v>307.66665999999998</v>
      </c>
      <c r="G129">
        <v>222.26666</v>
      </c>
      <c r="H129">
        <v>1.3842231</v>
      </c>
      <c r="I129">
        <v>-0.38422313000000002</v>
      </c>
      <c r="J129">
        <v>0.41942382</v>
      </c>
    </row>
    <row r="130" spans="1:10" x14ac:dyDescent="0.3">
      <c r="A130">
        <v>128</v>
      </c>
      <c r="B130">
        <v>2610</v>
      </c>
      <c r="C130" t="b">
        <v>1</v>
      </c>
      <c r="D130">
        <v>8140</v>
      </c>
      <c r="E130">
        <v>8129</v>
      </c>
      <c r="F130">
        <v>306.46667000000002</v>
      </c>
      <c r="G130">
        <v>221.93333000000001</v>
      </c>
      <c r="H130">
        <v>1.3808951</v>
      </c>
      <c r="I130">
        <v>-0.38089519999999999</v>
      </c>
      <c r="J130">
        <v>0.4200101</v>
      </c>
    </row>
    <row r="131" spans="1:10" x14ac:dyDescent="0.3">
      <c r="A131">
        <v>129</v>
      </c>
      <c r="B131">
        <v>2641</v>
      </c>
      <c r="C131" t="b">
        <v>1</v>
      </c>
      <c r="D131">
        <v>8169</v>
      </c>
      <c r="E131">
        <v>8146</v>
      </c>
      <c r="F131">
        <v>305.66665999999998</v>
      </c>
      <c r="G131">
        <v>221.2</v>
      </c>
      <c r="H131">
        <v>1.3818566000000001</v>
      </c>
      <c r="I131">
        <v>-0.38185649999999999</v>
      </c>
      <c r="J131">
        <v>0.41984057000000002</v>
      </c>
    </row>
    <row r="132" spans="1:10" x14ac:dyDescent="0.3">
      <c r="A132">
        <v>130</v>
      </c>
      <c r="B132">
        <v>2672</v>
      </c>
      <c r="C132" t="b">
        <v>1</v>
      </c>
      <c r="D132">
        <v>8129</v>
      </c>
      <c r="E132">
        <v>8134</v>
      </c>
      <c r="F132">
        <v>304.86667</v>
      </c>
      <c r="G132">
        <v>220.8</v>
      </c>
      <c r="H132">
        <v>1.3807366999999999</v>
      </c>
      <c r="I132">
        <v>-0.38073669999999998</v>
      </c>
      <c r="J132">
        <v>0.42003804</v>
      </c>
    </row>
    <row r="133" spans="1:10" x14ac:dyDescent="0.3">
      <c r="A133">
        <v>131</v>
      </c>
      <c r="B133">
        <v>2688</v>
      </c>
      <c r="C133" t="b">
        <v>1</v>
      </c>
      <c r="D133">
        <v>8129</v>
      </c>
      <c r="E133">
        <v>8170</v>
      </c>
      <c r="F133">
        <v>304.06668000000002</v>
      </c>
      <c r="G133">
        <v>221.2</v>
      </c>
      <c r="H133">
        <v>1.3746233000000001</v>
      </c>
      <c r="I133">
        <v>-0.37462336000000002</v>
      </c>
      <c r="J133">
        <v>0.42111942000000002</v>
      </c>
    </row>
    <row r="134" spans="1:10" x14ac:dyDescent="0.3">
      <c r="A134">
        <v>132</v>
      </c>
      <c r="B134">
        <v>2704</v>
      </c>
      <c r="C134" t="b">
        <v>1</v>
      </c>
      <c r="D134">
        <v>8146</v>
      </c>
      <c r="E134">
        <v>8129</v>
      </c>
      <c r="F134">
        <v>302.86667</v>
      </c>
      <c r="G134">
        <v>220.4</v>
      </c>
      <c r="H134">
        <v>1.3741683</v>
      </c>
      <c r="I134">
        <v>-0.37416822</v>
      </c>
      <c r="J134">
        <v>0.42120015999999999</v>
      </c>
    </row>
    <row r="135" spans="1:10" x14ac:dyDescent="0.3">
      <c r="A135">
        <v>133</v>
      </c>
      <c r="B135">
        <v>2720</v>
      </c>
      <c r="C135" t="b">
        <v>1</v>
      </c>
      <c r="D135">
        <v>8158</v>
      </c>
      <c r="E135">
        <v>8129</v>
      </c>
      <c r="F135">
        <v>301.33334000000002</v>
      </c>
      <c r="G135">
        <v>220</v>
      </c>
      <c r="H135">
        <v>1.3696969999999999</v>
      </c>
      <c r="I135">
        <v>-0.369697</v>
      </c>
      <c r="J135">
        <v>0.42199486000000003</v>
      </c>
    </row>
    <row r="136" spans="1:10" x14ac:dyDescent="0.3">
      <c r="A136">
        <v>134</v>
      </c>
      <c r="B136">
        <v>2736</v>
      </c>
      <c r="C136" t="b">
        <v>1</v>
      </c>
      <c r="D136">
        <v>8175</v>
      </c>
      <c r="E136">
        <v>8134</v>
      </c>
      <c r="F136">
        <v>299.8</v>
      </c>
      <c r="G136">
        <v>219.6</v>
      </c>
      <c r="H136">
        <v>1.3652093000000001</v>
      </c>
      <c r="I136">
        <v>-0.36520936999999998</v>
      </c>
      <c r="J136">
        <v>0.42279552999999997</v>
      </c>
    </row>
    <row r="137" spans="1:10" x14ac:dyDescent="0.3">
      <c r="A137">
        <v>135</v>
      </c>
      <c r="B137">
        <v>2752</v>
      </c>
      <c r="C137" t="b">
        <v>1</v>
      </c>
      <c r="D137">
        <v>8135</v>
      </c>
      <c r="E137">
        <v>8134</v>
      </c>
      <c r="F137">
        <v>298.26666</v>
      </c>
      <c r="G137">
        <v>219.6</v>
      </c>
      <c r="H137">
        <v>1.3582270000000001</v>
      </c>
      <c r="I137">
        <v>-0.35822700000000002</v>
      </c>
      <c r="J137">
        <v>0.42404734999999999</v>
      </c>
    </row>
    <row r="138" spans="1:10" x14ac:dyDescent="0.3">
      <c r="A138">
        <v>136</v>
      </c>
      <c r="B138">
        <v>2768</v>
      </c>
      <c r="C138" t="b">
        <v>1</v>
      </c>
      <c r="D138">
        <v>8158</v>
      </c>
      <c r="E138">
        <v>8129</v>
      </c>
      <c r="F138">
        <v>299.46667000000002</v>
      </c>
      <c r="G138">
        <v>218.86667</v>
      </c>
      <c r="H138">
        <v>1.3682607</v>
      </c>
      <c r="I138">
        <v>-0.36826077000000002</v>
      </c>
      <c r="J138">
        <v>0.42225077999999999</v>
      </c>
    </row>
    <row r="139" spans="1:10" x14ac:dyDescent="0.3">
      <c r="A139">
        <v>137</v>
      </c>
      <c r="B139">
        <v>2784</v>
      </c>
      <c r="C139" t="b">
        <v>1</v>
      </c>
      <c r="D139">
        <v>8181</v>
      </c>
      <c r="E139">
        <v>8146</v>
      </c>
      <c r="F139">
        <v>300.66665999999998</v>
      </c>
      <c r="G139">
        <v>218.86667</v>
      </c>
      <c r="H139">
        <v>1.3737433999999999</v>
      </c>
      <c r="I139">
        <v>-0.37374347000000002</v>
      </c>
      <c r="J139">
        <v>0.42127553000000001</v>
      </c>
    </row>
    <row r="140" spans="1:10" x14ac:dyDescent="0.3">
      <c r="A140">
        <v>138</v>
      </c>
      <c r="B140">
        <v>2800</v>
      </c>
      <c r="C140" t="b">
        <v>1</v>
      </c>
      <c r="D140">
        <v>8152</v>
      </c>
      <c r="E140">
        <v>8123</v>
      </c>
      <c r="F140">
        <v>301.86667</v>
      </c>
      <c r="G140">
        <v>218.46665999999999</v>
      </c>
      <c r="H140">
        <v>1.3817516999999999</v>
      </c>
      <c r="I140">
        <v>-0.38175165999999999</v>
      </c>
      <c r="J140">
        <v>0.41985908</v>
      </c>
    </row>
    <row r="141" spans="1:10" x14ac:dyDescent="0.3">
      <c r="A141">
        <v>139</v>
      </c>
      <c r="B141">
        <v>2816</v>
      </c>
      <c r="C141" t="b">
        <v>1</v>
      </c>
      <c r="D141">
        <v>8152</v>
      </c>
      <c r="E141">
        <v>8152</v>
      </c>
      <c r="F141">
        <v>303.8</v>
      </c>
      <c r="G141">
        <v>218.46665999999999</v>
      </c>
      <c r="H141">
        <v>1.3906012000000001</v>
      </c>
      <c r="I141">
        <v>-0.39060116</v>
      </c>
      <c r="J141">
        <v>0.41830479999999998</v>
      </c>
    </row>
    <row r="142" spans="1:10" x14ac:dyDescent="0.3">
      <c r="A142">
        <v>140</v>
      </c>
      <c r="B142">
        <v>2847</v>
      </c>
      <c r="C142" t="b">
        <v>1</v>
      </c>
      <c r="D142">
        <v>8117</v>
      </c>
      <c r="E142">
        <v>8129</v>
      </c>
      <c r="F142">
        <v>305.73334</v>
      </c>
      <c r="G142">
        <v>218.13333</v>
      </c>
      <c r="H142">
        <v>1.4015892999999999</v>
      </c>
      <c r="I142">
        <v>-0.40158927</v>
      </c>
      <c r="J142">
        <v>0.41639090000000001</v>
      </c>
    </row>
    <row r="143" spans="1:10" x14ac:dyDescent="0.3">
      <c r="A143">
        <v>141</v>
      </c>
      <c r="B143">
        <v>2879</v>
      </c>
      <c r="C143" t="b">
        <v>1</v>
      </c>
      <c r="D143">
        <v>8106</v>
      </c>
      <c r="E143">
        <v>8134</v>
      </c>
      <c r="F143">
        <v>306.86667</v>
      </c>
      <c r="G143">
        <v>218.46665999999999</v>
      </c>
      <c r="H143">
        <v>1.4046384000000001</v>
      </c>
      <c r="I143">
        <v>-0.40463843999999999</v>
      </c>
      <c r="J143">
        <v>0.41586295000000001</v>
      </c>
    </row>
    <row r="144" spans="1:10" x14ac:dyDescent="0.3">
      <c r="A144">
        <v>142</v>
      </c>
      <c r="B144">
        <v>2911</v>
      </c>
      <c r="C144" t="b">
        <v>1</v>
      </c>
      <c r="D144">
        <v>8123</v>
      </c>
      <c r="E144">
        <v>8105</v>
      </c>
      <c r="F144">
        <v>306.06668000000002</v>
      </c>
      <c r="G144">
        <v>218.13333</v>
      </c>
      <c r="H144">
        <v>1.4031174</v>
      </c>
      <c r="I144">
        <v>-0.40311744999999999</v>
      </c>
      <c r="J144">
        <v>0.41612616000000002</v>
      </c>
    </row>
    <row r="145" spans="1:10" x14ac:dyDescent="0.3">
      <c r="A145">
        <v>143</v>
      </c>
      <c r="B145">
        <v>2926</v>
      </c>
      <c r="C145" t="b">
        <v>1</v>
      </c>
      <c r="D145">
        <v>8123</v>
      </c>
      <c r="E145">
        <v>8129</v>
      </c>
      <c r="F145">
        <v>304.93331999999998</v>
      </c>
      <c r="G145">
        <v>218.13333</v>
      </c>
      <c r="H145">
        <v>1.3979216999999999</v>
      </c>
      <c r="I145">
        <v>-0.39792169999999999</v>
      </c>
      <c r="J145">
        <v>0.4170278</v>
      </c>
    </row>
    <row r="146" spans="1:10" x14ac:dyDescent="0.3">
      <c r="A146">
        <v>144</v>
      </c>
      <c r="B146">
        <v>2943</v>
      </c>
      <c r="C146" t="b">
        <v>1</v>
      </c>
      <c r="D146">
        <v>8169</v>
      </c>
      <c r="E146">
        <v>8129</v>
      </c>
      <c r="F146">
        <v>303.8</v>
      </c>
      <c r="G146">
        <v>218.13333</v>
      </c>
      <c r="H146">
        <v>1.3927261</v>
      </c>
      <c r="I146">
        <v>-0.39272612000000001</v>
      </c>
      <c r="J146">
        <v>0.41793332</v>
      </c>
    </row>
    <row r="147" spans="1:10" x14ac:dyDescent="0.3">
      <c r="A147">
        <v>145</v>
      </c>
      <c r="B147">
        <v>2959</v>
      </c>
      <c r="C147" t="b">
        <v>1</v>
      </c>
      <c r="D147">
        <v>8169</v>
      </c>
      <c r="E147">
        <v>8134</v>
      </c>
      <c r="F147">
        <v>302.66665999999998</v>
      </c>
      <c r="G147">
        <v>217.8</v>
      </c>
      <c r="H147">
        <v>1.3896539999999999</v>
      </c>
      <c r="I147">
        <v>-0.38965403999999998</v>
      </c>
      <c r="J147">
        <v>0.41847060000000003</v>
      </c>
    </row>
    <row r="148" spans="1:10" x14ac:dyDescent="0.3">
      <c r="A148">
        <v>146</v>
      </c>
      <c r="B148">
        <v>2974</v>
      </c>
      <c r="C148" t="b">
        <v>1</v>
      </c>
      <c r="D148">
        <v>8146</v>
      </c>
      <c r="E148">
        <v>8158</v>
      </c>
      <c r="F148">
        <v>303.06668000000002</v>
      </c>
      <c r="G148">
        <v>216.66667000000001</v>
      </c>
      <c r="H148">
        <v>1.3987693000000001</v>
      </c>
      <c r="I148">
        <v>-0.39876926000000001</v>
      </c>
      <c r="J148">
        <v>0.41688046000000001</v>
      </c>
    </row>
    <row r="149" spans="1:10" x14ac:dyDescent="0.3">
      <c r="A149">
        <v>147</v>
      </c>
      <c r="B149">
        <v>2990</v>
      </c>
      <c r="C149" t="b">
        <v>1</v>
      </c>
      <c r="D149">
        <v>8135</v>
      </c>
      <c r="E149">
        <v>8134</v>
      </c>
      <c r="F149">
        <v>303.46667000000002</v>
      </c>
      <c r="G149">
        <v>216.66667000000001</v>
      </c>
      <c r="H149">
        <v>1.4006152999999999</v>
      </c>
      <c r="I149">
        <v>-0.40061540000000001</v>
      </c>
      <c r="J149">
        <v>0.41655985000000001</v>
      </c>
    </row>
    <row r="150" spans="1:10" x14ac:dyDescent="0.3">
      <c r="A150">
        <v>148</v>
      </c>
      <c r="B150">
        <v>3006</v>
      </c>
      <c r="C150" t="b">
        <v>1</v>
      </c>
      <c r="D150">
        <v>8129</v>
      </c>
      <c r="E150">
        <v>8164</v>
      </c>
      <c r="F150">
        <v>303.46667000000002</v>
      </c>
      <c r="G150">
        <v>216.66667000000001</v>
      </c>
      <c r="H150">
        <v>1.4006152999999999</v>
      </c>
      <c r="I150">
        <v>-0.40061540000000001</v>
      </c>
      <c r="J150">
        <v>0.41655985000000001</v>
      </c>
    </row>
    <row r="151" spans="1:10" x14ac:dyDescent="0.3">
      <c r="A151">
        <v>149</v>
      </c>
      <c r="B151">
        <v>3022</v>
      </c>
      <c r="C151" t="b">
        <v>1</v>
      </c>
      <c r="D151">
        <v>8117</v>
      </c>
      <c r="E151">
        <v>8146</v>
      </c>
      <c r="F151">
        <v>302.73334</v>
      </c>
      <c r="G151">
        <v>217.46665999999999</v>
      </c>
      <c r="H151">
        <v>1.3920908000000001</v>
      </c>
      <c r="I151">
        <v>-0.39209080000000002</v>
      </c>
      <c r="J151">
        <v>0.41804433000000002</v>
      </c>
    </row>
    <row r="152" spans="1:10" x14ac:dyDescent="0.3">
      <c r="A152">
        <v>150</v>
      </c>
      <c r="B152">
        <v>3038</v>
      </c>
      <c r="C152" t="b">
        <v>1</v>
      </c>
      <c r="D152">
        <v>8129</v>
      </c>
      <c r="E152">
        <v>8140</v>
      </c>
      <c r="F152">
        <v>301.60000000000002</v>
      </c>
      <c r="G152">
        <v>218.26666</v>
      </c>
      <c r="H152">
        <v>1.381796</v>
      </c>
      <c r="I152">
        <v>-0.38179603000000001</v>
      </c>
      <c r="J152">
        <v>0.41985119999999998</v>
      </c>
    </row>
    <row r="153" spans="1:10" x14ac:dyDescent="0.3">
      <c r="A153">
        <v>151</v>
      </c>
      <c r="B153">
        <v>3054</v>
      </c>
      <c r="C153" t="b">
        <v>1</v>
      </c>
      <c r="D153">
        <v>8135</v>
      </c>
      <c r="E153">
        <v>8146</v>
      </c>
      <c r="F153">
        <v>299.66665999999998</v>
      </c>
      <c r="G153">
        <v>219.4</v>
      </c>
      <c r="H153">
        <v>1.3658463000000001</v>
      </c>
      <c r="I153">
        <v>-0.36584624999999998</v>
      </c>
      <c r="J153">
        <v>0.42268175000000002</v>
      </c>
    </row>
    <row r="154" spans="1:10" x14ac:dyDescent="0.3">
      <c r="A154">
        <v>152</v>
      </c>
      <c r="B154">
        <v>3070</v>
      </c>
      <c r="C154" t="b">
        <v>1</v>
      </c>
      <c r="D154">
        <v>8129</v>
      </c>
      <c r="E154">
        <v>8134</v>
      </c>
      <c r="F154">
        <v>297.73334</v>
      </c>
      <c r="G154">
        <v>220.2</v>
      </c>
      <c r="H154">
        <v>1.3521042000000001</v>
      </c>
      <c r="I154">
        <v>-0.35210419999999998</v>
      </c>
      <c r="J154">
        <v>0.42515122999999999</v>
      </c>
    </row>
    <row r="155" spans="1:10" x14ac:dyDescent="0.3">
      <c r="A155">
        <v>153</v>
      </c>
      <c r="B155">
        <v>3086</v>
      </c>
      <c r="C155" t="b">
        <v>1</v>
      </c>
      <c r="D155">
        <v>8088</v>
      </c>
      <c r="E155">
        <v>8117</v>
      </c>
      <c r="F155">
        <v>295.8</v>
      </c>
      <c r="G155">
        <v>220.6</v>
      </c>
      <c r="H155">
        <v>1.3408884000000001</v>
      </c>
      <c r="I155">
        <v>-0.34088837999999999</v>
      </c>
      <c r="J155">
        <v>0.42718822000000001</v>
      </c>
    </row>
    <row r="156" spans="1:10" x14ac:dyDescent="0.3">
      <c r="A156">
        <v>154</v>
      </c>
      <c r="B156">
        <v>3101</v>
      </c>
      <c r="C156" t="b">
        <v>1</v>
      </c>
      <c r="D156">
        <v>8106</v>
      </c>
      <c r="E156">
        <v>8117</v>
      </c>
      <c r="F156">
        <v>294.26666</v>
      </c>
      <c r="G156">
        <v>220.6</v>
      </c>
      <c r="H156">
        <v>1.3339376000000001</v>
      </c>
      <c r="I156">
        <v>-0.3339377</v>
      </c>
      <c r="J156">
        <v>0.42846042000000001</v>
      </c>
    </row>
    <row r="157" spans="1:10" x14ac:dyDescent="0.3">
      <c r="A157">
        <v>155</v>
      </c>
      <c r="B157">
        <v>3117</v>
      </c>
      <c r="C157" t="b">
        <v>1</v>
      </c>
      <c r="D157">
        <v>8077</v>
      </c>
      <c r="E157">
        <v>8129</v>
      </c>
      <c r="F157">
        <v>291.2</v>
      </c>
      <c r="G157">
        <v>220.6</v>
      </c>
      <c r="H157">
        <v>1.3200362999999999</v>
      </c>
      <c r="I157">
        <v>-0.3200363</v>
      </c>
      <c r="J157">
        <v>0.43102773999999999</v>
      </c>
    </row>
    <row r="158" spans="1:10" x14ac:dyDescent="0.3">
      <c r="A158">
        <v>156</v>
      </c>
      <c r="B158">
        <v>3133</v>
      </c>
      <c r="C158" t="b">
        <v>1</v>
      </c>
      <c r="D158">
        <v>8100</v>
      </c>
      <c r="E158">
        <v>8146</v>
      </c>
      <c r="F158">
        <v>287.73334</v>
      </c>
      <c r="G158">
        <v>220.26666</v>
      </c>
      <c r="H158">
        <v>1.3062954</v>
      </c>
      <c r="I158">
        <v>-0.30629545000000002</v>
      </c>
      <c r="J158">
        <v>0.43359579999999998</v>
      </c>
    </row>
    <row r="159" spans="1:10" x14ac:dyDescent="0.3">
      <c r="A159">
        <v>157</v>
      </c>
      <c r="B159">
        <v>3165</v>
      </c>
      <c r="C159" t="b">
        <v>1</v>
      </c>
      <c r="D159">
        <v>8117</v>
      </c>
      <c r="E159">
        <v>8129</v>
      </c>
      <c r="F159">
        <v>286.2</v>
      </c>
      <c r="G159">
        <v>220.26666</v>
      </c>
      <c r="H159">
        <v>1.2993342000000001</v>
      </c>
      <c r="I159">
        <v>-0.29933422999999998</v>
      </c>
      <c r="J159">
        <v>0.43490849999999998</v>
      </c>
    </row>
    <row r="160" spans="1:10" x14ac:dyDescent="0.3">
      <c r="A160">
        <v>158</v>
      </c>
      <c r="B160">
        <v>3196</v>
      </c>
      <c r="C160" t="b">
        <v>1</v>
      </c>
      <c r="D160">
        <v>8135</v>
      </c>
      <c r="E160">
        <v>8117</v>
      </c>
      <c r="F160">
        <v>285.06668000000002</v>
      </c>
      <c r="G160">
        <v>220.26666</v>
      </c>
      <c r="H160">
        <v>1.294189</v>
      </c>
      <c r="I160">
        <v>-0.29418895</v>
      </c>
      <c r="J160">
        <v>0.43588388</v>
      </c>
    </row>
    <row r="161" spans="1:10" x14ac:dyDescent="0.3">
      <c r="A161">
        <v>159</v>
      </c>
      <c r="B161">
        <v>3212</v>
      </c>
      <c r="C161" t="b">
        <v>1</v>
      </c>
      <c r="D161">
        <v>8181</v>
      </c>
      <c r="E161">
        <v>8158</v>
      </c>
      <c r="F161">
        <v>284.66665999999998</v>
      </c>
      <c r="G161">
        <v>220.26666</v>
      </c>
      <c r="H161">
        <v>1.2923728000000001</v>
      </c>
      <c r="I161">
        <v>-0.29237285000000002</v>
      </c>
      <c r="J161">
        <v>0.43622919999999998</v>
      </c>
    </row>
    <row r="162" spans="1:10" x14ac:dyDescent="0.3">
      <c r="A162">
        <v>160</v>
      </c>
      <c r="B162">
        <v>3228</v>
      </c>
      <c r="C162" t="b">
        <v>1</v>
      </c>
      <c r="D162">
        <v>8117</v>
      </c>
      <c r="E162">
        <v>8123</v>
      </c>
      <c r="F162">
        <v>284.26666</v>
      </c>
      <c r="G162">
        <v>220.26666</v>
      </c>
      <c r="H162">
        <v>1.2905568999999999</v>
      </c>
      <c r="I162">
        <v>-0.29055690000000001</v>
      </c>
      <c r="J162">
        <v>0.43657506000000001</v>
      </c>
    </row>
    <row r="163" spans="1:10" x14ac:dyDescent="0.3">
      <c r="A163">
        <v>161</v>
      </c>
      <c r="B163">
        <v>3244</v>
      </c>
      <c r="C163" t="b">
        <v>1</v>
      </c>
      <c r="D163">
        <v>8146</v>
      </c>
      <c r="E163">
        <v>8105</v>
      </c>
      <c r="F163">
        <v>283.53332999999998</v>
      </c>
      <c r="G163">
        <v>219.86667</v>
      </c>
      <c r="H163">
        <v>1.2895694</v>
      </c>
      <c r="I163">
        <v>-0.28956937999999999</v>
      </c>
      <c r="J163">
        <v>0.43676334999999999</v>
      </c>
    </row>
    <row r="164" spans="1:10" x14ac:dyDescent="0.3">
      <c r="A164">
        <v>162</v>
      </c>
      <c r="B164">
        <v>3260</v>
      </c>
      <c r="C164" t="b">
        <v>1</v>
      </c>
      <c r="D164">
        <v>8111</v>
      </c>
      <c r="E164">
        <v>8129</v>
      </c>
      <c r="F164">
        <v>282.8</v>
      </c>
      <c r="G164">
        <v>219.13333</v>
      </c>
      <c r="H164">
        <v>1.2905384</v>
      </c>
      <c r="I164">
        <v>-0.29053843000000001</v>
      </c>
      <c r="J164">
        <v>0.43657857</v>
      </c>
    </row>
    <row r="165" spans="1:10" x14ac:dyDescent="0.3">
      <c r="A165">
        <v>163</v>
      </c>
      <c r="B165">
        <v>3276</v>
      </c>
      <c r="C165" t="b">
        <v>1</v>
      </c>
      <c r="D165">
        <v>8158</v>
      </c>
      <c r="E165">
        <v>8152</v>
      </c>
      <c r="F165">
        <v>282.8</v>
      </c>
      <c r="G165">
        <v>218.8</v>
      </c>
      <c r="H165">
        <v>1.2925044999999999</v>
      </c>
      <c r="I165">
        <v>-0.2925045</v>
      </c>
      <c r="J165">
        <v>0.43620417</v>
      </c>
    </row>
    <row r="166" spans="1:10" x14ac:dyDescent="0.3">
      <c r="A166">
        <v>164</v>
      </c>
      <c r="B166">
        <v>3292</v>
      </c>
      <c r="C166" t="b">
        <v>1</v>
      </c>
      <c r="D166">
        <v>8146</v>
      </c>
      <c r="E166">
        <v>8123</v>
      </c>
      <c r="F166">
        <v>283.53332999999998</v>
      </c>
      <c r="G166">
        <v>217.26666</v>
      </c>
      <c r="H166">
        <v>1.3050014999999999</v>
      </c>
      <c r="I166">
        <v>-0.30500153000000002</v>
      </c>
      <c r="J166">
        <v>0.43383919999999998</v>
      </c>
    </row>
    <row r="167" spans="1:10" x14ac:dyDescent="0.3">
      <c r="A167">
        <v>165</v>
      </c>
      <c r="B167">
        <v>3308</v>
      </c>
      <c r="C167" t="b">
        <v>1</v>
      </c>
      <c r="D167">
        <v>8163</v>
      </c>
      <c r="E167">
        <v>8134</v>
      </c>
      <c r="F167">
        <v>284.66665999999998</v>
      </c>
      <c r="G167">
        <v>216.13333</v>
      </c>
      <c r="H167">
        <v>1.3170881000000001</v>
      </c>
      <c r="I167">
        <v>-0.31708819999999999</v>
      </c>
      <c r="J167">
        <v>0.43157615999999999</v>
      </c>
    </row>
    <row r="168" spans="1:10" x14ac:dyDescent="0.3">
      <c r="A168">
        <v>166</v>
      </c>
      <c r="B168">
        <v>3340</v>
      </c>
      <c r="C168" t="b">
        <v>1</v>
      </c>
      <c r="D168">
        <v>8163</v>
      </c>
      <c r="E168">
        <v>8129</v>
      </c>
      <c r="F168">
        <v>286.60000000000002</v>
      </c>
      <c r="G168">
        <v>215</v>
      </c>
      <c r="H168">
        <v>1.3330233</v>
      </c>
      <c r="I168">
        <v>-0.33302327999999998</v>
      </c>
      <c r="J168">
        <v>0.42862839000000003</v>
      </c>
    </row>
    <row r="169" spans="1:10" x14ac:dyDescent="0.3">
      <c r="A169">
        <v>167</v>
      </c>
      <c r="B169">
        <v>3370</v>
      </c>
      <c r="C169" t="b">
        <v>1</v>
      </c>
      <c r="D169">
        <v>8135</v>
      </c>
      <c r="E169">
        <v>8152</v>
      </c>
      <c r="F169">
        <v>288.53332999999998</v>
      </c>
      <c r="G169">
        <v>214.2</v>
      </c>
      <c r="H169">
        <v>1.3470276999999999</v>
      </c>
      <c r="I169">
        <v>-0.34702769999999999</v>
      </c>
      <c r="J169">
        <v>0.42607080000000003</v>
      </c>
    </row>
    <row r="170" spans="1:10" x14ac:dyDescent="0.3">
      <c r="A170">
        <v>168</v>
      </c>
      <c r="B170">
        <v>3386</v>
      </c>
      <c r="C170" t="b">
        <v>1</v>
      </c>
      <c r="D170">
        <v>8152</v>
      </c>
      <c r="E170">
        <v>8105</v>
      </c>
      <c r="F170">
        <v>290.06668000000002</v>
      </c>
      <c r="G170">
        <v>213.46665999999999</v>
      </c>
      <c r="H170">
        <v>1.3588382999999999</v>
      </c>
      <c r="I170">
        <v>-0.35883834999999997</v>
      </c>
      <c r="J170">
        <v>0.42393750000000002</v>
      </c>
    </row>
    <row r="171" spans="1:10" x14ac:dyDescent="0.3">
      <c r="A171">
        <v>169</v>
      </c>
      <c r="B171">
        <v>3402</v>
      </c>
      <c r="C171" t="b">
        <v>1</v>
      </c>
      <c r="D171">
        <v>8123</v>
      </c>
      <c r="E171">
        <v>8111</v>
      </c>
      <c r="F171">
        <v>291.60000000000002</v>
      </c>
      <c r="G171">
        <v>213.13333</v>
      </c>
      <c r="H171">
        <v>1.3681577</v>
      </c>
      <c r="I171">
        <v>-0.36815767999999999</v>
      </c>
      <c r="J171">
        <v>0.42226917000000003</v>
      </c>
    </row>
    <row r="172" spans="1:10" x14ac:dyDescent="0.3">
      <c r="A172">
        <v>170</v>
      </c>
      <c r="B172">
        <v>3418</v>
      </c>
      <c r="C172" t="b">
        <v>1</v>
      </c>
      <c r="D172">
        <v>8100</v>
      </c>
      <c r="E172">
        <v>8129</v>
      </c>
      <c r="F172">
        <v>293.53332999999998</v>
      </c>
      <c r="G172">
        <v>213.13333</v>
      </c>
      <c r="H172">
        <v>1.3772286</v>
      </c>
      <c r="I172">
        <v>-0.37722862000000001</v>
      </c>
      <c r="J172">
        <v>0.42065789999999997</v>
      </c>
    </row>
    <row r="173" spans="1:10" x14ac:dyDescent="0.3">
      <c r="A173">
        <v>171</v>
      </c>
      <c r="B173">
        <v>3434</v>
      </c>
      <c r="C173" t="b">
        <v>1</v>
      </c>
      <c r="D173">
        <v>8111</v>
      </c>
      <c r="E173">
        <v>8146</v>
      </c>
      <c r="F173">
        <v>295.06668000000002</v>
      </c>
      <c r="G173">
        <v>213.13333</v>
      </c>
      <c r="H173">
        <v>1.384423</v>
      </c>
      <c r="I173">
        <v>-0.38442300000000001</v>
      </c>
      <c r="J173">
        <v>0.41938868000000001</v>
      </c>
    </row>
    <row r="174" spans="1:10" x14ac:dyDescent="0.3">
      <c r="A174">
        <v>172</v>
      </c>
      <c r="B174">
        <v>3466</v>
      </c>
      <c r="C174" t="b">
        <v>1</v>
      </c>
      <c r="D174">
        <v>8106</v>
      </c>
      <c r="E174">
        <v>8123</v>
      </c>
      <c r="F174">
        <v>295.8</v>
      </c>
      <c r="G174">
        <v>212.73334</v>
      </c>
      <c r="H174">
        <v>1.3904730999999999</v>
      </c>
      <c r="I174">
        <v>-0.39047313</v>
      </c>
      <c r="J174">
        <v>0.41832723999999999</v>
      </c>
    </row>
    <row r="175" spans="1:10" x14ac:dyDescent="0.3">
      <c r="A175">
        <v>173</v>
      </c>
      <c r="B175">
        <v>3481</v>
      </c>
      <c r="C175" t="b">
        <v>1</v>
      </c>
      <c r="D175">
        <v>8140</v>
      </c>
      <c r="E175">
        <v>8158</v>
      </c>
      <c r="F175">
        <v>296.13333</v>
      </c>
      <c r="G175">
        <v>212.73334</v>
      </c>
      <c r="H175">
        <v>1.3920401</v>
      </c>
      <c r="I175">
        <v>-0.39204007000000002</v>
      </c>
      <c r="J175">
        <v>0.41805320000000001</v>
      </c>
    </row>
    <row r="176" spans="1:10" x14ac:dyDescent="0.3">
      <c r="A176">
        <v>174</v>
      </c>
      <c r="B176">
        <v>3512</v>
      </c>
      <c r="C176" t="b">
        <v>1</v>
      </c>
      <c r="D176">
        <v>8146</v>
      </c>
      <c r="E176">
        <v>8140</v>
      </c>
      <c r="F176">
        <v>295.73334</v>
      </c>
      <c r="G176">
        <v>213.46665999999999</v>
      </c>
      <c r="H176">
        <v>1.3853842000000001</v>
      </c>
      <c r="I176">
        <v>-0.38538420000000001</v>
      </c>
      <c r="J176">
        <v>0.41921966999999999</v>
      </c>
    </row>
    <row r="177" spans="1:10" x14ac:dyDescent="0.3">
      <c r="A177">
        <v>175</v>
      </c>
      <c r="B177">
        <v>3528</v>
      </c>
      <c r="C177" t="b">
        <v>1</v>
      </c>
      <c r="D177">
        <v>8169</v>
      </c>
      <c r="E177">
        <v>8134</v>
      </c>
      <c r="F177">
        <v>297.26666</v>
      </c>
      <c r="G177">
        <v>214.2</v>
      </c>
      <c r="H177">
        <v>1.3877995999999999</v>
      </c>
      <c r="I177">
        <v>-0.38779955999999999</v>
      </c>
      <c r="J177">
        <v>0.41879561999999998</v>
      </c>
    </row>
    <row r="178" spans="1:10" x14ac:dyDescent="0.3">
      <c r="A178">
        <v>176</v>
      </c>
      <c r="B178">
        <v>3544</v>
      </c>
      <c r="C178" t="b">
        <v>1</v>
      </c>
      <c r="D178">
        <v>8135</v>
      </c>
      <c r="E178">
        <v>8134</v>
      </c>
      <c r="F178">
        <v>297.60000000000002</v>
      </c>
      <c r="G178">
        <v>214.93333000000001</v>
      </c>
      <c r="H178">
        <v>1.3846153999999999</v>
      </c>
      <c r="I178">
        <v>-0.38461541999999999</v>
      </c>
      <c r="J178">
        <v>0.41935486</v>
      </c>
    </row>
    <row r="179" spans="1:10" x14ac:dyDescent="0.3">
      <c r="A179">
        <v>177</v>
      </c>
      <c r="B179">
        <v>3559</v>
      </c>
      <c r="C179" t="b">
        <v>1</v>
      </c>
      <c r="D179">
        <v>8106</v>
      </c>
      <c r="E179">
        <v>8123</v>
      </c>
      <c r="F179">
        <v>297.93331999999998</v>
      </c>
      <c r="G179">
        <v>215.66667000000001</v>
      </c>
      <c r="H179">
        <v>1.3814527999999999</v>
      </c>
      <c r="I179">
        <v>-0.38145277</v>
      </c>
      <c r="J179">
        <v>0.41991177000000002</v>
      </c>
    </row>
    <row r="180" spans="1:10" x14ac:dyDescent="0.3">
      <c r="A180">
        <v>178</v>
      </c>
      <c r="B180">
        <v>3575</v>
      </c>
      <c r="C180" t="b">
        <v>1</v>
      </c>
      <c r="D180">
        <v>8123</v>
      </c>
      <c r="E180">
        <v>8134</v>
      </c>
      <c r="F180">
        <v>297.2</v>
      </c>
      <c r="G180">
        <v>216</v>
      </c>
      <c r="H180">
        <v>1.375926</v>
      </c>
      <c r="I180">
        <v>-0.37592599999999998</v>
      </c>
      <c r="J180">
        <v>0.42088853999999998</v>
      </c>
    </row>
    <row r="181" spans="1:10" x14ac:dyDescent="0.3">
      <c r="A181">
        <v>179</v>
      </c>
      <c r="B181">
        <v>3591</v>
      </c>
      <c r="C181" t="b">
        <v>1</v>
      </c>
      <c r="D181">
        <v>8135</v>
      </c>
      <c r="E181">
        <v>8111</v>
      </c>
      <c r="F181">
        <v>296.46667000000002</v>
      </c>
      <c r="G181">
        <v>216.73334</v>
      </c>
      <c r="H181">
        <v>1.3678868</v>
      </c>
      <c r="I181">
        <v>-0.36788680000000001</v>
      </c>
      <c r="J181">
        <v>0.42231748000000002</v>
      </c>
    </row>
    <row r="182" spans="1:10" x14ac:dyDescent="0.3">
      <c r="A182">
        <v>180</v>
      </c>
      <c r="B182">
        <v>3613</v>
      </c>
      <c r="C182" t="b">
        <v>1</v>
      </c>
      <c r="D182">
        <v>8163</v>
      </c>
      <c r="E182">
        <v>8140</v>
      </c>
      <c r="F182">
        <v>295.73334</v>
      </c>
      <c r="G182">
        <v>217.06666999999999</v>
      </c>
      <c r="H182">
        <v>1.3624079</v>
      </c>
      <c r="I182">
        <v>-0.36240790000000001</v>
      </c>
      <c r="J182">
        <v>0.42329693000000002</v>
      </c>
    </row>
    <row r="183" spans="1:10" x14ac:dyDescent="0.3">
      <c r="A183">
        <v>181</v>
      </c>
      <c r="B183">
        <v>3629</v>
      </c>
      <c r="C183" t="b">
        <v>1</v>
      </c>
      <c r="D183">
        <v>8158</v>
      </c>
      <c r="E183">
        <v>8158</v>
      </c>
      <c r="F183">
        <v>294.2</v>
      </c>
      <c r="G183">
        <v>217.4</v>
      </c>
      <c r="H183">
        <v>1.3532660000000001</v>
      </c>
      <c r="I183">
        <v>-0.35326596999999998</v>
      </c>
      <c r="J183">
        <v>0.42494133000000001</v>
      </c>
    </row>
    <row r="184" spans="1:10" x14ac:dyDescent="0.3">
      <c r="A184">
        <v>182</v>
      </c>
      <c r="B184">
        <v>3645</v>
      </c>
      <c r="C184" t="b">
        <v>1</v>
      </c>
      <c r="D184">
        <v>8106</v>
      </c>
      <c r="E184">
        <v>8146</v>
      </c>
      <c r="F184">
        <v>292.66665999999998</v>
      </c>
      <c r="G184">
        <v>217.8</v>
      </c>
      <c r="H184">
        <v>1.3437403000000001</v>
      </c>
      <c r="I184">
        <v>-0.34374037000000002</v>
      </c>
      <c r="J184">
        <v>0.4266684</v>
      </c>
    </row>
    <row r="185" spans="1:10" x14ac:dyDescent="0.3">
      <c r="A185">
        <v>183</v>
      </c>
      <c r="B185">
        <v>3661</v>
      </c>
      <c r="C185" t="b">
        <v>1</v>
      </c>
      <c r="D185">
        <v>8152</v>
      </c>
      <c r="E185">
        <v>8129</v>
      </c>
      <c r="F185">
        <v>292.66665999999998</v>
      </c>
      <c r="G185">
        <v>218.53334000000001</v>
      </c>
      <c r="H185">
        <v>1.3392310999999999</v>
      </c>
      <c r="I185">
        <v>-0.33923115999999998</v>
      </c>
      <c r="J185">
        <v>0.42749085999999997</v>
      </c>
    </row>
    <row r="186" spans="1:10" x14ac:dyDescent="0.3">
      <c r="A186">
        <v>184</v>
      </c>
      <c r="B186">
        <v>3676</v>
      </c>
      <c r="C186" t="b">
        <v>1</v>
      </c>
      <c r="D186">
        <v>8140</v>
      </c>
      <c r="E186">
        <v>8140</v>
      </c>
      <c r="F186">
        <v>292.66665999999998</v>
      </c>
      <c r="G186">
        <v>219.26666</v>
      </c>
      <c r="H186">
        <v>1.3347522000000001</v>
      </c>
      <c r="I186">
        <v>-0.33475217000000002</v>
      </c>
      <c r="J186">
        <v>0.428311</v>
      </c>
    </row>
    <row r="187" spans="1:10" x14ac:dyDescent="0.3">
      <c r="A187">
        <v>185</v>
      </c>
      <c r="B187">
        <v>3692</v>
      </c>
      <c r="C187" t="b">
        <v>1</v>
      </c>
      <c r="D187">
        <v>8111</v>
      </c>
      <c r="E187">
        <v>8117</v>
      </c>
      <c r="F187">
        <v>293</v>
      </c>
      <c r="G187">
        <v>220</v>
      </c>
      <c r="H187">
        <v>1.3318182000000001</v>
      </c>
      <c r="I187">
        <v>-0.33181820000000001</v>
      </c>
      <c r="J187">
        <v>0.42884990000000001</v>
      </c>
    </row>
    <row r="188" spans="1:10" x14ac:dyDescent="0.3">
      <c r="A188">
        <v>186</v>
      </c>
      <c r="B188">
        <v>3708</v>
      </c>
      <c r="C188" t="b">
        <v>1</v>
      </c>
      <c r="D188">
        <v>8140</v>
      </c>
      <c r="E188">
        <v>8146</v>
      </c>
      <c r="F188">
        <v>294.13333</v>
      </c>
      <c r="G188">
        <v>220.73334</v>
      </c>
      <c r="H188">
        <v>1.3325279000000001</v>
      </c>
      <c r="I188">
        <v>-0.33252789999999999</v>
      </c>
      <c r="J188">
        <v>0.42871939999999997</v>
      </c>
    </row>
    <row r="189" spans="1:10" x14ac:dyDescent="0.3">
      <c r="A189">
        <v>187</v>
      </c>
      <c r="B189">
        <v>3724</v>
      </c>
      <c r="C189" t="b">
        <v>1</v>
      </c>
      <c r="D189">
        <v>8123</v>
      </c>
      <c r="E189">
        <v>8129</v>
      </c>
      <c r="F189">
        <v>296.06668000000002</v>
      </c>
      <c r="G189">
        <v>221.13333</v>
      </c>
      <c r="H189">
        <v>1.3388605</v>
      </c>
      <c r="I189">
        <v>-0.33886048000000002</v>
      </c>
      <c r="J189">
        <v>0.42755863</v>
      </c>
    </row>
    <row r="190" spans="1:10" x14ac:dyDescent="0.3">
      <c r="A190">
        <v>188</v>
      </c>
      <c r="B190">
        <v>3740</v>
      </c>
      <c r="C190" t="b">
        <v>1</v>
      </c>
      <c r="D190">
        <v>8152</v>
      </c>
      <c r="E190">
        <v>8146</v>
      </c>
      <c r="F190">
        <v>298</v>
      </c>
      <c r="G190">
        <v>221.86667</v>
      </c>
      <c r="H190">
        <v>1.3431491</v>
      </c>
      <c r="I190">
        <v>-0.34314904000000002</v>
      </c>
      <c r="J190">
        <v>0.42677608</v>
      </c>
    </row>
    <row r="191" spans="1:10" x14ac:dyDescent="0.3">
      <c r="A191">
        <v>189</v>
      </c>
      <c r="B191">
        <v>3756</v>
      </c>
      <c r="C191" t="b">
        <v>1</v>
      </c>
      <c r="D191">
        <v>8117</v>
      </c>
      <c r="E191">
        <v>8129</v>
      </c>
      <c r="F191">
        <v>298.8</v>
      </c>
      <c r="G191">
        <v>221.13333</v>
      </c>
      <c r="H191">
        <v>1.351221</v>
      </c>
      <c r="I191">
        <v>-0.35122093999999998</v>
      </c>
      <c r="J191">
        <v>0.42531089999999999</v>
      </c>
    </row>
    <row r="192" spans="1:10" x14ac:dyDescent="0.3">
      <c r="A192">
        <v>190</v>
      </c>
      <c r="B192">
        <v>3772</v>
      </c>
      <c r="C192" t="b">
        <v>1</v>
      </c>
      <c r="D192">
        <v>8106</v>
      </c>
      <c r="E192">
        <v>8134</v>
      </c>
      <c r="F192">
        <v>297.66665999999998</v>
      </c>
      <c r="G192">
        <v>220.73334</v>
      </c>
      <c r="H192">
        <v>1.3485351000000001</v>
      </c>
      <c r="I192">
        <v>-0.34853511999999998</v>
      </c>
      <c r="J192">
        <v>0.42579729999999999</v>
      </c>
    </row>
    <row r="193" spans="1:10" x14ac:dyDescent="0.3">
      <c r="A193">
        <v>191</v>
      </c>
      <c r="B193">
        <v>3788</v>
      </c>
      <c r="C193" t="b">
        <v>1</v>
      </c>
      <c r="D193">
        <v>8083</v>
      </c>
      <c r="E193">
        <v>8140</v>
      </c>
      <c r="F193">
        <v>296.13333</v>
      </c>
      <c r="G193">
        <v>220.73334</v>
      </c>
      <c r="H193">
        <v>1.3415885999999999</v>
      </c>
      <c r="I193">
        <v>-0.34158862000000001</v>
      </c>
      <c r="J193">
        <v>0.42706048000000002</v>
      </c>
    </row>
    <row r="194" spans="1:10" x14ac:dyDescent="0.3">
      <c r="A194">
        <v>192</v>
      </c>
      <c r="B194">
        <v>3804</v>
      </c>
      <c r="C194" t="b">
        <v>1</v>
      </c>
      <c r="D194">
        <v>8123</v>
      </c>
      <c r="E194">
        <v>8140</v>
      </c>
      <c r="F194">
        <v>294.60000000000002</v>
      </c>
      <c r="G194">
        <v>221.13333</v>
      </c>
      <c r="H194">
        <v>1.332228</v>
      </c>
      <c r="I194">
        <v>-0.33222794999999999</v>
      </c>
      <c r="J194">
        <v>0.42877457000000002</v>
      </c>
    </row>
    <row r="195" spans="1:10" x14ac:dyDescent="0.3">
      <c r="A195">
        <v>193</v>
      </c>
      <c r="B195">
        <v>3819</v>
      </c>
      <c r="C195" t="b">
        <v>1</v>
      </c>
      <c r="D195">
        <v>8146</v>
      </c>
      <c r="E195">
        <v>8123</v>
      </c>
      <c r="F195">
        <v>293.39999999999998</v>
      </c>
      <c r="G195">
        <v>221.13333</v>
      </c>
      <c r="H195">
        <v>1.3268013000000001</v>
      </c>
      <c r="I195">
        <v>-0.32680130000000002</v>
      </c>
      <c r="J195">
        <v>0.42977454999999998</v>
      </c>
    </row>
    <row r="196" spans="1:10" x14ac:dyDescent="0.3">
      <c r="A196">
        <v>194</v>
      </c>
      <c r="B196">
        <v>3835</v>
      </c>
      <c r="C196" t="b">
        <v>1</v>
      </c>
      <c r="D196">
        <v>8135</v>
      </c>
      <c r="E196">
        <v>8123</v>
      </c>
      <c r="F196">
        <v>292.60000000000002</v>
      </c>
      <c r="G196">
        <v>221.13333</v>
      </c>
      <c r="H196">
        <v>1.3231837</v>
      </c>
      <c r="I196">
        <v>-0.32318363</v>
      </c>
      <c r="J196">
        <v>0.43044379999999999</v>
      </c>
    </row>
    <row r="197" spans="1:10" x14ac:dyDescent="0.3">
      <c r="A197">
        <v>195</v>
      </c>
      <c r="B197">
        <v>3852</v>
      </c>
      <c r="C197" t="b">
        <v>1</v>
      </c>
      <c r="D197">
        <v>8158</v>
      </c>
      <c r="E197">
        <v>8146</v>
      </c>
      <c r="F197">
        <v>292.60000000000002</v>
      </c>
      <c r="G197">
        <v>221.53334000000001</v>
      </c>
      <c r="H197">
        <v>1.3207945000000001</v>
      </c>
      <c r="I197">
        <v>-0.32079443000000002</v>
      </c>
      <c r="J197">
        <v>0.43088692000000001</v>
      </c>
    </row>
    <row r="198" spans="1:10" x14ac:dyDescent="0.3">
      <c r="A198">
        <v>196</v>
      </c>
      <c r="B198">
        <v>3884</v>
      </c>
      <c r="C198" t="b">
        <v>1</v>
      </c>
      <c r="D198">
        <v>8158</v>
      </c>
      <c r="E198">
        <v>8134</v>
      </c>
      <c r="F198">
        <v>293.33334000000002</v>
      </c>
      <c r="G198">
        <v>221.53334000000001</v>
      </c>
      <c r="H198">
        <v>1.3241048</v>
      </c>
      <c r="I198">
        <v>-0.32410473000000001</v>
      </c>
      <c r="J198">
        <v>0.43027320000000002</v>
      </c>
    </row>
    <row r="199" spans="1:10" x14ac:dyDescent="0.3">
      <c r="A199">
        <v>197</v>
      </c>
      <c r="B199">
        <v>3916</v>
      </c>
      <c r="C199" t="b">
        <v>1</v>
      </c>
      <c r="D199">
        <v>8106</v>
      </c>
      <c r="E199">
        <v>8123</v>
      </c>
      <c r="F199">
        <v>294.06668000000002</v>
      </c>
      <c r="G199">
        <v>220.4</v>
      </c>
      <c r="H199">
        <v>1.3342409</v>
      </c>
      <c r="I199">
        <v>-0.33424088000000002</v>
      </c>
      <c r="J199">
        <v>0.42840479999999997</v>
      </c>
    </row>
    <row r="200" spans="1:10" x14ac:dyDescent="0.3">
      <c r="A200">
        <v>198</v>
      </c>
      <c r="B200">
        <v>3947</v>
      </c>
      <c r="C200" t="b">
        <v>1</v>
      </c>
      <c r="D200">
        <v>8140</v>
      </c>
      <c r="E200">
        <v>8111</v>
      </c>
      <c r="F200">
        <v>293.26666</v>
      </c>
      <c r="G200">
        <v>219.26666</v>
      </c>
      <c r="H200">
        <v>1.3374887</v>
      </c>
      <c r="I200">
        <v>-0.33748860000000003</v>
      </c>
      <c r="J200">
        <v>0.42780956999999997</v>
      </c>
    </row>
    <row r="201" spans="1:10" x14ac:dyDescent="0.3">
      <c r="A201">
        <v>199</v>
      </c>
      <c r="B201">
        <v>3979</v>
      </c>
      <c r="C201" t="b">
        <v>1</v>
      </c>
      <c r="D201">
        <v>8094</v>
      </c>
      <c r="E201">
        <v>8129</v>
      </c>
      <c r="F201">
        <v>292.46667000000002</v>
      </c>
      <c r="G201">
        <v>218.53334000000001</v>
      </c>
      <c r="H201">
        <v>1.3383160999999999</v>
      </c>
      <c r="I201">
        <v>-0.33831604999999998</v>
      </c>
      <c r="J201">
        <v>0.42765819999999999</v>
      </c>
    </row>
    <row r="202" spans="1:10" x14ac:dyDescent="0.3">
      <c r="A202">
        <v>200</v>
      </c>
      <c r="B202">
        <v>3995</v>
      </c>
      <c r="C202" t="b">
        <v>1</v>
      </c>
      <c r="D202">
        <v>8140</v>
      </c>
      <c r="E202">
        <v>8134</v>
      </c>
      <c r="F202">
        <v>292.46667000000002</v>
      </c>
      <c r="G202">
        <v>217.8</v>
      </c>
      <c r="H202">
        <v>1.3428222000000001</v>
      </c>
      <c r="I202">
        <v>-0.34282220000000002</v>
      </c>
      <c r="J202">
        <v>0.42683566000000001</v>
      </c>
    </row>
    <row r="203" spans="1:10" x14ac:dyDescent="0.3">
      <c r="A203">
        <v>201</v>
      </c>
      <c r="B203">
        <v>4010</v>
      </c>
      <c r="C203" t="b">
        <v>1</v>
      </c>
      <c r="D203">
        <v>8192</v>
      </c>
      <c r="E203">
        <v>8146</v>
      </c>
      <c r="F203">
        <v>292.46667000000002</v>
      </c>
      <c r="G203">
        <v>217.06666999999999</v>
      </c>
      <c r="H203">
        <v>1.3473588000000001</v>
      </c>
      <c r="I203">
        <v>-0.34735875999999999</v>
      </c>
      <c r="J203">
        <v>0.42601073</v>
      </c>
    </row>
    <row r="204" spans="1:10" x14ac:dyDescent="0.3">
      <c r="A204">
        <v>202</v>
      </c>
      <c r="B204">
        <v>4027</v>
      </c>
      <c r="C204" t="b">
        <v>1</v>
      </c>
      <c r="D204">
        <v>8146</v>
      </c>
      <c r="E204">
        <v>8134</v>
      </c>
      <c r="F204">
        <v>292.46667000000002</v>
      </c>
      <c r="G204">
        <v>217.4</v>
      </c>
      <c r="H204">
        <v>1.3452929</v>
      </c>
      <c r="I204">
        <v>-0.34529293</v>
      </c>
      <c r="J204">
        <v>0.42638597</v>
      </c>
    </row>
    <row r="205" spans="1:10" x14ac:dyDescent="0.3">
      <c r="A205">
        <v>203</v>
      </c>
      <c r="B205">
        <v>4042</v>
      </c>
      <c r="C205" t="b">
        <v>1</v>
      </c>
      <c r="D205">
        <v>8175</v>
      </c>
      <c r="E205">
        <v>8140</v>
      </c>
      <c r="F205">
        <v>292.86667</v>
      </c>
      <c r="G205">
        <v>217</v>
      </c>
      <c r="H205">
        <v>1.3496159000000001</v>
      </c>
      <c r="I205">
        <v>-0.34961599999999998</v>
      </c>
      <c r="J205">
        <v>0.42560144999999999</v>
      </c>
    </row>
    <row r="206" spans="1:10" x14ac:dyDescent="0.3">
      <c r="A206">
        <v>204</v>
      </c>
      <c r="B206">
        <v>4058</v>
      </c>
      <c r="C206" t="b">
        <v>1</v>
      </c>
      <c r="D206">
        <v>8135</v>
      </c>
      <c r="E206">
        <v>8152</v>
      </c>
      <c r="F206">
        <v>294.39999999999998</v>
      </c>
      <c r="G206">
        <v>217.73334</v>
      </c>
      <c r="H206">
        <v>1.3521126999999999</v>
      </c>
      <c r="I206">
        <v>-0.35211261999999999</v>
      </c>
      <c r="J206">
        <v>0.42514974</v>
      </c>
    </row>
    <row r="207" spans="1:10" x14ac:dyDescent="0.3">
      <c r="A207">
        <v>205</v>
      </c>
      <c r="B207">
        <v>4074</v>
      </c>
      <c r="C207" t="b">
        <v>1</v>
      </c>
      <c r="D207">
        <v>8152</v>
      </c>
      <c r="E207">
        <v>8123</v>
      </c>
      <c r="F207">
        <v>296.33334000000002</v>
      </c>
      <c r="G207">
        <v>218.13333</v>
      </c>
      <c r="H207">
        <v>1.3584963999999999</v>
      </c>
      <c r="I207">
        <v>-0.35849639999999999</v>
      </c>
      <c r="J207">
        <v>0.42399894999999999</v>
      </c>
    </row>
    <row r="208" spans="1:10" x14ac:dyDescent="0.3">
      <c r="A208">
        <v>206</v>
      </c>
      <c r="B208">
        <v>4090</v>
      </c>
      <c r="C208" t="b">
        <v>1</v>
      </c>
      <c r="D208">
        <v>8094</v>
      </c>
      <c r="E208">
        <v>8105</v>
      </c>
      <c r="F208">
        <v>298.26666</v>
      </c>
      <c r="G208">
        <v>218.13333</v>
      </c>
      <c r="H208">
        <v>1.3673594</v>
      </c>
      <c r="I208">
        <v>-0.3673594</v>
      </c>
      <c r="J208">
        <v>0.42241152999999998</v>
      </c>
    </row>
    <row r="209" spans="1:10" x14ac:dyDescent="0.3">
      <c r="A209">
        <v>207</v>
      </c>
      <c r="B209">
        <v>4106</v>
      </c>
      <c r="C209" t="b">
        <v>1</v>
      </c>
      <c r="D209">
        <v>8106</v>
      </c>
      <c r="E209">
        <v>8146</v>
      </c>
      <c r="F209">
        <v>299.46667000000002</v>
      </c>
      <c r="G209">
        <v>218.13333</v>
      </c>
      <c r="H209">
        <v>1.3728606999999999</v>
      </c>
      <c r="I209">
        <v>-0.37286069999999999</v>
      </c>
      <c r="J209">
        <v>0.42143226</v>
      </c>
    </row>
    <row r="210" spans="1:10" x14ac:dyDescent="0.3">
      <c r="A210">
        <v>208</v>
      </c>
      <c r="B210">
        <v>4122</v>
      </c>
      <c r="C210" t="b">
        <v>1</v>
      </c>
      <c r="D210">
        <v>8146</v>
      </c>
      <c r="E210">
        <v>8134</v>
      </c>
      <c r="F210">
        <v>300.66665999999998</v>
      </c>
      <c r="G210">
        <v>218.13333</v>
      </c>
      <c r="H210">
        <v>1.3783618</v>
      </c>
      <c r="I210">
        <v>-0.37836182000000002</v>
      </c>
      <c r="J210">
        <v>0.42045747999999999</v>
      </c>
    </row>
    <row r="211" spans="1:10" x14ac:dyDescent="0.3">
      <c r="A211">
        <v>209</v>
      </c>
      <c r="B211">
        <v>4138</v>
      </c>
      <c r="C211" t="b">
        <v>1</v>
      </c>
      <c r="D211">
        <v>8163</v>
      </c>
      <c r="E211">
        <v>8140</v>
      </c>
      <c r="F211">
        <v>302.2</v>
      </c>
      <c r="G211">
        <v>218.13333</v>
      </c>
      <c r="H211">
        <v>1.3853911999999999</v>
      </c>
      <c r="I211">
        <v>-0.38539127000000001</v>
      </c>
      <c r="J211">
        <v>0.41921841999999998</v>
      </c>
    </row>
    <row r="212" spans="1:10" x14ac:dyDescent="0.3">
      <c r="A212">
        <v>210</v>
      </c>
      <c r="B212">
        <v>4154</v>
      </c>
      <c r="C212" t="b">
        <v>1</v>
      </c>
      <c r="D212">
        <v>8140</v>
      </c>
      <c r="E212">
        <v>8140</v>
      </c>
      <c r="F212">
        <v>302.53332999999998</v>
      </c>
      <c r="G212">
        <v>218.13333</v>
      </c>
      <c r="H212">
        <v>1.3869193</v>
      </c>
      <c r="I212">
        <v>-0.38691930000000002</v>
      </c>
      <c r="J212">
        <v>0.41895008</v>
      </c>
    </row>
    <row r="213" spans="1:10" x14ac:dyDescent="0.3">
      <c r="A213">
        <v>211</v>
      </c>
      <c r="B213">
        <v>4169</v>
      </c>
      <c r="C213" t="b">
        <v>1</v>
      </c>
      <c r="D213">
        <v>8135</v>
      </c>
      <c r="E213">
        <v>8129</v>
      </c>
      <c r="F213">
        <v>302.13333</v>
      </c>
      <c r="G213">
        <v>218.53334000000001</v>
      </c>
      <c r="H213">
        <v>1.3825502000000001</v>
      </c>
      <c r="I213">
        <v>-0.38255027000000003</v>
      </c>
      <c r="J213">
        <v>0.41971829999999999</v>
      </c>
    </row>
    <row r="214" spans="1:10" x14ac:dyDescent="0.3">
      <c r="A214">
        <v>212</v>
      </c>
      <c r="B214">
        <v>4185</v>
      </c>
      <c r="C214" t="b">
        <v>1</v>
      </c>
      <c r="D214">
        <v>8123</v>
      </c>
      <c r="E214">
        <v>8117</v>
      </c>
      <c r="F214">
        <v>301.73334</v>
      </c>
      <c r="G214">
        <v>219.26666</v>
      </c>
      <c r="H214">
        <v>1.3761022000000001</v>
      </c>
      <c r="I214">
        <v>-0.3761022</v>
      </c>
      <c r="J214">
        <v>0.42085729999999999</v>
      </c>
    </row>
    <row r="215" spans="1:10" x14ac:dyDescent="0.3">
      <c r="A215">
        <v>213</v>
      </c>
      <c r="B215">
        <v>4201</v>
      </c>
      <c r="C215" t="b">
        <v>1</v>
      </c>
      <c r="D215">
        <v>8129</v>
      </c>
      <c r="E215">
        <v>8134</v>
      </c>
      <c r="F215">
        <v>301.39999999999998</v>
      </c>
      <c r="G215">
        <v>220</v>
      </c>
      <c r="H215">
        <v>1.37</v>
      </c>
      <c r="I215">
        <v>-0.36999997000000001</v>
      </c>
      <c r="J215">
        <v>0.42194092</v>
      </c>
    </row>
    <row r="216" spans="1:10" x14ac:dyDescent="0.3">
      <c r="A216">
        <v>214</v>
      </c>
      <c r="B216">
        <v>4217</v>
      </c>
      <c r="C216" t="b">
        <v>1</v>
      </c>
      <c r="D216">
        <v>8129</v>
      </c>
      <c r="E216">
        <v>8152</v>
      </c>
      <c r="F216">
        <v>300.66665999999998</v>
      </c>
      <c r="G216">
        <v>220.33332999999999</v>
      </c>
      <c r="H216">
        <v>1.3645991</v>
      </c>
      <c r="I216">
        <v>-0.36459908000000002</v>
      </c>
      <c r="J216">
        <v>0.42290466999999998</v>
      </c>
    </row>
    <row r="217" spans="1:10" x14ac:dyDescent="0.3">
      <c r="A217">
        <v>215</v>
      </c>
      <c r="B217">
        <v>4233</v>
      </c>
      <c r="C217" t="b">
        <v>1</v>
      </c>
      <c r="D217">
        <v>8163</v>
      </c>
      <c r="E217">
        <v>8105</v>
      </c>
      <c r="F217">
        <v>299.93331999999998</v>
      </c>
      <c r="G217">
        <v>220.33332999999999</v>
      </c>
      <c r="H217">
        <v>1.3612708</v>
      </c>
      <c r="I217">
        <v>-0.36127076000000002</v>
      </c>
      <c r="J217">
        <v>0.42350078000000002</v>
      </c>
    </row>
    <row r="218" spans="1:10" x14ac:dyDescent="0.3">
      <c r="A218">
        <v>216</v>
      </c>
      <c r="B218">
        <v>4249</v>
      </c>
      <c r="C218" t="b">
        <v>1</v>
      </c>
      <c r="D218">
        <v>8123</v>
      </c>
      <c r="E218">
        <v>8140</v>
      </c>
      <c r="F218">
        <v>299.2</v>
      </c>
      <c r="G218">
        <v>220.66667000000001</v>
      </c>
      <c r="H218">
        <v>1.3558912000000001</v>
      </c>
      <c r="I218">
        <v>-0.35589125999999999</v>
      </c>
      <c r="J218">
        <v>0.42446780000000001</v>
      </c>
    </row>
    <row r="219" spans="1:10" x14ac:dyDescent="0.3">
      <c r="A219">
        <v>217</v>
      </c>
      <c r="B219">
        <v>4280</v>
      </c>
      <c r="C219" t="b">
        <v>1</v>
      </c>
      <c r="D219">
        <v>8106</v>
      </c>
      <c r="E219">
        <v>8123</v>
      </c>
      <c r="F219">
        <v>298.46667000000002</v>
      </c>
      <c r="G219">
        <v>220.66667000000001</v>
      </c>
      <c r="H219">
        <v>1.352568</v>
      </c>
      <c r="I219">
        <v>-0.35256797000000001</v>
      </c>
      <c r="J219">
        <v>0.42506739999999998</v>
      </c>
    </row>
    <row r="220" spans="1:10" x14ac:dyDescent="0.3">
      <c r="A220">
        <v>218</v>
      </c>
      <c r="B220">
        <v>4296</v>
      </c>
      <c r="C220" t="b">
        <v>1</v>
      </c>
      <c r="D220">
        <v>8146</v>
      </c>
      <c r="E220">
        <v>8111</v>
      </c>
      <c r="F220">
        <v>297.33334000000002</v>
      </c>
      <c r="G220">
        <v>219.93333000000001</v>
      </c>
      <c r="H220">
        <v>1.3519249</v>
      </c>
      <c r="I220">
        <v>-0.35192487</v>
      </c>
      <c r="J220">
        <v>0.42518365000000002</v>
      </c>
    </row>
    <row r="221" spans="1:10" x14ac:dyDescent="0.3">
      <c r="A221">
        <v>219</v>
      </c>
      <c r="B221">
        <v>4312</v>
      </c>
      <c r="C221" t="b">
        <v>1</v>
      </c>
      <c r="D221">
        <v>8088</v>
      </c>
      <c r="E221">
        <v>8134</v>
      </c>
      <c r="F221">
        <v>295.8</v>
      </c>
      <c r="G221">
        <v>218.8</v>
      </c>
      <c r="H221">
        <v>1.3519194999999999</v>
      </c>
      <c r="I221">
        <v>-0.35191947000000001</v>
      </c>
      <c r="J221">
        <v>0.42518464</v>
      </c>
    </row>
    <row r="222" spans="1:10" x14ac:dyDescent="0.3">
      <c r="A222">
        <v>220</v>
      </c>
      <c r="B222">
        <v>4344</v>
      </c>
      <c r="C222" t="b">
        <v>1</v>
      </c>
      <c r="D222">
        <v>8106</v>
      </c>
      <c r="E222">
        <v>8146</v>
      </c>
      <c r="F222">
        <v>292.73334</v>
      </c>
      <c r="G222">
        <v>218.4</v>
      </c>
      <c r="H222">
        <v>1.3403541999999999</v>
      </c>
      <c r="I222">
        <v>-0.34035414000000003</v>
      </c>
      <c r="J222">
        <v>0.42728576000000001</v>
      </c>
    </row>
    <row r="223" spans="1:10" x14ac:dyDescent="0.3">
      <c r="A223">
        <v>221</v>
      </c>
      <c r="B223">
        <v>4360</v>
      </c>
      <c r="C223" t="b">
        <v>1</v>
      </c>
      <c r="D223">
        <v>8152</v>
      </c>
      <c r="E223">
        <v>8146</v>
      </c>
      <c r="F223">
        <v>290.06668000000002</v>
      </c>
      <c r="G223">
        <v>218.4</v>
      </c>
      <c r="H223">
        <v>1.3281442000000001</v>
      </c>
      <c r="I223">
        <v>-0.3281442</v>
      </c>
      <c r="J223">
        <v>0.42952666</v>
      </c>
    </row>
    <row r="224" spans="1:10" x14ac:dyDescent="0.3">
      <c r="A224">
        <v>222</v>
      </c>
      <c r="B224">
        <v>4376</v>
      </c>
      <c r="C224" t="b">
        <v>1</v>
      </c>
      <c r="D224">
        <v>8135</v>
      </c>
      <c r="E224">
        <v>8134</v>
      </c>
      <c r="F224">
        <v>290.06668000000002</v>
      </c>
      <c r="G224">
        <v>218</v>
      </c>
      <c r="H224">
        <v>1.3305811000000001</v>
      </c>
      <c r="I224">
        <v>-0.33058110000000002</v>
      </c>
      <c r="J224">
        <v>0.42907753999999998</v>
      </c>
    </row>
    <row r="225" spans="1:10" x14ac:dyDescent="0.3">
      <c r="A225">
        <v>223</v>
      </c>
      <c r="B225">
        <v>4391</v>
      </c>
      <c r="C225" t="b">
        <v>1</v>
      </c>
      <c r="D225">
        <v>8146</v>
      </c>
      <c r="E225">
        <v>8129</v>
      </c>
      <c r="F225">
        <v>290.06668000000002</v>
      </c>
      <c r="G225">
        <v>218</v>
      </c>
      <c r="H225">
        <v>1.3305811000000001</v>
      </c>
      <c r="I225">
        <v>-0.33058110000000002</v>
      </c>
      <c r="J225">
        <v>0.42907753999999998</v>
      </c>
    </row>
    <row r="226" spans="1:10" x14ac:dyDescent="0.3">
      <c r="A226">
        <v>224</v>
      </c>
      <c r="B226">
        <v>4408</v>
      </c>
      <c r="C226" t="b">
        <v>1</v>
      </c>
      <c r="D226">
        <v>8140</v>
      </c>
      <c r="E226">
        <v>8146</v>
      </c>
      <c r="F226">
        <v>289.66665999999998</v>
      </c>
      <c r="G226">
        <v>218.8</v>
      </c>
      <c r="H226">
        <v>1.3238878000000001</v>
      </c>
      <c r="I226">
        <v>-0.3238878</v>
      </c>
      <c r="J226">
        <v>0.43031334999999998</v>
      </c>
    </row>
    <row r="227" spans="1:10" x14ac:dyDescent="0.3">
      <c r="A227">
        <v>225</v>
      </c>
      <c r="B227">
        <v>4423</v>
      </c>
      <c r="C227" t="b">
        <v>1</v>
      </c>
      <c r="D227">
        <v>8140</v>
      </c>
      <c r="E227">
        <v>8146</v>
      </c>
      <c r="F227">
        <v>289.66665999999998</v>
      </c>
      <c r="G227">
        <v>219.2</v>
      </c>
      <c r="H227">
        <v>1.321472</v>
      </c>
      <c r="I227">
        <v>-0.32147199999999998</v>
      </c>
      <c r="J227">
        <v>0.43076120000000001</v>
      </c>
    </row>
    <row r="228" spans="1:10" x14ac:dyDescent="0.3">
      <c r="A228">
        <v>226</v>
      </c>
      <c r="B228">
        <v>4439</v>
      </c>
      <c r="C228" t="b">
        <v>1</v>
      </c>
      <c r="D228">
        <v>8135</v>
      </c>
      <c r="E228">
        <v>8170</v>
      </c>
      <c r="F228">
        <v>289.66665999999998</v>
      </c>
      <c r="G228">
        <v>219.6</v>
      </c>
      <c r="H228">
        <v>1.3190649000000001</v>
      </c>
      <c r="I228">
        <v>-0.31906489999999998</v>
      </c>
      <c r="J228">
        <v>0.43120828</v>
      </c>
    </row>
    <row r="229" spans="1:10" x14ac:dyDescent="0.3">
      <c r="A229">
        <v>227</v>
      </c>
      <c r="B229">
        <v>4471</v>
      </c>
      <c r="C229" t="b">
        <v>1</v>
      </c>
      <c r="D229">
        <v>8152</v>
      </c>
      <c r="E229">
        <v>8123</v>
      </c>
      <c r="F229">
        <v>289.66665999999998</v>
      </c>
      <c r="G229">
        <v>220.4</v>
      </c>
      <c r="H229">
        <v>1.3142769999999999</v>
      </c>
      <c r="I229">
        <v>-0.31427705</v>
      </c>
      <c r="J229">
        <v>0.4321004</v>
      </c>
    </row>
    <row r="230" spans="1:10" x14ac:dyDescent="0.3">
      <c r="A230">
        <v>228</v>
      </c>
      <c r="B230">
        <v>4487</v>
      </c>
      <c r="C230" t="b">
        <v>1</v>
      </c>
      <c r="D230">
        <v>8152</v>
      </c>
      <c r="E230">
        <v>8123</v>
      </c>
      <c r="F230">
        <v>290</v>
      </c>
      <c r="G230">
        <v>221.2</v>
      </c>
      <c r="H230">
        <v>1.3110307000000001</v>
      </c>
      <c r="I230">
        <v>-0.31103075000000002</v>
      </c>
      <c r="J230">
        <v>0.43270734</v>
      </c>
    </row>
    <row r="231" spans="1:10" x14ac:dyDescent="0.3">
      <c r="A231">
        <v>229</v>
      </c>
      <c r="B231">
        <v>4503</v>
      </c>
      <c r="C231" t="b">
        <v>1</v>
      </c>
      <c r="D231">
        <v>8175</v>
      </c>
      <c r="E231">
        <v>8164</v>
      </c>
      <c r="F231">
        <v>291.53332999999998</v>
      </c>
      <c r="G231">
        <v>222</v>
      </c>
      <c r="H231">
        <v>1.3132132000000001</v>
      </c>
      <c r="I231">
        <v>-0.31321316999999999</v>
      </c>
      <c r="J231">
        <v>0.43229909999999999</v>
      </c>
    </row>
    <row r="232" spans="1:10" x14ac:dyDescent="0.3">
      <c r="A232">
        <v>230</v>
      </c>
      <c r="B232">
        <v>4519</v>
      </c>
      <c r="C232" t="b">
        <v>1</v>
      </c>
      <c r="D232">
        <v>8140</v>
      </c>
      <c r="E232">
        <v>8170</v>
      </c>
      <c r="F232">
        <v>293.06668000000002</v>
      </c>
      <c r="G232">
        <v>224.33332999999999</v>
      </c>
      <c r="H232">
        <v>1.3063895000000001</v>
      </c>
      <c r="I232">
        <v>-0.30638939999999998</v>
      </c>
      <c r="J232">
        <v>0.43357810000000002</v>
      </c>
    </row>
    <row r="233" spans="1:10" x14ac:dyDescent="0.3">
      <c r="A233">
        <v>231</v>
      </c>
      <c r="B233">
        <v>4534</v>
      </c>
      <c r="C233" t="b">
        <v>1</v>
      </c>
      <c r="D233">
        <v>8135</v>
      </c>
      <c r="E233">
        <v>8111</v>
      </c>
      <c r="F233">
        <v>294.60000000000002</v>
      </c>
      <c r="G233">
        <v>223.6</v>
      </c>
      <c r="H233">
        <v>1.3175313</v>
      </c>
      <c r="I233">
        <v>-0.31753130000000002</v>
      </c>
      <c r="J233">
        <v>0.43149364000000001</v>
      </c>
    </row>
    <row r="234" spans="1:10" x14ac:dyDescent="0.3">
      <c r="A234">
        <v>232</v>
      </c>
      <c r="B234">
        <v>4550</v>
      </c>
      <c r="C234" t="b">
        <v>1</v>
      </c>
      <c r="D234">
        <v>8135</v>
      </c>
      <c r="E234">
        <v>8158</v>
      </c>
      <c r="F234">
        <v>295.33334000000002</v>
      </c>
      <c r="G234">
        <v>225.2</v>
      </c>
      <c r="H234">
        <v>1.3114269999999999</v>
      </c>
      <c r="I234">
        <v>-0.31142693999999999</v>
      </c>
      <c r="J234">
        <v>0.4326332</v>
      </c>
    </row>
    <row r="235" spans="1:10" x14ac:dyDescent="0.3">
      <c r="A235">
        <v>233</v>
      </c>
      <c r="B235">
        <v>4566</v>
      </c>
      <c r="C235" t="b">
        <v>1</v>
      </c>
      <c r="D235">
        <v>8123</v>
      </c>
      <c r="E235">
        <v>8146</v>
      </c>
      <c r="F235">
        <v>295.73334</v>
      </c>
      <c r="G235">
        <v>227.53334000000001</v>
      </c>
      <c r="H235">
        <v>1.2997363</v>
      </c>
      <c r="I235">
        <v>-0.29973630000000001</v>
      </c>
      <c r="J235">
        <v>0.43483248000000002</v>
      </c>
    </row>
    <row r="236" spans="1:10" x14ac:dyDescent="0.3">
      <c r="A236">
        <v>234</v>
      </c>
      <c r="B236">
        <v>4582</v>
      </c>
      <c r="C236" t="b">
        <v>1</v>
      </c>
      <c r="D236">
        <v>8106</v>
      </c>
      <c r="E236">
        <v>8129</v>
      </c>
      <c r="F236">
        <v>296.53332999999998</v>
      </c>
      <c r="G236">
        <v>229.06666999999999</v>
      </c>
      <c r="H236">
        <v>1.2945285</v>
      </c>
      <c r="I236">
        <v>-0.29452847999999998</v>
      </c>
      <c r="J236">
        <v>0.43581940000000002</v>
      </c>
    </row>
    <row r="237" spans="1:10" x14ac:dyDescent="0.3">
      <c r="A237">
        <v>235</v>
      </c>
      <c r="B237">
        <v>4598</v>
      </c>
      <c r="C237" t="b">
        <v>1</v>
      </c>
      <c r="D237">
        <v>8123</v>
      </c>
      <c r="E237">
        <v>8134</v>
      </c>
      <c r="F237">
        <v>297.66665999999998</v>
      </c>
      <c r="G237">
        <v>229.06666999999999</v>
      </c>
      <c r="H237">
        <v>1.2994760999999999</v>
      </c>
      <c r="I237">
        <v>-0.29947610000000002</v>
      </c>
      <c r="J237">
        <v>0.43488166</v>
      </c>
    </row>
    <row r="238" spans="1:10" x14ac:dyDescent="0.3">
      <c r="A238">
        <v>236</v>
      </c>
      <c r="B238">
        <v>4630</v>
      </c>
      <c r="C238" t="b">
        <v>1</v>
      </c>
      <c r="D238">
        <v>8135</v>
      </c>
      <c r="E238">
        <v>8129</v>
      </c>
      <c r="F238">
        <v>298.8</v>
      </c>
      <c r="G238">
        <v>229.06666999999999</v>
      </c>
      <c r="H238">
        <v>1.3044237000000001</v>
      </c>
      <c r="I238">
        <v>-0.30442370000000002</v>
      </c>
      <c r="J238">
        <v>0.43394798000000001</v>
      </c>
    </row>
    <row r="239" spans="1:10" x14ac:dyDescent="0.3">
      <c r="A239">
        <v>237</v>
      </c>
      <c r="B239">
        <v>4662</v>
      </c>
      <c r="C239" t="b">
        <v>1</v>
      </c>
      <c r="D239">
        <v>8117</v>
      </c>
      <c r="E239">
        <v>8105</v>
      </c>
      <c r="F239">
        <v>298</v>
      </c>
      <c r="G239">
        <v>228.73334</v>
      </c>
      <c r="H239">
        <v>1.3028271</v>
      </c>
      <c r="I239">
        <v>-0.30282714999999999</v>
      </c>
      <c r="J239">
        <v>0.43424882999999997</v>
      </c>
    </row>
    <row r="240" spans="1:10" x14ac:dyDescent="0.3">
      <c r="A240">
        <v>238</v>
      </c>
      <c r="B240">
        <v>4678</v>
      </c>
      <c r="C240" t="b">
        <v>1</v>
      </c>
      <c r="D240">
        <v>8129</v>
      </c>
      <c r="E240">
        <v>8152</v>
      </c>
      <c r="F240">
        <v>297.2</v>
      </c>
      <c r="G240">
        <v>228.4</v>
      </c>
      <c r="H240">
        <v>1.301226</v>
      </c>
      <c r="I240">
        <v>-0.30122601999999998</v>
      </c>
      <c r="J240">
        <v>0.43455100000000002</v>
      </c>
    </row>
    <row r="241" spans="1:10" x14ac:dyDescent="0.3">
      <c r="A241">
        <v>239</v>
      </c>
      <c r="B241">
        <v>4693</v>
      </c>
      <c r="C241" t="b">
        <v>1</v>
      </c>
      <c r="D241">
        <v>8146</v>
      </c>
      <c r="E241">
        <v>8146</v>
      </c>
      <c r="F241">
        <v>296.46667000000002</v>
      </c>
      <c r="G241">
        <v>227.6</v>
      </c>
      <c r="H241">
        <v>1.3025776</v>
      </c>
      <c r="I241">
        <v>-0.3025776</v>
      </c>
      <c r="J241">
        <v>0.43429592</v>
      </c>
    </row>
    <row r="242" spans="1:10" x14ac:dyDescent="0.3">
      <c r="A242">
        <v>240</v>
      </c>
      <c r="B242">
        <v>4709</v>
      </c>
      <c r="C242" t="b">
        <v>1</v>
      </c>
      <c r="D242">
        <v>8152</v>
      </c>
      <c r="E242">
        <v>8134</v>
      </c>
      <c r="F242">
        <v>296.13333</v>
      </c>
      <c r="G242">
        <v>226.8</v>
      </c>
      <c r="H242">
        <v>1.3057023999999999</v>
      </c>
      <c r="I242">
        <v>-0.30570249999999999</v>
      </c>
      <c r="J242">
        <v>0.43370730000000002</v>
      </c>
    </row>
    <row r="243" spans="1:10" x14ac:dyDescent="0.3">
      <c r="A243">
        <v>241</v>
      </c>
      <c r="B243">
        <v>4725</v>
      </c>
      <c r="C243" t="b">
        <v>1</v>
      </c>
      <c r="D243">
        <v>8111</v>
      </c>
      <c r="E243">
        <v>8117</v>
      </c>
      <c r="F243">
        <v>295.39999999999998</v>
      </c>
      <c r="G243">
        <v>226</v>
      </c>
      <c r="H243">
        <v>1.3070797000000001</v>
      </c>
      <c r="I243">
        <v>-0.30707960000000001</v>
      </c>
      <c r="J243">
        <v>0.43344837000000003</v>
      </c>
    </row>
    <row r="244" spans="1:10" x14ac:dyDescent="0.3">
      <c r="A244">
        <v>242</v>
      </c>
      <c r="B244">
        <v>4741</v>
      </c>
      <c r="C244" t="b">
        <v>1</v>
      </c>
      <c r="D244">
        <v>8135</v>
      </c>
      <c r="E244">
        <v>8123</v>
      </c>
      <c r="F244">
        <v>295.06668000000002</v>
      </c>
      <c r="G244">
        <v>225.2</v>
      </c>
      <c r="H244">
        <v>1.3102427999999999</v>
      </c>
      <c r="I244">
        <v>-0.31024283000000002</v>
      </c>
      <c r="J244">
        <v>0.43285495000000002</v>
      </c>
    </row>
    <row r="245" spans="1:10" x14ac:dyDescent="0.3">
      <c r="A245">
        <v>243</v>
      </c>
      <c r="B245">
        <v>4773</v>
      </c>
      <c r="C245" t="b">
        <v>1</v>
      </c>
      <c r="D245">
        <v>8117</v>
      </c>
      <c r="E245">
        <v>8134</v>
      </c>
      <c r="F245">
        <v>294.73334</v>
      </c>
      <c r="G245">
        <v>224.4</v>
      </c>
      <c r="H245">
        <v>1.3134284000000001</v>
      </c>
      <c r="I245">
        <v>-0.31342846000000002</v>
      </c>
      <c r="J245">
        <v>0.4322589</v>
      </c>
    </row>
    <row r="246" spans="1:10" x14ac:dyDescent="0.3">
      <c r="A246">
        <v>244</v>
      </c>
      <c r="B246">
        <v>4788</v>
      </c>
      <c r="C246" t="b">
        <v>1</v>
      </c>
      <c r="D246">
        <v>8135</v>
      </c>
      <c r="E246">
        <v>8140</v>
      </c>
      <c r="F246">
        <v>293.60000000000002</v>
      </c>
      <c r="G246">
        <v>223.6</v>
      </c>
      <c r="H246">
        <v>1.313059</v>
      </c>
      <c r="I246">
        <v>-0.31305903000000002</v>
      </c>
      <c r="J246">
        <v>0.43232793000000003</v>
      </c>
    </row>
    <row r="247" spans="1:10" x14ac:dyDescent="0.3">
      <c r="A247">
        <v>245</v>
      </c>
      <c r="B247">
        <v>4804</v>
      </c>
      <c r="C247" t="b">
        <v>1</v>
      </c>
      <c r="D247">
        <v>8117</v>
      </c>
      <c r="E247">
        <v>8129</v>
      </c>
      <c r="F247">
        <v>291.26666</v>
      </c>
      <c r="G247">
        <v>221.26666</v>
      </c>
      <c r="H247">
        <v>1.3163604</v>
      </c>
      <c r="I247">
        <v>-0.31636035000000001</v>
      </c>
      <c r="J247">
        <v>0.43171176</v>
      </c>
    </row>
    <row r="248" spans="1:10" x14ac:dyDescent="0.3">
      <c r="A248">
        <v>246</v>
      </c>
      <c r="B248">
        <v>4820</v>
      </c>
      <c r="C248" t="b">
        <v>1</v>
      </c>
      <c r="D248">
        <v>8158</v>
      </c>
      <c r="E248">
        <v>8146</v>
      </c>
      <c r="F248">
        <v>290.13333</v>
      </c>
      <c r="G248">
        <v>222</v>
      </c>
      <c r="H248">
        <v>1.3069069</v>
      </c>
      <c r="I248">
        <v>-0.30690689999999998</v>
      </c>
      <c r="J248">
        <v>0.4334809</v>
      </c>
    </row>
    <row r="249" spans="1:10" x14ac:dyDescent="0.3">
      <c r="A249">
        <v>247</v>
      </c>
      <c r="B249">
        <v>4836</v>
      </c>
      <c r="C249" t="b">
        <v>1</v>
      </c>
      <c r="D249">
        <v>8111</v>
      </c>
      <c r="E249">
        <v>8129</v>
      </c>
      <c r="F249">
        <v>288.60000000000002</v>
      </c>
      <c r="G249">
        <v>220.4</v>
      </c>
      <c r="H249">
        <v>1.3094374</v>
      </c>
      <c r="I249">
        <v>-0.30943745</v>
      </c>
      <c r="J249">
        <v>0.43300587000000001</v>
      </c>
    </row>
    <row r="250" spans="1:10" x14ac:dyDescent="0.3">
      <c r="A250">
        <v>248</v>
      </c>
      <c r="B250">
        <v>4852</v>
      </c>
      <c r="C250" t="b">
        <v>1</v>
      </c>
      <c r="D250">
        <v>8135</v>
      </c>
      <c r="E250">
        <v>8123</v>
      </c>
      <c r="F250">
        <v>288.60000000000002</v>
      </c>
      <c r="G250">
        <v>218.46665999999999</v>
      </c>
      <c r="H250">
        <v>1.3210253999999999</v>
      </c>
      <c r="I250">
        <v>-0.32102540000000002</v>
      </c>
      <c r="J250">
        <v>0.43084407000000002</v>
      </c>
    </row>
    <row r="251" spans="1:10" x14ac:dyDescent="0.3">
      <c r="A251">
        <v>249</v>
      </c>
      <c r="B251">
        <v>4868</v>
      </c>
      <c r="C251" t="b">
        <v>1</v>
      </c>
      <c r="D251">
        <v>8129</v>
      </c>
      <c r="E251">
        <v>8117</v>
      </c>
      <c r="F251">
        <v>288.2</v>
      </c>
      <c r="G251">
        <v>217.33332999999999</v>
      </c>
      <c r="H251">
        <v>1.3260738000000001</v>
      </c>
      <c r="I251">
        <v>-0.32607370000000002</v>
      </c>
      <c r="J251">
        <v>0.42990899999999999</v>
      </c>
    </row>
    <row r="252" spans="1:10" x14ac:dyDescent="0.3">
      <c r="A252">
        <v>250</v>
      </c>
      <c r="B252">
        <v>4884</v>
      </c>
      <c r="C252" t="b">
        <v>1</v>
      </c>
      <c r="D252">
        <v>8106</v>
      </c>
      <c r="E252">
        <v>8111</v>
      </c>
      <c r="F252">
        <v>288.60000000000002</v>
      </c>
      <c r="G252">
        <v>216.6</v>
      </c>
      <c r="H252">
        <v>1.3324100000000001</v>
      </c>
      <c r="I252">
        <v>-0.33240995000000001</v>
      </c>
      <c r="J252">
        <v>0.42874109999999999</v>
      </c>
    </row>
    <row r="253" spans="1:10" x14ac:dyDescent="0.3">
      <c r="A253">
        <v>251</v>
      </c>
      <c r="B253">
        <v>4899</v>
      </c>
      <c r="C253" t="b">
        <v>1</v>
      </c>
      <c r="D253">
        <v>8111</v>
      </c>
      <c r="E253">
        <v>8152</v>
      </c>
      <c r="F253">
        <v>287.8</v>
      </c>
      <c r="G253">
        <v>215.86667</v>
      </c>
      <c r="H253">
        <v>1.3332303999999999</v>
      </c>
      <c r="I253">
        <v>-0.33323032000000002</v>
      </c>
      <c r="J253">
        <v>0.42859036</v>
      </c>
    </row>
    <row r="254" spans="1:10" x14ac:dyDescent="0.3">
      <c r="A254">
        <v>252</v>
      </c>
      <c r="B254">
        <v>4915</v>
      </c>
      <c r="C254" t="b">
        <v>1</v>
      </c>
      <c r="D254">
        <v>8117</v>
      </c>
      <c r="E254">
        <v>8134</v>
      </c>
      <c r="F254">
        <v>287.39999999999998</v>
      </c>
      <c r="G254">
        <v>215.46665999999999</v>
      </c>
      <c r="H254">
        <v>1.3338490999999999</v>
      </c>
      <c r="I254">
        <v>-0.33384900000000001</v>
      </c>
      <c r="J254">
        <v>0.42847675000000002</v>
      </c>
    </row>
    <row r="255" spans="1:10" x14ac:dyDescent="0.3">
      <c r="A255">
        <v>253</v>
      </c>
      <c r="B255">
        <v>4948</v>
      </c>
      <c r="C255" t="b">
        <v>1</v>
      </c>
      <c r="D255">
        <v>8140</v>
      </c>
      <c r="E255">
        <v>8111</v>
      </c>
      <c r="F255">
        <v>287</v>
      </c>
      <c r="G255">
        <v>214.66667000000001</v>
      </c>
      <c r="H255">
        <v>1.3369565000000001</v>
      </c>
      <c r="I255">
        <v>-0.33695649999999999</v>
      </c>
      <c r="J255">
        <v>0.42790696</v>
      </c>
    </row>
    <row r="256" spans="1:10" x14ac:dyDescent="0.3">
      <c r="A256">
        <v>254</v>
      </c>
      <c r="B256">
        <v>4963</v>
      </c>
      <c r="C256" t="b">
        <v>1</v>
      </c>
      <c r="D256">
        <v>8152</v>
      </c>
      <c r="E256">
        <v>8123</v>
      </c>
      <c r="F256">
        <v>286.2</v>
      </c>
      <c r="G256">
        <v>213.93333000000001</v>
      </c>
      <c r="H256">
        <v>1.3378000000000001</v>
      </c>
      <c r="I256">
        <v>-0.33779999999999999</v>
      </c>
      <c r="J256">
        <v>0.42775257999999999</v>
      </c>
    </row>
    <row r="257" spans="1:10" x14ac:dyDescent="0.3">
      <c r="A257">
        <v>255</v>
      </c>
      <c r="B257">
        <v>4979</v>
      </c>
      <c r="C257" t="b">
        <v>1</v>
      </c>
      <c r="D257">
        <v>8123</v>
      </c>
      <c r="E257">
        <v>8146</v>
      </c>
      <c r="F257">
        <v>285.39999999999998</v>
      </c>
      <c r="G257">
        <v>213.93333000000001</v>
      </c>
      <c r="H257">
        <v>1.3340604</v>
      </c>
      <c r="I257">
        <v>-0.33406043000000002</v>
      </c>
      <c r="J257">
        <v>0.42843795000000001</v>
      </c>
    </row>
    <row r="258" spans="1:10" x14ac:dyDescent="0.3">
      <c r="A258">
        <v>256</v>
      </c>
      <c r="B258">
        <v>4995</v>
      </c>
      <c r="C258" t="b">
        <v>1</v>
      </c>
      <c r="D258">
        <v>8192</v>
      </c>
      <c r="E258">
        <v>8105</v>
      </c>
      <c r="F258">
        <v>286.13333</v>
      </c>
      <c r="G258">
        <v>213.2</v>
      </c>
      <c r="H258">
        <v>1.3420888</v>
      </c>
      <c r="I258">
        <v>-0.34208882000000002</v>
      </c>
      <c r="J258">
        <v>0.4269693</v>
      </c>
    </row>
    <row r="259" spans="1:10" x14ac:dyDescent="0.3">
      <c r="A259">
        <v>257</v>
      </c>
      <c r="B259">
        <v>5027</v>
      </c>
      <c r="C259" t="b">
        <v>1</v>
      </c>
      <c r="D259">
        <v>8100</v>
      </c>
      <c r="E259">
        <v>8111</v>
      </c>
      <c r="F259">
        <v>286.46667000000002</v>
      </c>
      <c r="G259">
        <v>211.66667000000001</v>
      </c>
      <c r="H259">
        <v>1.3533858000000001</v>
      </c>
      <c r="I259">
        <v>-0.35338584000000001</v>
      </c>
      <c r="J259">
        <v>0.42491970000000001</v>
      </c>
    </row>
    <row r="260" spans="1:10" x14ac:dyDescent="0.3">
      <c r="A260">
        <v>258</v>
      </c>
      <c r="B260">
        <v>5042</v>
      </c>
      <c r="C260" t="b">
        <v>1</v>
      </c>
      <c r="D260">
        <v>8106</v>
      </c>
      <c r="E260">
        <v>8123</v>
      </c>
      <c r="F260">
        <v>285.66665999999998</v>
      </c>
      <c r="G260">
        <v>210.93333000000001</v>
      </c>
      <c r="H260">
        <v>1.3542984</v>
      </c>
      <c r="I260">
        <v>-0.35429830000000001</v>
      </c>
      <c r="J260">
        <v>0.42475503999999997</v>
      </c>
    </row>
    <row r="261" spans="1:10" x14ac:dyDescent="0.3">
      <c r="A261">
        <v>259</v>
      </c>
      <c r="B261">
        <v>5059</v>
      </c>
      <c r="C261" t="b">
        <v>1</v>
      </c>
      <c r="D261">
        <v>8129</v>
      </c>
      <c r="E261">
        <v>8134</v>
      </c>
      <c r="F261">
        <v>284.86667</v>
      </c>
      <c r="G261">
        <v>210.2</v>
      </c>
      <c r="H261">
        <v>1.3552173000000001</v>
      </c>
      <c r="I261">
        <v>-0.35521728000000002</v>
      </c>
      <c r="J261">
        <v>0.42458928000000001</v>
      </c>
    </row>
    <row r="262" spans="1:10" x14ac:dyDescent="0.3">
      <c r="A262">
        <v>260</v>
      </c>
      <c r="B262">
        <v>5074</v>
      </c>
      <c r="C262" t="b">
        <v>1</v>
      </c>
      <c r="D262">
        <v>8129</v>
      </c>
      <c r="E262">
        <v>8164</v>
      </c>
      <c r="F262">
        <v>285.66665999999998</v>
      </c>
      <c r="G262">
        <v>209.8</v>
      </c>
      <c r="H262">
        <v>1.3616140999999999</v>
      </c>
      <c r="I262">
        <v>-0.36161417000000001</v>
      </c>
      <c r="J262">
        <v>0.42343916999999998</v>
      </c>
    </row>
    <row r="263" spans="1:10" x14ac:dyDescent="0.3">
      <c r="A263">
        <v>261</v>
      </c>
      <c r="B263">
        <v>5090</v>
      </c>
      <c r="C263" t="b">
        <v>1</v>
      </c>
      <c r="D263">
        <v>8158</v>
      </c>
      <c r="E263">
        <v>8123</v>
      </c>
      <c r="F263">
        <v>285.26666</v>
      </c>
      <c r="G263">
        <v>209.06666999999999</v>
      </c>
      <c r="H263">
        <v>1.3644769999999999</v>
      </c>
      <c r="I263">
        <v>-0.36447703999999997</v>
      </c>
      <c r="J263">
        <v>0.42292651999999997</v>
      </c>
    </row>
    <row r="264" spans="1:10" x14ac:dyDescent="0.3">
      <c r="A264">
        <v>262</v>
      </c>
      <c r="B264">
        <v>5106</v>
      </c>
      <c r="C264" t="b">
        <v>1</v>
      </c>
      <c r="D264">
        <v>8158</v>
      </c>
      <c r="E264">
        <v>8123</v>
      </c>
      <c r="F264">
        <v>286.06668000000002</v>
      </c>
      <c r="G264">
        <v>208.33332999999999</v>
      </c>
      <c r="H264">
        <v>1.3731201</v>
      </c>
      <c r="I264">
        <v>-0.37312010000000001</v>
      </c>
      <c r="J264">
        <v>0.42138615000000001</v>
      </c>
    </row>
    <row r="265" spans="1:10" x14ac:dyDescent="0.3">
      <c r="A265">
        <v>263</v>
      </c>
      <c r="B265">
        <v>5122</v>
      </c>
      <c r="C265" t="b">
        <v>1</v>
      </c>
      <c r="D265">
        <v>8152</v>
      </c>
      <c r="E265">
        <v>8134</v>
      </c>
      <c r="F265">
        <v>287.2</v>
      </c>
      <c r="G265">
        <v>208.66667000000001</v>
      </c>
      <c r="H265">
        <v>1.3763578000000001</v>
      </c>
      <c r="I265">
        <v>-0.37635784999999999</v>
      </c>
      <c r="J265">
        <v>0.42081204</v>
      </c>
    </row>
    <row r="266" spans="1:10" x14ac:dyDescent="0.3">
      <c r="A266">
        <v>264</v>
      </c>
      <c r="B266">
        <v>5138</v>
      </c>
      <c r="C266" t="b">
        <v>1</v>
      </c>
      <c r="D266">
        <v>8135</v>
      </c>
      <c r="E266">
        <v>8117</v>
      </c>
      <c r="F266">
        <v>288.73334</v>
      </c>
      <c r="G266">
        <v>208.26666</v>
      </c>
      <c r="H266">
        <v>1.3863635999999999</v>
      </c>
      <c r="I266">
        <v>-0.38636369999999998</v>
      </c>
      <c r="J266">
        <v>0.41904762000000001</v>
      </c>
    </row>
    <row r="267" spans="1:10" x14ac:dyDescent="0.3">
      <c r="A267">
        <v>265</v>
      </c>
      <c r="B267">
        <v>5154</v>
      </c>
      <c r="C267" t="b">
        <v>1</v>
      </c>
      <c r="D267">
        <v>8123</v>
      </c>
      <c r="E267">
        <v>8111</v>
      </c>
      <c r="F267">
        <v>290.26666</v>
      </c>
      <c r="G267">
        <v>208.26666</v>
      </c>
      <c r="H267">
        <v>1.393726</v>
      </c>
      <c r="I267">
        <v>-0.39372600000000002</v>
      </c>
      <c r="J267">
        <v>0.41775876000000001</v>
      </c>
    </row>
    <row r="268" spans="1:10" x14ac:dyDescent="0.3">
      <c r="A268">
        <v>266</v>
      </c>
      <c r="B268">
        <v>5170</v>
      </c>
      <c r="C268" t="b">
        <v>1</v>
      </c>
      <c r="D268">
        <v>8163</v>
      </c>
      <c r="E268">
        <v>8134</v>
      </c>
      <c r="F268">
        <v>293</v>
      </c>
      <c r="G268">
        <v>208.26666</v>
      </c>
      <c r="H268">
        <v>1.4068502000000001</v>
      </c>
      <c r="I268">
        <v>-0.40685021999999998</v>
      </c>
      <c r="J268">
        <v>0.41548076</v>
      </c>
    </row>
    <row r="269" spans="1:10" x14ac:dyDescent="0.3">
      <c r="A269">
        <v>267</v>
      </c>
      <c r="B269">
        <v>5186</v>
      </c>
      <c r="C269" t="b">
        <v>1</v>
      </c>
      <c r="D269">
        <v>8158</v>
      </c>
      <c r="E269">
        <v>8129</v>
      </c>
      <c r="F269">
        <v>295.33334000000002</v>
      </c>
      <c r="G269">
        <v>208.66667000000001</v>
      </c>
      <c r="H269">
        <v>1.4153355000000001</v>
      </c>
      <c r="I269">
        <v>-0.41533547999999998</v>
      </c>
      <c r="J269">
        <v>0.41402116</v>
      </c>
    </row>
    <row r="270" spans="1:10" x14ac:dyDescent="0.3">
      <c r="A270">
        <v>268</v>
      </c>
      <c r="B270">
        <v>5202</v>
      </c>
      <c r="C270" t="b">
        <v>1</v>
      </c>
      <c r="D270">
        <v>8083</v>
      </c>
      <c r="E270">
        <v>8123</v>
      </c>
      <c r="F270">
        <v>296.53332999999998</v>
      </c>
      <c r="G270">
        <v>209.06666999999999</v>
      </c>
      <c r="H270">
        <v>1.4183673000000001</v>
      </c>
      <c r="I270">
        <v>-0.41836732999999998</v>
      </c>
      <c r="J270">
        <v>0.41350213000000002</v>
      </c>
    </row>
    <row r="271" spans="1:10" x14ac:dyDescent="0.3">
      <c r="A271">
        <v>269</v>
      </c>
      <c r="B271">
        <v>5218</v>
      </c>
      <c r="C271" t="b">
        <v>1</v>
      </c>
      <c r="D271">
        <v>8123</v>
      </c>
      <c r="E271">
        <v>8134</v>
      </c>
      <c r="F271">
        <v>296.93331999999998</v>
      </c>
      <c r="G271">
        <v>209.46665999999999</v>
      </c>
      <c r="H271">
        <v>1.4175684</v>
      </c>
      <c r="I271">
        <v>-0.41756842</v>
      </c>
      <c r="J271">
        <v>0.41363876999999999</v>
      </c>
    </row>
    <row r="272" spans="1:10" x14ac:dyDescent="0.3">
      <c r="A272">
        <v>270</v>
      </c>
      <c r="B272">
        <v>5250</v>
      </c>
      <c r="C272" t="b">
        <v>1</v>
      </c>
      <c r="D272">
        <v>8140</v>
      </c>
      <c r="E272">
        <v>8152</v>
      </c>
      <c r="F272">
        <v>298.06668000000002</v>
      </c>
      <c r="G272">
        <v>209.46665999999999</v>
      </c>
      <c r="H272">
        <v>1.4229791000000001</v>
      </c>
      <c r="I272">
        <v>-0.42297911999999999</v>
      </c>
      <c r="J272">
        <v>0.41271508000000001</v>
      </c>
    </row>
    <row r="273" spans="1:10" x14ac:dyDescent="0.3">
      <c r="A273">
        <v>271</v>
      </c>
      <c r="B273">
        <v>5266</v>
      </c>
      <c r="C273" t="b">
        <v>1</v>
      </c>
      <c r="D273">
        <v>8146</v>
      </c>
      <c r="E273">
        <v>8134</v>
      </c>
      <c r="F273">
        <v>298.06668000000002</v>
      </c>
      <c r="G273">
        <v>210.2</v>
      </c>
      <c r="H273">
        <v>1.4180146</v>
      </c>
      <c r="I273">
        <v>-0.41801468000000003</v>
      </c>
      <c r="J273">
        <v>0.41356241999999999</v>
      </c>
    </row>
    <row r="274" spans="1:10" x14ac:dyDescent="0.3">
      <c r="A274">
        <v>272</v>
      </c>
      <c r="B274">
        <v>5281</v>
      </c>
      <c r="C274" t="b">
        <v>1</v>
      </c>
      <c r="D274">
        <v>8117</v>
      </c>
      <c r="E274">
        <v>8158</v>
      </c>
      <c r="F274">
        <v>296.93331999999998</v>
      </c>
      <c r="G274">
        <v>211.73334</v>
      </c>
      <c r="H274">
        <v>1.4023928999999999</v>
      </c>
      <c r="I274">
        <v>-0.40239286000000002</v>
      </c>
      <c r="J274">
        <v>0.41625166000000002</v>
      </c>
    </row>
    <row r="275" spans="1:10" x14ac:dyDescent="0.3">
      <c r="A275">
        <v>273</v>
      </c>
      <c r="B275">
        <v>5297</v>
      </c>
      <c r="C275" t="b">
        <v>1</v>
      </c>
      <c r="D275">
        <v>8117</v>
      </c>
      <c r="E275">
        <v>8117</v>
      </c>
      <c r="F275">
        <v>296.93331999999998</v>
      </c>
      <c r="G275">
        <v>212.46665999999999</v>
      </c>
      <c r="H275">
        <v>1.3975525</v>
      </c>
      <c r="I275">
        <v>-0.39755255</v>
      </c>
      <c r="J275">
        <v>0.41709203</v>
      </c>
    </row>
    <row r="276" spans="1:10" x14ac:dyDescent="0.3">
      <c r="A276">
        <v>274</v>
      </c>
      <c r="B276">
        <v>5329</v>
      </c>
      <c r="C276" t="b">
        <v>1</v>
      </c>
      <c r="D276">
        <v>8123</v>
      </c>
      <c r="E276">
        <v>8111</v>
      </c>
      <c r="F276">
        <v>296.93331999999998</v>
      </c>
      <c r="G276">
        <v>213.2</v>
      </c>
      <c r="H276">
        <v>1.3927453999999999</v>
      </c>
      <c r="I276">
        <v>-0.39274540000000002</v>
      </c>
      <c r="J276">
        <v>0.41792997999999998</v>
      </c>
    </row>
    <row r="277" spans="1:10" x14ac:dyDescent="0.3">
      <c r="A277">
        <v>275</v>
      </c>
      <c r="B277">
        <v>5361</v>
      </c>
      <c r="C277" t="b">
        <v>1</v>
      </c>
      <c r="D277">
        <v>8123</v>
      </c>
      <c r="E277">
        <v>8140</v>
      </c>
      <c r="F277">
        <v>296.53332999999998</v>
      </c>
      <c r="G277">
        <v>213.93333000000001</v>
      </c>
      <c r="H277">
        <v>1.3861015999999999</v>
      </c>
      <c r="I277">
        <v>-0.38610154000000002</v>
      </c>
      <c r="J277">
        <v>0.41909363999999999</v>
      </c>
    </row>
    <row r="278" spans="1:10" x14ac:dyDescent="0.3">
      <c r="A278">
        <v>276</v>
      </c>
      <c r="B278">
        <v>5377</v>
      </c>
      <c r="C278" t="b">
        <v>1</v>
      </c>
      <c r="D278">
        <v>8152</v>
      </c>
      <c r="E278">
        <v>8129</v>
      </c>
      <c r="F278">
        <v>296.13333</v>
      </c>
      <c r="G278">
        <v>214.33332999999999</v>
      </c>
      <c r="H278">
        <v>1.3816485000000001</v>
      </c>
      <c r="I278">
        <v>-0.38164853999999998</v>
      </c>
      <c r="J278">
        <v>0.41987722999999999</v>
      </c>
    </row>
    <row r="279" spans="1:10" x14ac:dyDescent="0.3">
      <c r="A279">
        <v>277</v>
      </c>
      <c r="B279">
        <v>5393</v>
      </c>
      <c r="C279" t="b">
        <v>1</v>
      </c>
      <c r="D279">
        <v>8129</v>
      </c>
      <c r="E279">
        <v>8146</v>
      </c>
      <c r="F279">
        <v>295.73334</v>
      </c>
      <c r="G279">
        <v>214.73334</v>
      </c>
      <c r="H279">
        <v>1.3772120000000001</v>
      </c>
      <c r="I279">
        <v>-0.37721205000000002</v>
      </c>
      <c r="J279">
        <v>0.42066081999999999</v>
      </c>
    </row>
    <row r="280" spans="1:10" x14ac:dyDescent="0.3">
      <c r="A280">
        <v>278</v>
      </c>
      <c r="B280">
        <v>5408</v>
      </c>
      <c r="C280" t="b">
        <v>1</v>
      </c>
      <c r="D280">
        <v>8169</v>
      </c>
      <c r="E280">
        <v>8105</v>
      </c>
      <c r="F280">
        <v>294.2</v>
      </c>
      <c r="G280">
        <v>214.4</v>
      </c>
      <c r="H280">
        <v>1.3722015999999999</v>
      </c>
      <c r="I280">
        <v>-0.37220160000000002</v>
      </c>
      <c r="J280">
        <v>0.42154932000000001</v>
      </c>
    </row>
    <row r="281" spans="1:10" x14ac:dyDescent="0.3">
      <c r="A281">
        <v>279</v>
      </c>
      <c r="B281">
        <v>5425</v>
      </c>
      <c r="C281" t="b">
        <v>1</v>
      </c>
      <c r="D281">
        <v>8129</v>
      </c>
      <c r="E281">
        <v>8129</v>
      </c>
      <c r="F281">
        <v>292.66665999999998</v>
      </c>
      <c r="G281">
        <v>214.8</v>
      </c>
      <c r="H281">
        <v>1.3625077000000001</v>
      </c>
      <c r="I281">
        <v>-0.36250769999999999</v>
      </c>
      <c r="J281">
        <v>0.42327904999999999</v>
      </c>
    </row>
    <row r="282" spans="1:10" x14ac:dyDescent="0.3">
      <c r="A282">
        <v>280</v>
      </c>
      <c r="B282">
        <v>5440</v>
      </c>
      <c r="C282" t="b">
        <v>1</v>
      </c>
      <c r="D282">
        <v>8135</v>
      </c>
      <c r="E282">
        <v>8134</v>
      </c>
      <c r="F282">
        <v>291.53332999999998</v>
      </c>
      <c r="G282">
        <v>215.2</v>
      </c>
      <c r="H282">
        <v>1.3547088</v>
      </c>
      <c r="I282">
        <v>-0.35470879999999999</v>
      </c>
      <c r="J282">
        <v>0.42468095</v>
      </c>
    </row>
    <row r="283" spans="1:10" x14ac:dyDescent="0.3">
      <c r="A283">
        <v>281</v>
      </c>
      <c r="B283">
        <v>5456</v>
      </c>
      <c r="C283" t="b">
        <v>1</v>
      </c>
      <c r="D283">
        <v>8158</v>
      </c>
      <c r="E283">
        <v>8140</v>
      </c>
      <c r="F283">
        <v>290.39999999999998</v>
      </c>
      <c r="G283">
        <v>215.93333000000001</v>
      </c>
      <c r="H283">
        <v>1.3448595000000001</v>
      </c>
      <c r="I283">
        <v>-0.34485948</v>
      </c>
      <c r="J283">
        <v>0.42646479999999998</v>
      </c>
    </row>
    <row r="284" spans="1:10" x14ac:dyDescent="0.3">
      <c r="A284">
        <v>282</v>
      </c>
      <c r="B284">
        <v>5472</v>
      </c>
      <c r="C284" t="b">
        <v>1</v>
      </c>
      <c r="D284">
        <v>8163</v>
      </c>
      <c r="E284">
        <v>8152</v>
      </c>
      <c r="F284">
        <v>290.8</v>
      </c>
      <c r="G284">
        <v>216.26666</v>
      </c>
      <c r="H284">
        <v>1.3446362000000001</v>
      </c>
      <c r="I284">
        <v>-0.34463622999999999</v>
      </c>
      <c r="J284">
        <v>0.42650539999999998</v>
      </c>
    </row>
    <row r="285" spans="1:10" x14ac:dyDescent="0.3">
      <c r="A285">
        <v>283</v>
      </c>
      <c r="B285">
        <v>5488</v>
      </c>
      <c r="C285" t="b">
        <v>1</v>
      </c>
      <c r="D285">
        <v>8129</v>
      </c>
      <c r="E285">
        <v>8140</v>
      </c>
      <c r="F285">
        <v>290.8</v>
      </c>
      <c r="G285">
        <v>217.4</v>
      </c>
      <c r="H285">
        <v>1.3376265000000001</v>
      </c>
      <c r="I285">
        <v>-0.3376265</v>
      </c>
      <c r="J285">
        <v>0.42778434999999998</v>
      </c>
    </row>
    <row r="286" spans="1:10" x14ac:dyDescent="0.3">
      <c r="A286">
        <v>284</v>
      </c>
      <c r="B286">
        <v>5504</v>
      </c>
      <c r="C286" t="b">
        <v>1</v>
      </c>
      <c r="D286">
        <v>8192</v>
      </c>
      <c r="E286">
        <v>8117</v>
      </c>
      <c r="F286">
        <v>293.13333</v>
      </c>
      <c r="G286">
        <v>218.13333</v>
      </c>
      <c r="H286">
        <v>1.3438264</v>
      </c>
      <c r="I286">
        <v>-0.34382639999999998</v>
      </c>
      <c r="J286">
        <v>0.42665276000000002</v>
      </c>
    </row>
    <row r="287" spans="1:10" x14ac:dyDescent="0.3">
      <c r="A287">
        <v>285</v>
      </c>
      <c r="B287">
        <v>5520</v>
      </c>
      <c r="C287" t="b">
        <v>1</v>
      </c>
      <c r="D287">
        <v>8146</v>
      </c>
      <c r="E287">
        <v>8129</v>
      </c>
      <c r="F287">
        <v>294.33334000000002</v>
      </c>
      <c r="G287">
        <v>218.53334000000001</v>
      </c>
      <c r="H287">
        <v>1.3468578</v>
      </c>
      <c r="I287">
        <v>-0.34685785000000002</v>
      </c>
      <c r="J287">
        <v>0.42610162000000001</v>
      </c>
    </row>
    <row r="288" spans="1:10" x14ac:dyDescent="0.3">
      <c r="A288">
        <v>286</v>
      </c>
      <c r="B288">
        <v>5536</v>
      </c>
      <c r="C288" t="b">
        <v>1</v>
      </c>
      <c r="D288">
        <v>8135</v>
      </c>
      <c r="E288">
        <v>8140</v>
      </c>
      <c r="F288">
        <v>294.73334</v>
      </c>
      <c r="G288">
        <v>218.93333000000001</v>
      </c>
      <c r="H288">
        <v>1.3462242</v>
      </c>
      <c r="I288">
        <v>-0.34622413000000002</v>
      </c>
      <c r="J288">
        <v>0.42621671999999999</v>
      </c>
    </row>
    <row r="289" spans="1:10" x14ac:dyDescent="0.3">
      <c r="A289">
        <v>287</v>
      </c>
      <c r="B289">
        <v>5552</v>
      </c>
      <c r="C289" t="b">
        <v>1</v>
      </c>
      <c r="D289">
        <v>8123</v>
      </c>
      <c r="E289">
        <v>8176</v>
      </c>
      <c r="F289">
        <v>295.53332999999998</v>
      </c>
      <c r="G289">
        <v>219.33332999999999</v>
      </c>
      <c r="H289">
        <v>1.3474164</v>
      </c>
      <c r="I289">
        <v>-0.34741640000000001</v>
      </c>
      <c r="J289">
        <v>0.42600027000000001</v>
      </c>
    </row>
    <row r="290" spans="1:10" x14ac:dyDescent="0.3">
      <c r="A290">
        <v>288</v>
      </c>
      <c r="B290">
        <v>5567</v>
      </c>
      <c r="C290" t="b">
        <v>1</v>
      </c>
      <c r="D290">
        <v>8152</v>
      </c>
      <c r="E290">
        <v>8123</v>
      </c>
      <c r="F290">
        <v>297.06668000000002</v>
      </c>
      <c r="G290">
        <v>219</v>
      </c>
      <c r="H290">
        <v>1.3564689000000001</v>
      </c>
      <c r="I290">
        <v>-0.35646886</v>
      </c>
      <c r="J290">
        <v>0.42436380000000001</v>
      </c>
    </row>
    <row r="291" spans="1:10" x14ac:dyDescent="0.3">
      <c r="A291">
        <v>289</v>
      </c>
      <c r="B291">
        <v>5584</v>
      </c>
      <c r="C291" t="b">
        <v>1</v>
      </c>
      <c r="D291">
        <v>8140</v>
      </c>
      <c r="E291">
        <v>8134</v>
      </c>
      <c r="F291">
        <v>298.2</v>
      </c>
      <c r="G291">
        <v>219</v>
      </c>
      <c r="H291">
        <v>1.3616439</v>
      </c>
      <c r="I291">
        <v>-0.36164387999999997</v>
      </c>
      <c r="J291">
        <v>0.42343386999999999</v>
      </c>
    </row>
    <row r="292" spans="1:10" x14ac:dyDescent="0.3">
      <c r="A292">
        <v>290</v>
      </c>
      <c r="B292">
        <v>5599</v>
      </c>
      <c r="C292" t="b">
        <v>1</v>
      </c>
      <c r="D292">
        <v>8129</v>
      </c>
      <c r="E292">
        <v>8146</v>
      </c>
      <c r="F292">
        <v>299</v>
      </c>
      <c r="G292">
        <v>219.4</v>
      </c>
      <c r="H292">
        <v>1.3628077999999999</v>
      </c>
      <c r="I292">
        <v>-0.36280770000000001</v>
      </c>
      <c r="J292">
        <v>0.42322527999999998</v>
      </c>
    </row>
    <row r="293" spans="1:10" x14ac:dyDescent="0.3">
      <c r="A293">
        <v>291</v>
      </c>
      <c r="B293">
        <v>5615</v>
      </c>
      <c r="C293" t="b">
        <v>1</v>
      </c>
      <c r="D293">
        <v>8106</v>
      </c>
      <c r="E293">
        <v>8111</v>
      </c>
      <c r="F293">
        <v>299.39999999999998</v>
      </c>
      <c r="G293">
        <v>219.73334</v>
      </c>
      <c r="H293">
        <v>1.3625605999999999</v>
      </c>
      <c r="I293">
        <v>-0.36256062999999999</v>
      </c>
      <c r="J293">
        <v>0.42326960000000002</v>
      </c>
    </row>
    <row r="294" spans="1:10" x14ac:dyDescent="0.3">
      <c r="A294">
        <v>292</v>
      </c>
      <c r="B294">
        <v>5647</v>
      </c>
      <c r="C294" t="b">
        <v>1</v>
      </c>
      <c r="D294">
        <v>8152</v>
      </c>
      <c r="E294">
        <v>8140</v>
      </c>
      <c r="F294">
        <v>300.53332999999998</v>
      </c>
      <c r="G294">
        <v>220.06666999999999</v>
      </c>
      <c r="H294">
        <v>1.3656467000000001</v>
      </c>
      <c r="I294">
        <v>-0.36564675000000002</v>
      </c>
      <c r="J294">
        <v>0.42271740000000002</v>
      </c>
    </row>
    <row r="295" spans="1:10" x14ac:dyDescent="0.3">
      <c r="A295">
        <v>293</v>
      </c>
      <c r="B295">
        <v>5679</v>
      </c>
      <c r="C295" t="b">
        <v>1</v>
      </c>
      <c r="D295">
        <v>8111</v>
      </c>
      <c r="E295">
        <v>8158</v>
      </c>
      <c r="F295">
        <v>300.53332999999998</v>
      </c>
      <c r="G295">
        <v>220.8</v>
      </c>
      <c r="H295">
        <v>1.361111</v>
      </c>
      <c r="I295">
        <v>-0.36111103999999999</v>
      </c>
      <c r="J295">
        <v>0.42352944999999997</v>
      </c>
    </row>
    <row r="296" spans="1:10" x14ac:dyDescent="0.3">
      <c r="A296">
        <v>294</v>
      </c>
      <c r="B296">
        <v>5695</v>
      </c>
      <c r="C296" t="b">
        <v>1</v>
      </c>
      <c r="D296">
        <v>8169</v>
      </c>
      <c r="E296">
        <v>8129</v>
      </c>
      <c r="F296">
        <v>300.53332999999998</v>
      </c>
      <c r="G296">
        <v>221.53334000000001</v>
      </c>
      <c r="H296">
        <v>1.3566054000000001</v>
      </c>
      <c r="I296">
        <v>-0.35660540000000002</v>
      </c>
      <c r="J296">
        <v>0.42433920000000003</v>
      </c>
    </row>
    <row r="297" spans="1:10" x14ac:dyDescent="0.3">
      <c r="A297">
        <v>295</v>
      </c>
      <c r="B297">
        <v>5711</v>
      </c>
      <c r="C297" t="b">
        <v>1</v>
      </c>
      <c r="D297">
        <v>8158</v>
      </c>
      <c r="E297">
        <v>8134</v>
      </c>
      <c r="F297">
        <v>301.66665999999998</v>
      </c>
      <c r="G297">
        <v>221.86667</v>
      </c>
      <c r="H297">
        <v>1.3596754</v>
      </c>
      <c r="I297">
        <v>-0.35967544000000001</v>
      </c>
      <c r="J297">
        <v>0.42378710000000003</v>
      </c>
    </row>
    <row r="298" spans="1:10" x14ac:dyDescent="0.3">
      <c r="A298">
        <v>296</v>
      </c>
      <c r="B298">
        <v>5727</v>
      </c>
      <c r="C298" t="b">
        <v>1</v>
      </c>
      <c r="D298">
        <v>8152</v>
      </c>
      <c r="E298">
        <v>8146</v>
      </c>
      <c r="F298">
        <v>302.8</v>
      </c>
      <c r="G298">
        <v>222.26666</v>
      </c>
      <c r="H298">
        <v>1.3623274999999999</v>
      </c>
      <c r="I298">
        <v>-0.36232752000000001</v>
      </c>
      <c r="J298">
        <v>0.42331131999999999</v>
      </c>
    </row>
    <row r="299" spans="1:10" x14ac:dyDescent="0.3">
      <c r="A299">
        <v>297</v>
      </c>
      <c r="B299">
        <v>5742</v>
      </c>
      <c r="C299" t="b">
        <v>1</v>
      </c>
      <c r="D299">
        <v>8123</v>
      </c>
      <c r="E299">
        <v>8158</v>
      </c>
      <c r="F299">
        <v>302.39999999999998</v>
      </c>
      <c r="G299">
        <v>223.06666999999999</v>
      </c>
      <c r="H299">
        <v>1.3556485</v>
      </c>
      <c r="I299">
        <v>-0.35564852000000002</v>
      </c>
      <c r="J299">
        <v>0.42451151999999998</v>
      </c>
    </row>
    <row r="300" spans="1:10" x14ac:dyDescent="0.3">
      <c r="A300">
        <v>298</v>
      </c>
      <c r="B300">
        <v>5758</v>
      </c>
      <c r="C300" t="b">
        <v>1</v>
      </c>
      <c r="D300">
        <v>8117</v>
      </c>
      <c r="E300">
        <v>8140</v>
      </c>
      <c r="F300">
        <v>303.53332999999998</v>
      </c>
      <c r="G300">
        <v>223.06666999999999</v>
      </c>
      <c r="H300">
        <v>1.3607292</v>
      </c>
      <c r="I300">
        <v>-0.36072920000000003</v>
      </c>
      <c r="J300">
        <v>0.42359793000000001</v>
      </c>
    </row>
    <row r="301" spans="1:10" x14ac:dyDescent="0.3">
      <c r="A301">
        <v>299</v>
      </c>
      <c r="B301">
        <v>5774</v>
      </c>
      <c r="C301" t="b">
        <v>1</v>
      </c>
      <c r="D301">
        <v>8158</v>
      </c>
      <c r="E301">
        <v>8140</v>
      </c>
      <c r="F301">
        <v>303.13333</v>
      </c>
      <c r="G301">
        <v>223.06666999999999</v>
      </c>
      <c r="H301">
        <v>1.3589361</v>
      </c>
      <c r="I301">
        <v>-0.35893604000000001</v>
      </c>
      <c r="J301">
        <v>0.42391992000000001</v>
      </c>
    </row>
    <row r="302" spans="1:10" x14ac:dyDescent="0.3">
      <c r="A302">
        <v>300</v>
      </c>
      <c r="B302">
        <v>5790</v>
      </c>
      <c r="C302" t="b">
        <v>1</v>
      </c>
      <c r="D302">
        <v>8146</v>
      </c>
      <c r="E302">
        <v>8129</v>
      </c>
      <c r="F302">
        <v>302.33334000000002</v>
      </c>
      <c r="G302">
        <v>223.06666999999999</v>
      </c>
      <c r="H302">
        <v>1.3553497999999999</v>
      </c>
      <c r="I302">
        <v>-0.35534971999999998</v>
      </c>
      <c r="J302">
        <v>0.42456537</v>
      </c>
    </row>
    <row r="303" spans="1:10" x14ac:dyDescent="0.3">
      <c r="A303">
        <v>301</v>
      </c>
      <c r="B303">
        <v>5806</v>
      </c>
      <c r="C303" t="b">
        <v>1</v>
      </c>
      <c r="D303">
        <v>8129</v>
      </c>
      <c r="E303">
        <v>8111</v>
      </c>
      <c r="F303">
        <v>301.2</v>
      </c>
      <c r="G303">
        <v>223.06666999999999</v>
      </c>
      <c r="H303">
        <v>1.3502691</v>
      </c>
      <c r="I303">
        <v>-0.35026905000000003</v>
      </c>
      <c r="J303">
        <v>0.42548322999999999</v>
      </c>
    </row>
    <row r="304" spans="1:10" x14ac:dyDescent="0.3">
      <c r="A304">
        <v>302</v>
      </c>
      <c r="B304">
        <v>5821</v>
      </c>
      <c r="C304" t="b">
        <v>1</v>
      </c>
      <c r="D304">
        <v>8135</v>
      </c>
      <c r="E304">
        <v>8164</v>
      </c>
      <c r="F304">
        <v>301.2</v>
      </c>
      <c r="G304">
        <v>223.06666999999999</v>
      </c>
      <c r="H304">
        <v>1.3502691</v>
      </c>
      <c r="I304">
        <v>-0.35026905000000003</v>
      </c>
      <c r="J304">
        <v>0.42548322999999999</v>
      </c>
    </row>
    <row r="305" spans="1:10" x14ac:dyDescent="0.3">
      <c r="A305">
        <v>303</v>
      </c>
      <c r="B305">
        <v>5837</v>
      </c>
      <c r="C305" t="b">
        <v>1</v>
      </c>
      <c r="D305">
        <v>8140</v>
      </c>
      <c r="E305">
        <v>8129</v>
      </c>
      <c r="F305">
        <v>300.8</v>
      </c>
      <c r="G305">
        <v>223.06666999999999</v>
      </c>
      <c r="H305">
        <v>1.3484757000000001</v>
      </c>
      <c r="I305">
        <v>-0.34847574999999997</v>
      </c>
      <c r="J305">
        <v>0.42580810000000002</v>
      </c>
    </row>
    <row r="306" spans="1:10" x14ac:dyDescent="0.3">
      <c r="A306">
        <v>304</v>
      </c>
      <c r="B306">
        <v>5853</v>
      </c>
      <c r="C306" t="b">
        <v>1</v>
      </c>
      <c r="D306">
        <v>8123</v>
      </c>
      <c r="E306">
        <v>8140</v>
      </c>
      <c r="F306">
        <v>300.46667000000002</v>
      </c>
      <c r="G306">
        <v>222.73334</v>
      </c>
      <c r="H306">
        <v>1.3489974</v>
      </c>
      <c r="I306">
        <v>-0.34899732</v>
      </c>
      <c r="J306">
        <v>0.42571356999999999</v>
      </c>
    </row>
    <row r="307" spans="1:10" x14ac:dyDescent="0.3">
      <c r="A307">
        <v>305</v>
      </c>
      <c r="B307">
        <v>5869</v>
      </c>
      <c r="C307" t="b">
        <v>1</v>
      </c>
      <c r="D307">
        <v>8146</v>
      </c>
      <c r="E307">
        <v>8146</v>
      </c>
      <c r="F307">
        <v>300.46667000000002</v>
      </c>
      <c r="G307">
        <v>222.73334</v>
      </c>
      <c r="H307">
        <v>1.3489974</v>
      </c>
      <c r="I307">
        <v>-0.34899732</v>
      </c>
      <c r="J307">
        <v>0.42571356999999999</v>
      </c>
    </row>
    <row r="308" spans="1:10" x14ac:dyDescent="0.3">
      <c r="A308">
        <v>306</v>
      </c>
      <c r="B308">
        <v>5885</v>
      </c>
      <c r="C308" t="b">
        <v>1</v>
      </c>
      <c r="D308">
        <v>8140</v>
      </c>
      <c r="E308">
        <v>8152</v>
      </c>
      <c r="F308">
        <v>301.2</v>
      </c>
      <c r="G308">
        <v>223.53334000000001</v>
      </c>
      <c r="H308">
        <v>1.34745</v>
      </c>
      <c r="I308">
        <v>-0.34745005000000001</v>
      </c>
      <c r="J308">
        <v>0.42599416000000001</v>
      </c>
    </row>
    <row r="309" spans="1:10" x14ac:dyDescent="0.3">
      <c r="A309">
        <v>307</v>
      </c>
      <c r="B309">
        <v>5901</v>
      </c>
      <c r="C309" t="b">
        <v>1</v>
      </c>
      <c r="D309">
        <v>8100</v>
      </c>
      <c r="E309">
        <v>8123</v>
      </c>
      <c r="F309">
        <v>301.2</v>
      </c>
      <c r="G309">
        <v>223.93333000000001</v>
      </c>
      <c r="H309">
        <v>1.3450432000000001</v>
      </c>
      <c r="I309">
        <v>-0.34504319999999999</v>
      </c>
      <c r="J309">
        <v>0.42643135999999998</v>
      </c>
    </row>
    <row r="310" spans="1:10" x14ac:dyDescent="0.3">
      <c r="A310">
        <v>308</v>
      </c>
      <c r="B310">
        <v>5917</v>
      </c>
      <c r="C310" t="b">
        <v>1</v>
      </c>
      <c r="D310">
        <v>8135</v>
      </c>
      <c r="E310">
        <v>8152</v>
      </c>
      <c r="F310">
        <v>301.60000000000002</v>
      </c>
      <c r="G310">
        <v>224.33332999999999</v>
      </c>
      <c r="H310">
        <v>1.344428</v>
      </c>
      <c r="I310">
        <v>-0.34442800000000001</v>
      </c>
      <c r="J310">
        <v>0.42654326999999997</v>
      </c>
    </row>
    <row r="311" spans="1:10" x14ac:dyDescent="0.3">
      <c r="A311">
        <v>309</v>
      </c>
      <c r="B311">
        <v>5932</v>
      </c>
      <c r="C311" t="b">
        <v>1</v>
      </c>
      <c r="D311">
        <v>8111</v>
      </c>
      <c r="E311">
        <v>8152</v>
      </c>
      <c r="F311">
        <v>302</v>
      </c>
      <c r="G311">
        <v>225.13333</v>
      </c>
      <c r="H311">
        <v>1.3414273000000001</v>
      </c>
      <c r="I311">
        <v>-0.34142732999999997</v>
      </c>
      <c r="J311">
        <v>0.42708993000000001</v>
      </c>
    </row>
    <row r="312" spans="1:10" x14ac:dyDescent="0.3">
      <c r="A312">
        <v>310</v>
      </c>
      <c r="B312">
        <v>5948</v>
      </c>
      <c r="C312" t="b">
        <v>1</v>
      </c>
      <c r="D312">
        <v>8135</v>
      </c>
      <c r="E312">
        <v>8129</v>
      </c>
      <c r="F312">
        <v>300.86667</v>
      </c>
      <c r="G312">
        <v>226.33332999999999</v>
      </c>
      <c r="H312">
        <v>1.3293078</v>
      </c>
      <c r="I312">
        <v>-0.32930785000000001</v>
      </c>
      <c r="J312">
        <v>0.42931207999999998</v>
      </c>
    </row>
    <row r="313" spans="1:10" x14ac:dyDescent="0.3">
      <c r="A313">
        <v>311</v>
      </c>
      <c r="B313">
        <v>5964</v>
      </c>
      <c r="C313" t="b">
        <v>1</v>
      </c>
      <c r="D313">
        <v>8152</v>
      </c>
      <c r="E313">
        <v>8117</v>
      </c>
      <c r="F313">
        <v>299.73334</v>
      </c>
      <c r="G313">
        <v>225.6</v>
      </c>
      <c r="H313">
        <v>1.3286051999999999</v>
      </c>
      <c r="I313">
        <v>-0.32860518</v>
      </c>
      <c r="J313">
        <v>0.42944159999999998</v>
      </c>
    </row>
    <row r="314" spans="1:10" x14ac:dyDescent="0.3">
      <c r="A314">
        <v>312</v>
      </c>
      <c r="B314">
        <v>5996</v>
      </c>
      <c r="C314" t="b">
        <v>1</v>
      </c>
      <c r="D314">
        <v>8140</v>
      </c>
      <c r="E314">
        <v>8099</v>
      </c>
      <c r="F314">
        <v>298.60000000000002</v>
      </c>
      <c r="G314">
        <v>224.46665999999999</v>
      </c>
      <c r="H314">
        <v>1.3302643999999999</v>
      </c>
      <c r="I314">
        <v>-0.33026440000000001</v>
      </c>
      <c r="J314">
        <v>0.42913585999999998</v>
      </c>
    </row>
    <row r="315" spans="1:10" x14ac:dyDescent="0.3">
      <c r="A315">
        <v>313</v>
      </c>
      <c r="B315">
        <v>6011</v>
      </c>
      <c r="C315" t="b">
        <v>1</v>
      </c>
      <c r="D315">
        <v>8135</v>
      </c>
      <c r="E315">
        <v>8158</v>
      </c>
      <c r="F315">
        <v>297.46667000000002</v>
      </c>
      <c r="G315">
        <v>223.73334</v>
      </c>
      <c r="H315">
        <v>1.3295589999999999</v>
      </c>
      <c r="I315">
        <v>-0.32955899999999999</v>
      </c>
      <c r="J315">
        <v>0.42926579999999998</v>
      </c>
    </row>
    <row r="316" spans="1:10" x14ac:dyDescent="0.3">
      <c r="A316">
        <v>314</v>
      </c>
      <c r="B316">
        <v>6028</v>
      </c>
      <c r="C316" t="b">
        <v>1</v>
      </c>
      <c r="D316">
        <v>8158</v>
      </c>
      <c r="E316">
        <v>8134</v>
      </c>
      <c r="F316">
        <v>296.66665999999998</v>
      </c>
      <c r="G316">
        <v>223</v>
      </c>
      <c r="H316">
        <v>1.3303437</v>
      </c>
      <c r="I316">
        <v>-0.33034374999999999</v>
      </c>
      <c r="J316">
        <v>0.42912126</v>
      </c>
    </row>
    <row r="317" spans="1:10" x14ac:dyDescent="0.3">
      <c r="A317">
        <v>315</v>
      </c>
      <c r="B317">
        <v>6044</v>
      </c>
      <c r="C317" t="b">
        <v>1</v>
      </c>
      <c r="D317">
        <v>8117</v>
      </c>
      <c r="E317">
        <v>8134</v>
      </c>
      <c r="F317">
        <v>296.26666</v>
      </c>
      <c r="G317">
        <v>222.6</v>
      </c>
      <c r="H317">
        <v>1.3309374</v>
      </c>
      <c r="I317">
        <v>-0.33093736000000001</v>
      </c>
      <c r="J317">
        <v>0.42901193999999998</v>
      </c>
    </row>
    <row r="318" spans="1:10" x14ac:dyDescent="0.3">
      <c r="A318">
        <v>316</v>
      </c>
      <c r="B318">
        <v>6059</v>
      </c>
      <c r="C318" t="b">
        <v>1</v>
      </c>
      <c r="D318">
        <v>8140</v>
      </c>
      <c r="E318">
        <v>8129</v>
      </c>
      <c r="F318">
        <v>297</v>
      </c>
      <c r="G318">
        <v>222.2</v>
      </c>
      <c r="H318">
        <v>1.3366336999999999</v>
      </c>
      <c r="I318">
        <v>-0.33663367999999999</v>
      </c>
      <c r="J318">
        <v>0.42796610000000002</v>
      </c>
    </row>
    <row r="319" spans="1:10" x14ac:dyDescent="0.3">
      <c r="A319">
        <v>317</v>
      </c>
      <c r="B319">
        <v>6075</v>
      </c>
      <c r="C319" t="b">
        <v>1</v>
      </c>
      <c r="D319">
        <v>8123</v>
      </c>
      <c r="E319">
        <v>8117</v>
      </c>
      <c r="F319">
        <v>297</v>
      </c>
      <c r="G319">
        <v>221.8</v>
      </c>
      <c r="H319">
        <v>1.3390442</v>
      </c>
      <c r="I319">
        <v>-0.33904414999999999</v>
      </c>
      <c r="J319">
        <v>0.42752507000000001</v>
      </c>
    </row>
    <row r="320" spans="1:10" x14ac:dyDescent="0.3">
      <c r="A320">
        <v>318</v>
      </c>
      <c r="B320">
        <v>6091</v>
      </c>
      <c r="C320" t="b">
        <v>1</v>
      </c>
      <c r="D320">
        <v>8152</v>
      </c>
      <c r="E320">
        <v>8123</v>
      </c>
      <c r="F320">
        <v>297</v>
      </c>
      <c r="G320">
        <v>221.8</v>
      </c>
      <c r="H320">
        <v>1.3390442</v>
      </c>
      <c r="I320">
        <v>-0.33904414999999999</v>
      </c>
      <c r="J320">
        <v>0.42752507000000001</v>
      </c>
    </row>
    <row r="321" spans="1:10" x14ac:dyDescent="0.3">
      <c r="A321">
        <v>319</v>
      </c>
      <c r="B321">
        <v>6107</v>
      </c>
      <c r="C321" t="b">
        <v>1</v>
      </c>
      <c r="D321">
        <v>8175</v>
      </c>
      <c r="E321">
        <v>8134</v>
      </c>
      <c r="F321">
        <v>297.33334000000002</v>
      </c>
      <c r="G321">
        <v>221.8</v>
      </c>
      <c r="H321">
        <v>1.3405471</v>
      </c>
      <c r="I321">
        <v>-0.34054706000000001</v>
      </c>
      <c r="J321">
        <v>0.42725053000000002</v>
      </c>
    </row>
    <row r="322" spans="1:10" x14ac:dyDescent="0.3">
      <c r="A322">
        <v>320</v>
      </c>
      <c r="B322">
        <v>6123</v>
      </c>
      <c r="C322" t="b">
        <v>1</v>
      </c>
      <c r="D322">
        <v>8152</v>
      </c>
      <c r="E322">
        <v>8146</v>
      </c>
      <c r="F322">
        <v>298.46667000000002</v>
      </c>
      <c r="G322">
        <v>221.06666999999999</v>
      </c>
      <c r="H322">
        <v>1.3501207</v>
      </c>
      <c r="I322">
        <v>-0.35012065999999997</v>
      </c>
      <c r="J322">
        <v>0.42551008000000001</v>
      </c>
    </row>
    <row r="323" spans="1:10" x14ac:dyDescent="0.3">
      <c r="A323">
        <v>321</v>
      </c>
      <c r="B323">
        <v>6138</v>
      </c>
      <c r="C323" t="b">
        <v>1</v>
      </c>
      <c r="D323">
        <v>8158</v>
      </c>
      <c r="E323">
        <v>8146</v>
      </c>
      <c r="F323">
        <v>299.26666</v>
      </c>
      <c r="G323">
        <v>220.26666</v>
      </c>
      <c r="H323">
        <v>1.3586562</v>
      </c>
      <c r="I323">
        <v>-0.35865617</v>
      </c>
      <c r="J323">
        <v>0.42397022000000001</v>
      </c>
    </row>
    <row r="324" spans="1:10" x14ac:dyDescent="0.3">
      <c r="A324">
        <v>322</v>
      </c>
      <c r="B324">
        <v>6154</v>
      </c>
      <c r="C324" t="b">
        <v>1</v>
      </c>
      <c r="D324">
        <v>8123</v>
      </c>
      <c r="E324">
        <v>8146</v>
      </c>
      <c r="F324">
        <v>300.06668000000002</v>
      </c>
      <c r="G324">
        <v>220.66667000000001</v>
      </c>
      <c r="H324">
        <v>1.3598188</v>
      </c>
      <c r="I324">
        <v>-0.35981876000000002</v>
      </c>
      <c r="J324">
        <v>0.42376137000000003</v>
      </c>
    </row>
    <row r="325" spans="1:10" x14ac:dyDescent="0.3">
      <c r="A325">
        <v>323</v>
      </c>
      <c r="B325">
        <v>6170</v>
      </c>
      <c r="C325" t="b">
        <v>1</v>
      </c>
      <c r="D325">
        <v>8158</v>
      </c>
      <c r="E325">
        <v>8146</v>
      </c>
      <c r="F325">
        <v>301.60000000000002</v>
      </c>
      <c r="G325">
        <v>220.66667000000001</v>
      </c>
      <c r="H325">
        <v>1.3667674000000001</v>
      </c>
      <c r="I325">
        <v>-0.36676737999999998</v>
      </c>
      <c r="J325">
        <v>0.42251724000000002</v>
      </c>
    </row>
    <row r="326" spans="1:10" x14ac:dyDescent="0.3">
      <c r="A326">
        <v>324</v>
      </c>
      <c r="B326">
        <v>6186</v>
      </c>
      <c r="C326" t="b">
        <v>1</v>
      </c>
      <c r="D326">
        <v>8123</v>
      </c>
      <c r="E326">
        <v>8129</v>
      </c>
      <c r="F326">
        <v>302.73334</v>
      </c>
      <c r="G326">
        <v>220.26666</v>
      </c>
      <c r="H326">
        <v>1.3743947999999999</v>
      </c>
      <c r="I326">
        <v>-0.37439470000000002</v>
      </c>
      <c r="J326">
        <v>0.42115995000000001</v>
      </c>
    </row>
    <row r="327" spans="1:10" x14ac:dyDescent="0.3">
      <c r="A327">
        <v>325</v>
      </c>
      <c r="B327">
        <v>6202</v>
      </c>
      <c r="C327" t="b">
        <v>1</v>
      </c>
      <c r="D327">
        <v>8158</v>
      </c>
      <c r="E327">
        <v>8129</v>
      </c>
      <c r="F327">
        <v>304.26666</v>
      </c>
      <c r="G327">
        <v>219.86667</v>
      </c>
      <c r="H327">
        <v>1.3838689</v>
      </c>
      <c r="I327">
        <v>-0.38386900000000002</v>
      </c>
      <c r="J327">
        <v>0.41948616999999999</v>
      </c>
    </row>
    <row r="328" spans="1:10" x14ac:dyDescent="0.3">
      <c r="A328">
        <v>326</v>
      </c>
      <c r="B328">
        <v>6218</v>
      </c>
      <c r="C328" t="b">
        <v>1</v>
      </c>
      <c r="D328">
        <v>8123</v>
      </c>
      <c r="E328">
        <v>8123</v>
      </c>
      <c r="F328">
        <v>303.46667000000002</v>
      </c>
      <c r="G328">
        <v>219.86667</v>
      </c>
      <c r="H328">
        <v>1.3802304000000001</v>
      </c>
      <c r="I328">
        <v>-0.38023045999999999</v>
      </c>
      <c r="J328">
        <v>0.42012736000000001</v>
      </c>
    </row>
    <row r="329" spans="1:10" x14ac:dyDescent="0.3">
      <c r="A329">
        <v>327</v>
      </c>
      <c r="B329">
        <v>6234</v>
      </c>
      <c r="C329" t="b">
        <v>1</v>
      </c>
      <c r="D329">
        <v>8117</v>
      </c>
      <c r="E329">
        <v>8146</v>
      </c>
      <c r="F329">
        <v>302.66665999999998</v>
      </c>
      <c r="G329">
        <v>219.86667</v>
      </c>
      <c r="H329">
        <v>1.3765917999999999</v>
      </c>
      <c r="I329">
        <v>-0.37659179999999998</v>
      </c>
      <c r="J329">
        <v>0.42077061999999998</v>
      </c>
    </row>
    <row r="330" spans="1:10" x14ac:dyDescent="0.3">
      <c r="A330">
        <v>328</v>
      </c>
      <c r="B330">
        <v>6250</v>
      </c>
      <c r="C330" t="b">
        <v>1</v>
      </c>
      <c r="D330">
        <v>8140</v>
      </c>
      <c r="E330">
        <v>8140</v>
      </c>
      <c r="F330">
        <v>301.86667</v>
      </c>
      <c r="G330">
        <v>219.86667</v>
      </c>
      <c r="H330">
        <v>1.3729533</v>
      </c>
      <c r="I330">
        <v>-0.37295329999999999</v>
      </c>
      <c r="J330">
        <v>0.42141580000000001</v>
      </c>
    </row>
    <row r="331" spans="1:10" x14ac:dyDescent="0.3">
      <c r="A331">
        <v>329</v>
      </c>
      <c r="B331">
        <v>6266</v>
      </c>
      <c r="C331" t="b">
        <v>1</v>
      </c>
      <c r="D331">
        <v>8146</v>
      </c>
      <c r="E331">
        <v>8129</v>
      </c>
      <c r="F331">
        <v>301.86667</v>
      </c>
      <c r="G331">
        <v>219.86667</v>
      </c>
      <c r="H331">
        <v>1.3729533</v>
      </c>
      <c r="I331">
        <v>-0.37295329999999999</v>
      </c>
      <c r="J331">
        <v>0.42141580000000001</v>
      </c>
    </row>
    <row r="332" spans="1:10" x14ac:dyDescent="0.3">
      <c r="A332">
        <v>330</v>
      </c>
      <c r="B332">
        <v>6282</v>
      </c>
      <c r="C332" t="b">
        <v>1</v>
      </c>
      <c r="D332">
        <v>8129</v>
      </c>
      <c r="E332">
        <v>8123</v>
      </c>
      <c r="F332">
        <v>301.13333</v>
      </c>
      <c r="G332">
        <v>219.53334000000001</v>
      </c>
      <c r="H332">
        <v>1.3716975</v>
      </c>
      <c r="I332">
        <v>-0.37169750000000001</v>
      </c>
      <c r="J332">
        <v>0.42163894000000002</v>
      </c>
    </row>
    <row r="333" spans="1:10" x14ac:dyDescent="0.3">
      <c r="A333">
        <v>331</v>
      </c>
      <c r="B333">
        <v>6314</v>
      </c>
      <c r="C333" t="b">
        <v>1</v>
      </c>
      <c r="D333">
        <v>8106</v>
      </c>
      <c r="E333">
        <v>8158</v>
      </c>
      <c r="F333">
        <v>300.39999999999998</v>
      </c>
      <c r="G333">
        <v>219.93333000000001</v>
      </c>
      <c r="H333">
        <v>1.3658684000000001</v>
      </c>
      <c r="I333">
        <v>-0.36586842000000003</v>
      </c>
      <c r="J333">
        <v>0.42267779999999999</v>
      </c>
    </row>
    <row r="334" spans="1:10" x14ac:dyDescent="0.3">
      <c r="A334">
        <v>332</v>
      </c>
      <c r="B334">
        <v>6345</v>
      </c>
      <c r="C334" t="b">
        <v>1</v>
      </c>
      <c r="D334">
        <v>8175</v>
      </c>
      <c r="E334">
        <v>8158</v>
      </c>
      <c r="F334">
        <v>300.73334</v>
      </c>
      <c r="G334">
        <v>220.33332999999999</v>
      </c>
      <c r="H334">
        <v>1.3649017000000001</v>
      </c>
      <c r="I334">
        <v>-0.36490171999999998</v>
      </c>
      <c r="J334">
        <v>0.42285057999999998</v>
      </c>
    </row>
    <row r="335" spans="1:10" x14ac:dyDescent="0.3">
      <c r="A335">
        <v>333</v>
      </c>
      <c r="B335">
        <v>6361</v>
      </c>
      <c r="C335" t="b">
        <v>1</v>
      </c>
      <c r="D335">
        <v>8111</v>
      </c>
      <c r="E335">
        <v>8182</v>
      </c>
      <c r="F335">
        <v>300</v>
      </c>
      <c r="G335">
        <v>222.26666</v>
      </c>
      <c r="H335">
        <v>1.3497300999999999</v>
      </c>
      <c r="I335">
        <v>-0.34973007</v>
      </c>
      <c r="J335">
        <v>0.42558079999999998</v>
      </c>
    </row>
    <row r="336" spans="1:10" x14ac:dyDescent="0.3">
      <c r="A336">
        <v>334</v>
      </c>
      <c r="B336">
        <v>6377</v>
      </c>
      <c r="C336" t="b">
        <v>1</v>
      </c>
      <c r="D336">
        <v>8100</v>
      </c>
      <c r="E336">
        <v>8129</v>
      </c>
      <c r="F336">
        <v>298.06668000000002</v>
      </c>
      <c r="G336">
        <v>224.2</v>
      </c>
      <c r="H336">
        <v>1.3294678</v>
      </c>
      <c r="I336">
        <v>-0.32946783000000002</v>
      </c>
      <c r="J336">
        <v>0.42928260000000001</v>
      </c>
    </row>
    <row r="337" spans="1:10" x14ac:dyDescent="0.3">
      <c r="A337">
        <v>335</v>
      </c>
      <c r="B337">
        <v>6393</v>
      </c>
      <c r="C337" t="b">
        <v>1</v>
      </c>
      <c r="D337">
        <v>8135</v>
      </c>
      <c r="E337">
        <v>8158</v>
      </c>
      <c r="F337">
        <v>295.33334000000002</v>
      </c>
      <c r="G337">
        <v>226.13333</v>
      </c>
      <c r="H337">
        <v>1.3060141999999999</v>
      </c>
      <c r="I337">
        <v>-0.30601420000000001</v>
      </c>
      <c r="J337">
        <v>0.43364868000000001</v>
      </c>
    </row>
    <row r="338" spans="1:10" x14ac:dyDescent="0.3">
      <c r="A338">
        <v>336</v>
      </c>
      <c r="B338">
        <v>6409</v>
      </c>
      <c r="C338" t="b">
        <v>1</v>
      </c>
      <c r="D338">
        <v>8106</v>
      </c>
      <c r="E338">
        <v>8134</v>
      </c>
      <c r="F338">
        <v>292.60000000000002</v>
      </c>
      <c r="G338">
        <v>227.73334</v>
      </c>
      <c r="H338">
        <v>1.2848360000000001</v>
      </c>
      <c r="I338">
        <v>-0.28483607999999999</v>
      </c>
      <c r="J338">
        <v>0.43766813999999998</v>
      </c>
    </row>
    <row r="339" spans="1:10" x14ac:dyDescent="0.3">
      <c r="A339">
        <v>337</v>
      </c>
      <c r="B339">
        <v>6424</v>
      </c>
      <c r="C339" t="b">
        <v>1</v>
      </c>
      <c r="D339">
        <v>8129</v>
      </c>
      <c r="E339">
        <v>8123</v>
      </c>
      <c r="F339">
        <v>289.86667</v>
      </c>
      <c r="G339">
        <v>226.93333000000001</v>
      </c>
      <c r="H339">
        <v>1.2773209000000001</v>
      </c>
      <c r="I339">
        <v>-0.27732079999999998</v>
      </c>
      <c r="J339">
        <v>0.43911250000000002</v>
      </c>
    </row>
    <row r="340" spans="1:10" x14ac:dyDescent="0.3">
      <c r="A340">
        <v>338</v>
      </c>
      <c r="B340">
        <v>6440</v>
      </c>
      <c r="C340" t="b">
        <v>1</v>
      </c>
      <c r="D340">
        <v>8152</v>
      </c>
      <c r="E340">
        <v>8123</v>
      </c>
      <c r="F340">
        <v>287.93331999999998</v>
      </c>
      <c r="G340">
        <v>225.8</v>
      </c>
      <c r="H340">
        <v>1.2751697</v>
      </c>
      <c r="I340">
        <v>-0.27516970000000002</v>
      </c>
      <c r="J340">
        <v>0.43952763</v>
      </c>
    </row>
    <row r="341" spans="1:10" x14ac:dyDescent="0.3">
      <c r="A341">
        <v>339</v>
      </c>
      <c r="B341">
        <v>6456</v>
      </c>
      <c r="C341" t="b">
        <v>1</v>
      </c>
      <c r="D341">
        <v>8169</v>
      </c>
      <c r="E341">
        <v>8146</v>
      </c>
      <c r="F341">
        <v>286.8</v>
      </c>
      <c r="G341">
        <v>225</v>
      </c>
      <c r="H341">
        <v>1.2746667</v>
      </c>
      <c r="I341">
        <v>-0.27466659999999998</v>
      </c>
      <c r="J341">
        <v>0.43962488</v>
      </c>
    </row>
    <row r="342" spans="1:10" x14ac:dyDescent="0.3">
      <c r="A342">
        <v>340</v>
      </c>
      <c r="B342">
        <v>6473</v>
      </c>
      <c r="C342" t="b">
        <v>1</v>
      </c>
      <c r="D342">
        <v>8163</v>
      </c>
      <c r="E342">
        <v>8146</v>
      </c>
      <c r="F342">
        <v>286.39999999999998</v>
      </c>
      <c r="G342">
        <v>224.2</v>
      </c>
      <c r="H342">
        <v>1.2774308999999999</v>
      </c>
      <c r="I342">
        <v>-0.27743086</v>
      </c>
      <c r="J342">
        <v>0.43909130000000002</v>
      </c>
    </row>
    <row r="343" spans="1:10" x14ac:dyDescent="0.3">
      <c r="A343">
        <v>341</v>
      </c>
      <c r="B343">
        <v>6489</v>
      </c>
      <c r="C343" t="b">
        <v>1</v>
      </c>
      <c r="D343">
        <v>8152</v>
      </c>
      <c r="E343">
        <v>8140</v>
      </c>
      <c r="F343">
        <v>288.33334000000002</v>
      </c>
      <c r="G343">
        <v>224.93333000000001</v>
      </c>
      <c r="H343">
        <v>1.2818613000000001</v>
      </c>
      <c r="I343">
        <v>-0.28186134000000002</v>
      </c>
      <c r="J343">
        <v>0.43823874000000002</v>
      </c>
    </row>
    <row r="344" spans="1:10" x14ac:dyDescent="0.3">
      <c r="A344">
        <v>342</v>
      </c>
      <c r="B344">
        <v>6505</v>
      </c>
      <c r="C344" t="b">
        <v>1</v>
      </c>
      <c r="D344">
        <v>8158</v>
      </c>
      <c r="E344">
        <v>8152</v>
      </c>
      <c r="F344">
        <v>290.66665999999998</v>
      </c>
      <c r="G344">
        <v>226.06666999999999</v>
      </c>
      <c r="H344">
        <v>1.2857563000000001</v>
      </c>
      <c r="I344">
        <v>-0.28575637999999998</v>
      </c>
      <c r="J344">
        <v>0.43749191999999998</v>
      </c>
    </row>
    <row r="345" spans="1:10" x14ac:dyDescent="0.3">
      <c r="A345">
        <v>343</v>
      </c>
      <c r="B345">
        <v>6521</v>
      </c>
      <c r="C345" t="b">
        <v>1</v>
      </c>
      <c r="D345">
        <v>8152</v>
      </c>
      <c r="E345">
        <v>8140</v>
      </c>
      <c r="F345">
        <v>293</v>
      </c>
      <c r="G345">
        <v>227.2</v>
      </c>
      <c r="H345">
        <v>1.2896126999999999</v>
      </c>
      <c r="I345">
        <v>-0.28961268000000001</v>
      </c>
      <c r="J345">
        <v>0.43675510000000001</v>
      </c>
    </row>
    <row r="346" spans="1:10" x14ac:dyDescent="0.3">
      <c r="A346">
        <v>344</v>
      </c>
      <c r="B346">
        <v>6537</v>
      </c>
      <c r="C346" t="b">
        <v>1</v>
      </c>
      <c r="D346">
        <v>8117</v>
      </c>
      <c r="E346">
        <v>8146</v>
      </c>
      <c r="F346">
        <v>293.8</v>
      </c>
      <c r="G346">
        <v>228.33332999999999</v>
      </c>
      <c r="H346">
        <v>1.2867153</v>
      </c>
      <c r="I346">
        <v>-0.28671530000000001</v>
      </c>
      <c r="J346">
        <v>0.43730849999999999</v>
      </c>
    </row>
    <row r="347" spans="1:10" x14ac:dyDescent="0.3">
      <c r="A347">
        <v>345</v>
      </c>
      <c r="B347">
        <v>6553</v>
      </c>
      <c r="C347" t="b">
        <v>1</v>
      </c>
      <c r="D347">
        <v>8140</v>
      </c>
      <c r="E347">
        <v>8140</v>
      </c>
      <c r="F347">
        <v>295.33334000000002</v>
      </c>
      <c r="G347">
        <v>229.06666999999999</v>
      </c>
      <c r="H347">
        <v>1.28929</v>
      </c>
      <c r="I347">
        <v>-0.28928991999999998</v>
      </c>
      <c r="J347">
        <v>0.43681666000000002</v>
      </c>
    </row>
    <row r="348" spans="1:10" x14ac:dyDescent="0.3">
      <c r="A348">
        <v>346</v>
      </c>
      <c r="B348">
        <v>6568</v>
      </c>
      <c r="C348" t="b">
        <v>1</v>
      </c>
      <c r="D348">
        <v>8129</v>
      </c>
      <c r="E348">
        <v>8117</v>
      </c>
      <c r="F348">
        <v>296.06668000000002</v>
      </c>
      <c r="G348">
        <v>229.06666999999999</v>
      </c>
      <c r="H348">
        <v>1.2924913</v>
      </c>
      <c r="I348">
        <v>-0.29249134999999998</v>
      </c>
      <c r="J348">
        <v>0.43620663999999998</v>
      </c>
    </row>
    <row r="349" spans="1:10" x14ac:dyDescent="0.3">
      <c r="A349">
        <v>347</v>
      </c>
      <c r="B349">
        <v>6584</v>
      </c>
      <c r="C349" t="b">
        <v>1</v>
      </c>
      <c r="D349">
        <v>8129</v>
      </c>
      <c r="E349">
        <v>8140</v>
      </c>
      <c r="F349">
        <v>295.33334000000002</v>
      </c>
      <c r="G349">
        <v>229.06666999999999</v>
      </c>
      <c r="H349">
        <v>1.28929</v>
      </c>
      <c r="I349">
        <v>-0.28928991999999998</v>
      </c>
      <c r="J349">
        <v>0.43681666000000002</v>
      </c>
    </row>
    <row r="350" spans="1:10" x14ac:dyDescent="0.3">
      <c r="A350">
        <v>348</v>
      </c>
      <c r="B350">
        <v>6600</v>
      </c>
      <c r="C350" t="b">
        <v>1</v>
      </c>
      <c r="D350">
        <v>8135</v>
      </c>
      <c r="E350">
        <v>8146</v>
      </c>
      <c r="F350">
        <v>295.33334000000002</v>
      </c>
      <c r="G350">
        <v>227.86667</v>
      </c>
      <c r="H350">
        <v>1.2960796000000001</v>
      </c>
      <c r="I350">
        <v>-0.2960796</v>
      </c>
      <c r="J350">
        <v>0.43552497000000001</v>
      </c>
    </row>
    <row r="351" spans="1:10" x14ac:dyDescent="0.3">
      <c r="A351">
        <v>349</v>
      </c>
      <c r="B351">
        <v>6632</v>
      </c>
      <c r="C351" t="b">
        <v>1</v>
      </c>
      <c r="D351">
        <v>8123</v>
      </c>
      <c r="E351">
        <v>8134</v>
      </c>
      <c r="F351">
        <v>296.53332999999998</v>
      </c>
      <c r="G351">
        <v>226.66667000000001</v>
      </c>
      <c r="H351">
        <v>1.3082353</v>
      </c>
      <c r="I351">
        <v>-0.30823523000000003</v>
      </c>
      <c r="J351">
        <v>0.43323138</v>
      </c>
    </row>
    <row r="352" spans="1:10" x14ac:dyDescent="0.3">
      <c r="A352">
        <v>350</v>
      </c>
      <c r="B352">
        <v>6663</v>
      </c>
      <c r="C352" t="b">
        <v>1</v>
      </c>
      <c r="D352">
        <v>8146</v>
      </c>
      <c r="E352">
        <v>8146</v>
      </c>
      <c r="F352">
        <v>297.73334</v>
      </c>
      <c r="G352">
        <v>225.46665999999999</v>
      </c>
      <c r="H352">
        <v>1.3205205</v>
      </c>
      <c r="I352">
        <v>-0.32052046000000001</v>
      </c>
      <c r="J352">
        <v>0.43093779999999998</v>
      </c>
    </row>
    <row r="353" spans="1:10" x14ac:dyDescent="0.3">
      <c r="A353">
        <v>351</v>
      </c>
      <c r="B353">
        <v>6695</v>
      </c>
      <c r="C353" t="b">
        <v>1</v>
      </c>
      <c r="D353">
        <v>8158</v>
      </c>
      <c r="E353">
        <v>8146</v>
      </c>
      <c r="F353">
        <v>299.33334000000002</v>
      </c>
      <c r="G353">
        <v>224.66667000000001</v>
      </c>
      <c r="H353">
        <v>1.3323442000000001</v>
      </c>
      <c r="I353">
        <v>-0.33234423000000002</v>
      </c>
      <c r="J353">
        <v>0.4287532</v>
      </c>
    </row>
    <row r="354" spans="1:10" x14ac:dyDescent="0.3">
      <c r="A354">
        <v>352</v>
      </c>
      <c r="B354">
        <v>6710</v>
      </c>
      <c r="C354" t="b">
        <v>1</v>
      </c>
      <c r="D354">
        <v>8169</v>
      </c>
      <c r="E354">
        <v>8158</v>
      </c>
      <c r="F354">
        <v>301.66665999999998</v>
      </c>
      <c r="G354">
        <v>225.46665999999999</v>
      </c>
      <c r="H354">
        <v>1.3379657</v>
      </c>
      <c r="I354">
        <v>-0.33796569999999998</v>
      </c>
      <c r="J354">
        <v>0.42772228000000001</v>
      </c>
    </row>
    <row r="355" spans="1:10" x14ac:dyDescent="0.3">
      <c r="A355">
        <v>353</v>
      </c>
      <c r="B355">
        <v>6726</v>
      </c>
      <c r="C355" t="b">
        <v>1</v>
      </c>
      <c r="D355">
        <v>8123</v>
      </c>
      <c r="E355">
        <v>8146</v>
      </c>
      <c r="F355">
        <v>302.8</v>
      </c>
      <c r="G355">
        <v>226.6</v>
      </c>
      <c r="H355">
        <v>1.3362753000000001</v>
      </c>
      <c r="I355">
        <v>-0.33627528000000001</v>
      </c>
      <c r="J355">
        <v>0.42803170000000001</v>
      </c>
    </row>
    <row r="356" spans="1:10" x14ac:dyDescent="0.3">
      <c r="A356">
        <v>354</v>
      </c>
      <c r="B356">
        <v>6758</v>
      </c>
      <c r="C356" t="b">
        <v>1</v>
      </c>
      <c r="D356">
        <v>8135</v>
      </c>
      <c r="E356">
        <v>8158</v>
      </c>
      <c r="F356">
        <v>303.53332999999998</v>
      </c>
      <c r="G356">
        <v>227.4</v>
      </c>
      <c r="H356">
        <v>1.3347992</v>
      </c>
      <c r="I356">
        <v>-0.33479916999999998</v>
      </c>
      <c r="J356">
        <v>0.42830235</v>
      </c>
    </row>
    <row r="357" spans="1:10" x14ac:dyDescent="0.3">
      <c r="A357">
        <v>355</v>
      </c>
      <c r="B357">
        <v>6774</v>
      </c>
      <c r="C357" t="b">
        <v>1</v>
      </c>
      <c r="D357">
        <v>8111</v>
      </c>
      <c r="E357">
        <v>8152</v>
      </c>
      <c r="F357">
        <v>302.39999999999998</v>
      </c>
      <c r="G357">
        <v>228.6</v>
      </c>
      <c r="H357">
        <v>1.3228346</v>
      </c>
      <c r="I357">
        <v>-0.32283457999999998</v>
      </c>
      <c r="J357">
        <v>0.43050850000000002</v>
      </c>
    </row>
    <row r="358" spans="1:10" x14ac:dyDescent="0.3">
      <c r="A358">
        <v>356</v>
      </c>
      <c r="B358">
        <v>6790</v>
      </c>
      <c r="C358" t="b">
        <v>1</v>
      </c>
      <c r="D358">
        <v>8146</v>
      </c>
      <c r="E358">
        <v>8140</v>
      </c>
      <c r="F358">
        <v>301.26666</v>
      </c>
      <c r="G358">
        <v>229.4</v>
      </c>
      <c r="H358">
        <v>1.3132809999999999</v>
      </c>
      <c r="I358">
        <v>-0.31328103000000002</v>
      </c>
      <c r="J358">
        <v>0.43228643999999999</v>
      </c>
    </row>
    <row r="359" spans="1:10" x14ac:dyDescent="0.3">
      <c r="A359">
        <v>357</v>
      </c>
      <c r="B359">
        <v>6806</v>
      </c>
      <c r="C359" t="b">
        <v>1</v>
      </c>
      <c r="D359">
        <v>8158</v>
      </c>
      <c r="E359">
        <v>8129</v>
      </c>
      <c r="F359">
        <v>299.73334</v>
      </c>
      <c r="G359">
        <v>229.4</v>
      </c>
      <c r="H359">
        <v>1.306597</v>
      </c>
      <c r="I359">
        <v>-0.30659695999999997</v>
      </c>
      <c r="J359">
        <v>0.43353912</v>
      </c>
    </row>
    <row r="360" spans="1:10" x14ac:dyDescent="0.3">
      <c r="A360">
        <v>358</v>
      </c>
      <c r="B360">
        <v>6822</v>
      </c>
      <c r="C360" t="b">
        <v>1</v>
      </c>
      <c r="D360">
        <v>8094</v>
      </c>
      <c r="E360">
        <v>8129</v>
      </c>
      <c r="F360">
        <v>298.2</v>
      </c>
      <c r="G360">
        <v>229</v>
      </c>
      <c r="H360">
        <v>1.3021834999999999</v>
      </c>
      <c r="I360">
        <v>-0.30218345000000002</v>
      </c>
      <c r="J360">
        <v>0.43437025000000001</v>
      </c>
    </row>
    <row r="361" spans="1:10" x14ac:dyDescent="0.3">
      <c r="A361">
        <v>359</v>
      </c>
      <c r="B361">
        <v>6838</v>
      </c>
      <c r="C361" t="b">
        <v>1</v>
      </c>
      <c r="D361">
        <v>8158</v>
      </c>
      <c r="E361">
        <v>8152</v>
      </c>
      <c r="F361">
        <v>297.8</v>
      </c>
      <c r="G361">
        <v>228.6</v>
      </c>
      <c r="H361">
        <v>1.3027120999999999</v>
      </c>
      <c r="I361">
        <v>-0.30271207999999999</v>
      </c>
      <c r="J361">
        <v>0.4342705</v>
      </c>
    </row>
    <row r="362" spans="1:10" x14ac:dyDescent="0.3">
      <c r="A362">
        <v>360</v>
      </c>
      <c r="B362">
        <v>6854</v>
      </c>
      <c r="C362" t="b">
        <v>1</v>
      </c>
      <c r="D362">
        <v>8146</v>
      </c>
      <c r="E362">
        <v>8134</v>
      </c>
      <c r="F362">
        <v>297.39999999999998</v>
      </c>
      <c r="G362">
        <v>228.2</v>
      </c>
      <c r="H362">
        <v>1.3032428</v>
      </c>
      <c r="I362">
        <v>-0.30324276999999999</v>
      </c>
      <c r="J362">
        <v>0.43417048000000003</v>
      </c>
    </row>
    <row r="363" spans="1:10" x14ac:dyDescent="0.3">
      <c r="A363">
        <v>361</v>
      </c>
      <c r="B363">
        <v>6869</v>
      </c>
      <c r="C363" t="b">
        <v>1</v>
      </c>
      <c r="D363">
        <v>8106</v>
      </c>
      <c r="E363">
        <v>8134</v>
      </c>
      <c r="F363">
        <v>297.8</v>
      </c>
      <c r="G363">
        <v>227.8</v>
      </c>
      <c r="H363">
        <v>1.3072870000000001</v>
      </c>
      <c r="I363">
        <v>-0.30728704000000001</v>
      </c>
      <c r="J363">
        <v>0.43340944999999997</v>
      </c>
    </row>
    <row r="364" spans="1:10" x14ac:dyDescent="0.3">
      <c r="A364">
        <v>362</v>
      </c>
      <c r="B364">
        <v>6885</v>
      </c>
      <c r="C364" t="b">
        <v>1</v>
      </c>
      <c r="D364">
        <v>8111</v>
      </c>
      <c r="E364">
        <v>8152</v>
      </c>
      <c r="F364">
        <v>296.60000000000002</v>
      </c>
      <c r="G364">
        <v>227.4</v>
      </c>
      <c r="H364">
        <v>1.3043096000000001</v>
      </c>
      <c r="I364">
        <v>-0.30430963999999999</v>
      </c>
      <c r="J364">
        <v>0.43396947000000002</v>
      </c>
    </row>
    <row r="365" spans="1:10" x14ac:dyDescent="0.3">
      <c r="A365">
        <v>363</v>
      </c>
      <c r="B365">
        <v>6901</v>
      </c>
      <c r="C365" t="b">
        <v>1</v>
      </c>
      <c r="D365">
        <v>8163</v>
      </c>
      <c r="E365">
        <v>8123</v>
      </c>
      <c r="F365">
        <v>297.73334</v>
      </c>
      <c r="G365">
        <v>227</v>
      </c>
      <c r="H365">
        <v>1.3116006</v>
      </c>
      <c r="I365">
        <v>-0.31160060000000001</v>
      </c>
      <c r="J365">
        <v>0.43260068000000002</v>
      </c>
    </row>
    <row r="366" spans="1:10" x14ac:dyDescent="0.3">
      <c r="A366">
        <v>364</v>
      </c>
      <c r="B366">
        <v>6917</v>
      </c>
      <c r="C366" t="b">
        <v>1</v>
      </c>
      <c r="D366">
        <v>8152</v>
      </c>
      <c r="E366">
        <v>8146</v>
      </c>
      <c r="F366">
        <v>298.86667</v>
      </c>
      <c r="G366">
        <v>226.6</v>
      </c>
      <c r="H366">
        <v>1.3189173000000001</v>
      </c>
      <c r="I366">
        <v>-0.31891730000000001</v>
      </c>
      <c r="J366">
        <v>0.43123572999999998</v>
      </c>
    </row>
    <row r="367" spans="1:10" x14ac:dyDescent="0.3">
      <c r="A367">
        <v>365</v>
      </c>
      <c r="B367">
        <v>6933</v>
      </c>
      <c r="C367" t="b">
        <v>1</v>
      </c>
      <c r="D367">
        <v>8135</v>
      </c>
      <c r="E367">
        <v>8158</v>
      </c>
      <c r="F367">
        <v>299.26666</v>
      </c>
      <c r="G367">
        <v>227</v>
      </c>
      <c r="H367">
        <v>1.3183552999999999</v>
      </c>
      <c r="I367">
        <v>-0.31835534999999998</v>
      </c>
      <c r="J367">
        <v>0.43134024999999998</v>
      </c>
    </row>
    <row r="368" spans="1:10" x14ac:dyDescent="0.3">
      <c r="A368">
        <v>366</v>
      </c>
      <c r="B368">
        <v>6949</v>
      </c>
      <c r="C368" t="b">
        <v>1</v>
      </c>
      <c r="D368">
        <v>8146</v>
      </c>
      <c r="E368">
        <v>8164</v>
      </c>
      <c r="F368">
        <v>300</v>
      </c>
      <c r="G368">
        <v>227.4</v>
      </c>
      <c r="H368">
        <v>1.3192611999999999</v>
      </c>
      <c r="I368">
        <v>-0.31926125</v>
      </c>
      <c r="J368">
        <v>0.43117175000000002</v>
      </c>
    </row>
    <row r="369" spans="1:10" x14ac:dyDescent="0.3">
      <c r="A369">
        <v>367</v>
      </c>
      <c r="B369">
        <v>6981</v>
      </c>
      <c r="C369" t="b">
        <v>1</v>
      </c>
      <c r="D369">
        <v>8129</v>
      </c>
      <c r="E369">
        <v>8146</v>
      </c>
      <c r="F369">
        <v>300</v>
      </c>
      <c r="G369">
        <v>227.4</v>
      </c>
      <c r="H369">
        <v>1.3192611999999999</v>
      </c>
      <c r="I369">
        <v>-0.31926125</v>
      </c>
      <c r="J369">
        <v>0.43117175000000002</v>
      </c>
    </row>
    <row r="370" spans="1:10" x14ac:dyDescent="0.3">
      <c r="A370">
        <v>368</v>
      </c>
      <c r="B370">
        <v>6997</v>
      </c>
      <c r="C370" t="b">
        <v>1</v>
      </c>
      <c r="D370">
        <v>8106</v>
      </c>
      <c r="E370">
        <v>8134</v>
      </c>
      <c r="F370">
        <v>299.26666</v>
      </c>
      <c r="G370">
        <v>227.4</v>
      </c>
      <c r="H370">
        <v>1.3160362999999999</v>
      </c>
      <c r="I370">
        <v>-0.31603637000000001</v>
      </c>
      <c r="J370">
        <v>0.43177217000000001</v>
      </c>
    </row>
    <row r="371" spans="1:10" x14ac:dyDescent="0.3">
      <c r="A371">
        <v>369</v>
      </c>
      <c r="B371">
        <v>7013</v>
      </c>
      <c r="C371" t="b">
        <v>1</v>
      </c>
      <c r="D371">
        <v>8106</v>
      </c>
      <c r="E371">
        <v>8123</v>
      </c>
      <c r="F371">
        <v>298.13333</v>
      </c>
      <c r="G371">
        <v>227.4</v>
      </c>
      <c r="H371">
        <v>1.3110526</v>
      </c>
      <c r="I371">
        <v>-0.31105250000000001</v>
      </c>
      <c r="J371">
        <v>0.43270330000000001</v>
      </c>
    </row>
    <row r="372" spans="1:10" x14ac:dyDescent="0.3">
      <c r="A372">
        <v>370</v>
      </c>
      <c r="B372">
        <v>7045</v>
      </c>
      <c r="C372" t="b">
        <v>1</v>
      </c>
      <c r="D372">
        <v>8100</v>
      </c>
      <c r="E372">
        <v>8140</v>
      </c>
      <c r="F372">
        <v>296.2</v>
      </c>
      <c r="G372">
        <v>226.6</v>
      </c>
      <c r="H372">
        <v>1.3071492</v>
      </c>
      <c r="I372">
        <v>-0.30714917000000003</v>
      </c>
      <c r="J372">
        <v>0.43343532000000001</v>
      </c>
    </row>
    <row r="373" spans="1:10" x14ac:dyDescent="0.3">
      <c r="A373">
        <v>371</v>
      </c>
      <c r="B373">
        <v>7076</v>
      </c>
      <c r="C373" t="b">
        <v>1</v>
      </c>
      <c r="D373">
        <v>8152</v>
      </c>
      <c r="E373">
        <v>8123</v>
      </c>
      <c r="F373">
        <v>294.26666</v>
      </c>
      <c r="G373">
        <v>225.4</v>
      </c>
      <c r="H373">
        <v>1.3055308999999999</v>
      </c>
      <c r="I373">
        <v>-0.30553093999999997</v>
      </c>
      <c r="J373">
        <v>0.4337396</v>
      </c>
    </row>
    <row r="374" spans="1:10" x14ac:dyDescent="0.3">
      <c r="A374">
        <v>372</v>
      </c>
      <c r="B374">
        <v>7092</v>
      </c>
      <c r="C374" t="b">
        <v>1</v>
      </c>
      <c r="D374">
        <v>8181</v>
      </c>
      <c r="E374">
        <v>8146</v>
      </c>
      <c r="F374">
        <v>292.33334000000002</v>
      </c>
      <c r="G374">
        <v>224.6</v>
      </c>
      <c r="H374">
        <v>1.3015732</v>
      </c>
      <c r="I374">
        <v>-0.30157319999999999</v>
      </c>
      <c r="J374">
        <v>0.43448544</v>
      </c>
    </row>
    <row r="375" spans="1:10" x14ac:dyDescent="0.3">
      <c r="A375">
        <v>373</v>
      </c>
      <c r="B375">
        <v>7108</v>
      </c>
      <c r="C375" t="b">
        <v>1</v>
      </c>
      <c r="D375">
        <v>8152</v>
      </c>
      <c r="E375">
        <v>8129</v>
      </c>
      <c r="F375">
        <v>293.46667000000002</v>
      </c>
      <c r="G375">
        <v>223.86667</v>
      </c>
      <c r="H375">
        <v>1.3108994</v>
      </c>
      <c r="I375">
        <v>-0.31089938</v>
      </c>
      <c r="J375">
        <v>0.43273192999999999</v>
      </c>
    </row>
    <row r="376" spans="1:10" x14ac:dyDescent="0.3">
      <c r="A376">
        <v>374</v>
      </c>
      <c r="B376">
        <v>7124</v>
      </c>
      <c r="C376" t="b">
        <v>1</v>
      </c>
      <c r="D376">
        <v>8077</v>
      </c>
      <c r="E376">
        <v>8146</v>
      </c>
      <c r="F376">
        <v>293.86667</v>
      </c>
      <c r="G376">
        <v>223.86667</v>
      </c>
      <c r="H376">
        <v>1.3126861000000001</v>
      </c>
      <c r="I376">
        <v>-0.31268612000000001</v>
      </c>
      <c r="J376">
        <v>0.43239762999999998</v>
      </c>
    </row>
    <row r="377" spans="1:10" x14ac:dyDescent="0.3">
      <c r="A377">
        <v>375</v>
      </c>
      <c r="B377">
        <v>7140</v>
      </c>
      <c r="C377" t="b">
        <v>1</v>
      </c>
      <c r="D377">
        <v>8123</v>
      </c>
      <c r="E377">
        <v>8152</v>
      </c>
      <c r="F377">
        <v>294.26666</v>
      </c>
      <c r="G377">
        <v>224.66667000000001</v>
      </c>
      <c r="H377">
        <v>1.3097923</v>
      </c>
      <c r="I377">
        <v>-0.30979224999999999</v>
      </c>
      <c r="J377">
        <v>0.43293935</v>
      </c>
    </row>
    <row r="378" spans="1:10" x14ac:dyDescent="0.3">
      <c r="A378">
        <v>376</v>
      </c>
      <c r="B378">
        <v>7172</v>
      </c>
      <c r="C378" t="b">
        <v>1</v>
      </c>
      <c r="D378">
        <v>8152</v>
      </c>
      <c r="E378">
        <v>8140</v>
      </c>
      <c r="F378">
        <v>294.66665999999998</v>
      </c>
      <c r="G378">
        <v>225.46665999999999</v>
      </c>
      <c r="H378">
        <v>1.3069189999999999</v>
      </c>
      <c r="I378">
        <v>-0.30691898000000001</v>
      </c>
      <c r="J378">
        <v>0.43347859999999999</v>
      </c>
    </row>
    <row r="379" spans="1:10" x14ac:dyDescent="0.3">
      <c r="A379">
        <v>377</v>
      </c>
      <c r="B379">
        <v>7188</v>
      </c>
      <c r="C379" t="b">
        <v>1</v>
      </c>
      <c r="D379">
        <v>8192</v>
      </c>
      <c r="E379">
        <v>8146</v>
      </c>
      <c r="F379">
        <v>297.39999999999998</v>
      </c>
      <c r="G379">
        <v>226.26666</v>
      </c>
      <c r="H379">
        <v>1.3143783</v>
      </c>
      <c r="I379">
        <v>-0.31437831999999999</v>
      </c>
      <c r="J379">
        <v>0.43208150000000001</v>
      </c>
    </row>
    <row r="380" spans="1:10" x14ac:dyDescent="0.3">
      <c r="A380">
        <v>378</v>
      </c>
      <c r="B380">
        <v>7204</v>
      </c>
      <c r="C380" t="b">
        <v>1</v>
      </c>
      <c r="D380">
        <v>8111</v>
      </c>
      <c r="E380">
        <v>8152</v>
      </c>
      <c r="F380">
        <v>295.86667</v>
      </c>
      <c r="G380">
        <v>227.06666999999999</v>
      </c>
      <c r="H380">
        <v>1.3029947</v>
      </c>
      <c r="I380">
        <v>-0.30299472999999999</v>
      </c>
      <c r="J380">
        <v>0.43421720000000003</v>
      </c>
    </row>
    <row r="381" spans="1:10" x14ac:dyDescent="0.3">
      <c r="A381">
        <v>379</v>
      </c>
      <c r="B381">
        <v>7220</v>
      </c>
      <c r="C381" t="b">
        <v>1</v>
      </c>
      <c r="D381">
        <v>8135</v>
      </c>
      <c r="E381">
        <v>8134</v>
      </c>
      <c r="F381">
        <v>295.13333</v>
      </c>
      <c r="G381">
        <v>227.86667</v>
      </c>
      <c r="H381">
        <v>1.2952018999999999</v>
      </c>
      <c r="I381">
        <v>-0.29520183999999999</v>
      </c>
      <c r="J381">
        <v>0.43569153999999999</v>
      </c>
    </row>
    <row r="382" spans="1:10" x14ac:dyDescent="0.3">
      <c r="A382">
        <v>380</v>
      </c>
      <c r="B382">
        <v>7236</v>
      </c>
      <c r="C382" t="b">
        <v>1</v>
      </c>
      <c r="D382">
        <v>8186</v>
      </c>
      <c r="E382">
        <v>8129</v>
      </c>
      <c r="F382">
        <v>296.26666</v>
      </c>
      <c r="G382">
        <v>227.46665999999999</v>
      </c>
      <c r="H382">
        <v>1.3024619</v>
      </c>
      <c r="I382">
        <v>-0.30246192</v>
      </c>
      <c r="J382">
        <v>0.43431769999999997</v>
      </c>
    </row>
    <row r="383" spans="1:10" x14ac:dyDescent="0.3">
      <c r="A383">
        <v>381</v>
      </c>
      <c r="B383">
        <v>7252</v>
      </c>
      <c r="C383" t="b">
        <v>1</v>
      </c>
      <c r="D383">
        <v>8123</v>
      </c>
      <c r="E383">
        <v>8134</v>
      </c>
      <c r="F383">
        <v>295.53332999999998</v>
      </c>
      <c r="G383">
        <v>226.26666</v>
      </c>
      <c r="H383">
        <v>1.3061285</v>
      </c>
      <c r="I383">
        <v>-0.30612844</v>
      </c>
      <c r="J383">
        <v>0.43362719999999999</v>
      </c>
    </row>
    <row r="384" spans="1:10" x14ac:dyDescent="0.3">
      <c r="A384">
        <v>382</v>
      </c>
      <c r="B384">
        <v>7267</v>
      </c>
      <c r="C384" t="b">
        <v>1</v>
      </c>
      <c r="D384">
        <v>8175</v>
      </c>
      <c r="E384">
        <v>8146</v>
      </c>
      <c r="F384">
        <v>294.8</v>
      </c>
      <c r="G384">
        <v>225.46665999999999</v>
      </c>
      <c r="H384">
        <v>1.3075104</v>
      </c>
      <c r="I384">
        <v>-0.30751034999999999</v>
      </c>
      <c r="J384">
        <v>0.43336750000000002</v>
      </c>
    </row>
    <row r="385" spans="1:10" x14ac:dyDescent="0.3">
      <c r="A385">
        <v>383</v>
      </c>
      <c r="B385">
        <v>7284</v>
      </c>
      <c r="C385" t="b">
        <v>1</v>
      </c>
      <c r="D385">
        <v>8123</v>
      </c>
      <c r="E385">
        <v>8134</v>
      </c>
      <c r="F385">
        <v>294.8</v>
      </c>
      <c r="G385">
        <v>224.66667000000001</v>
      </c>
      <c r="H385">
        <v>1.3121661</v>
      </c>
      <c r="I385">
        <v>-0.3121661</v>
      </c>
      <c r="J385">
        <v>0.43249488000000003</v>
      </c>
    </row>
    <row r="386" spans="1:10" x14ac:dyDescent="0.3">
      <c r="A386">
        <v>384</v>
      </c>
      <c r="B386">
        <v>7299</v>
      </c>
      <c r="C386" t="b">
        <v>1</v>
      </c>
      <c r="D386">
        <v>8140</v>
      </c>
      <c r="E386">
        <v>8140</v>
      </c>
      <c r="F386">
        <v>295.53332999999998</v>
      </c>
      <c r="G386">
        <v>223.86667</v>
      </c>
      <c r="H386">
        <v>1.3201309999999999</v>
      </c>
      <c r="I386">
        <v>-0.32013097000000001</v>
      </c>
      <c r="J386">
        <v>0.43101012999999999</v>
      </c>
    </row>
    <row r="387" spans="1:10" x14ac:dyDescent="0.3">
      <c r="A387">
        <v>385</v>
      </c>
      <c r="B387">
        <v>7315</v>
      </c>
      <c r="C387" t="b">
        <v>1</v>
      </c>
      <c r="D387">
        <v>8129</v>
      </c>
      <c r="E387">
        <v>8123</v>
      </c>
      <c r="F387">
        <v>297.06668000000002</v>
      </c>
      <c r="G387">
        <v>223.46665999999999</v>
      </c>
      <c r="H387">
        <v>1.3293557</v>
      </c>
      <c r="I387">
        <v>-0.32935572000000002</v>
      </c>
      <c r="J387">
        <v>0.42930326000000002</v>
      </c>
    </row>
    <row r="388" spans="1:10" x14ac:dyDescent="0.3">
      <c r="A388">
        <v>386</v>
      </c>
      <c r="B388">
        <v>7347</v>
      </c>
      <c r="C388" t="b">
        <v>1</v>
      </c>
      <c r="D388">
        <v>8163</v>
      </c>
      <c r="E388">
        <v>8146</v>
      </c>
      <c r="F388">
        <v>299.33334000000002</v>
      </c>
      <c r="G388">
        <v>223.86667</v>
      </c>
      <c r="H388">
        <v>1.3371055000000001</v>
      </c>
      <c r="I388">
        <v>-0.33710544999999997</v>
      </c>
      <c r="J388">
        <v>0.42787972000000002</v>
      </c>
    </row>
    <row r="389" spans="1:10" x14ac:dyDescent="0.3">
      <c r="A389">
        <v>387</v>
      </c>
      <c r="B389">
        <v>7362</v>
      </c>
      <c r="C389" t="b">
        <v>1</v>
      </c>
      <c r="D389">
        <v>8175</v>
      </c>
      <c r="E389">
        <v>8140</v>
      </c>
      <c r="F389">
        <v>301.60000000000002</v>
      </c>
      <c r="G389">
        <v>224.26666</v>
      </c>
      <c r="H389">
        <v>1.3448277</v>
      </c>
      <c r="I389">
        <v>-0.34482764999999999</v>
      </c>
      <c r="J389">
        <v>0.42647055</v>
      </c>
    </row>
    <row r="390" spans="1:10" x14ac:dyDescent="0.3">
      <c r="A390">
        <v>388</v>
      </c>
      <c r="B390">
        <v>7378</v>
      </c>
      <c r="C390" t="b">
        <v>1</v>
      </c>
      <c r="D390">
        <v>8117</v>
      </c>
      <c r="E390">
        <v>8111</v>
      </c>
      <c r="F390">
        <v>300.8</v>
      </c>
      <c r="G390">
        <v>225</v>
      </c>
      <c r="H390">
        <v>1.3368888000000001</v>
      </c>
      <c r="I390">
        <v>-0.33688881999999998</v>
      </c>
      <c r="J390">
        <v>0.42791936000000003</v>
      </c>
    </row>
    <row r="391" spans="1:10" x14ac:dyDescent="0.3">
      <c r="A391">
        <v>389</v>
      </c>
      <c r="B391">
        <v>7394</v>
      </c>
      <c r="C391" t="b">
        <v>1</v>
      </c>
      <c r="D391">
        <v>8140</v>
      </c>
      <c r="E391">
        <v>8134</v>
      </c>
      <c r="F391">
        <v>300</v>
      </c>
      <c r="G391">
        <v>224.6</v>
      </c>
      <c r="H391">
        <v>1.3357079000000001</v>
      </c>
      <c r="I391">
        <v>-0.3357079</v>
      </c>
      <c r="J391">
        <v>0.42813574999999998</v>
      </c>
    </row>
    <row r="392" spans="1:10" x14ac:dyDescent="0.3">
      <c r="A392">
        <v>390</v>
      </c>
      <c r="B392">
        <v>7410</v>
      </c>
      <c r="C392" t="b">
        <v>1</v>
      </c>
      <c r="D392">
        <v>8123</v>
      </c>
      <c r="E392">
        <v>8152</v>
      </c>
      <c r="F392">
        <v>299.2</v>
      </c>
      <c r="G392">
        <v>224.2</v>
      </c>
      <c r="H392">
        <v>1.3345228</v>
      </c>
      <c r="I392">
        <v>-0.33452280000000001</v>
      </c>
      <c r="J392">
        <v>0.42835304000000002</v>
      </c>
    </row>
    <row r="393" spans="1:10" x14ac:dyDescent="0.3">
      <c r="A393">
        <v>391</v>
      </c>
      <c r="B393">
        <v>7426</v>
      </c>
      <c r="C393" t="b">
        <v>1</v>
      </c>
      <c r="D393">
        <v>8152</v>
      </c>
      <c r="E393">
        <v>8140</v>
      </c>
      <c r="F393">
        <v>298.39999999999998</v>
      </c>
      <c r="G393">
        <v>223.8</v>
      </c>
      <c r="H393">
        <v>1.3333333000000001</v>
      </c>
      <c r="I393">
        <v>-0.33333328000000001</v>
      </c>
      <c r="J393">
        <v>0.42857142999999998</v>
      </c>
    </row>
    <row r="394" spans="1:10" x14ac:dyDescent="0.3">
      <c r="A394">
        <v>392</v>
      </c>
      <c r="B394">
        <v>7441</v>
      </c>
      <c r="C394" t="b">
        <v>1</v>
      </c>
      <c r="D394">
        <v>8140</v>
      </c>
      <c r="E394">
        <v>8140</v>
      </c>
      <c r="F394">
        <v>297.60000000000002</v>
      </c>
      <c r="G394">
        <v>223.4</v>
      </c>
      <c r="H394">
        <v>1.3321396999999999</v>
      </c>
      <c r="I394">
        <v>-0.33213973000000002</v>
      </c>
      <c r="J394">
        <v>0.42879077999999998</v>
      </c>
    </row>
    <row r="395" spans="1:10" x14ac:dyDescent="0.3">
      <c r="A395">
        <v>393</v>
      </c>
      <c r="B395">
        <v>7473</v>
      </c>
      <c r="C395" t="b">
        <v>1</v>
      </c>
      <c r="D395">
        <v>8135</v>
      </c>
      <c r="E395">
        <v>8170</v>
      </c>
      <c r="F395">
        <v>298.73334</v>
      </c>
      <c r="G395">
        <v>223</v>
      </c>
      <c r="H395">
        <v>1.3396113999999999</v>
      </c>
      <c r="I395">
        <v>-0.33961138000000002</v>
      </c>
      <c r="J395">
        <v>0.42742142</v>
      </c>
    </row>
    <row r="396" spans="1:10" x14ac:dyDescent="0.3">
      <c r="A396">
        <v>394</v>
      </c>
      <c r="B396">
        <v>7488</v>
      </c>
      <c r="C396" t="b">
        <v>1</v>
      </c>
      <c r="D396">
        <v>8146</v>
      </c>
      <c r="E396">
        <v>8111</v>
      </c>
      <c r="F396">
        <v>299.06668000000002</v>
      </c>
      <c r="G396">
        <v>222.6</v>
      </c>
      <c r="H396">
        <v>1.3435159999999999</v>
      </c>
      <c r="I396">
        <v>-0.34351605000000002</v>
      </c>
      <c r="J396">
        <v>0.42670925999999998</v>
      </c>
    </row>
    <row r="397" spans="1:10" x14ac:dyDescent="0.3">
      <c r="A397">
        <v>395</v>
      </c>
      <c r="B397">
        <v>7504</v>
      </c>
      <c r="C397" t="b">
        <v>1</v>
      </c>
      <c r="D397">
        <v>8100</v>
      </c>
      <c r="E397">
        <v>8146</v>
      </c>
      <c r="F397">
        <v>298.26666</v>
      </c>
      <c r="G397">
        <v>222.6</v>
      </c>
      <c r="H397">
        <v>1.3399220999999999</v>
      </c>
      <c r="I397">
        <v>-0.33992207000000002</v>
      </c>
      <c r="J397">
        <v>0.42736465000000001</v>
      </c>
    </row>
    <row r="398" spans="1:10" x14ac:dyDescent="0.3">
      <c r="A398">
        <v>396</v>
      </c>
      <c r="B398">
        <v>7520</v>
      </c>
      <c r="C398" t="b">
        <v>1</v>
      </c>
      <c r="D398">
        <v>8181</v>
      </c>
      <c r="E398">
        <v>8182</v>
      </c>
      <c r="F398">
        <v>298.60000000000002</v>
      </c>
      <c r="G398">
        <v>223.4</v>
      </c>
      <c r="H398">
        <v>1.336616</v>
      </c>
      <c r="I398">
        <v>-0.33661600000000003</v>
      </c>
      <c r="J398">
        <v>0.42796933999999998</v>
      </c>
    </row>
    <row r="399" spans="1:10" x14ac:dyDescent="0.3">
      <c r="A399">
        <v>397</v>
      </c>
      <c r="B399">
        <v>7536</v>
      </c>
      <c r="C399" t="b">
        <v>1</v>
      </c>
      <c r="D399">
        <v>8186</v>
      </c>
      <c r="E399">
        <v>8140</v>
      </c>
      <c r="F399">
        <v>299.33334000000002</v>
      </c>
      <c r="G399">
        <v>224.2</v>
      </c>
      <c r="H399">
        <v>1.3351175</v>
      </c>
      <c r="I399">
        <v>-0.33511752</v>
      </c>
      <c r="J399">
        <v>0.42824400000000001</v>
      </c>
    </row>
    <row r="400" spans="1:10" x14ac:dyDescent="0.3">
      <c r="A400">
        <v>398</v>
      </c>
      <c r="B400">
        <v>7551</v>
      </c>
      <c r="C400" t="b">
        <v>1</v>
      </c>
      <c r="D400">
        <v>8152</v>
      </c>
      <c r="E400">
        <v>8146</v>
      </c>
      <c r="F400">
        <v>300.46667000000002</v>
      </c>
      <c r="G400">
        <v>225</v>
      </c>
      <c r="H400">
        <v>1.3354075000000001</v>
      </c>
      <c r="I400">
        <v>-0.33540744</v>
      </c>
      <c r="J400">
        <v>0.42819079999999998</v>
      </c>
    </row>
    <row r="401" spans="1:10" x14ac:dyDescent="0.3">
      <c r="A401">
        <v>399</v>
      </c>
      <c r="B401">
        <v>7568</v>
      </c>
      <c r="C401" t="b">
        <v>1</v>
      </c>
      <c r="D401">
        <v>8152</v>
      </c>
      <c r="E401">
        <v>8129</v>
      </c>
      <c r="F401">
        <v>301.26666</v>
      </c>
      <c r="G401">
        <v>225.8</v>
      </c>
      <c r="H401">
        <v>1.334219</v>
      </c>
      <c r="I401">
        <v>-0.33421904000000002</v>
      </c>
      <c r="J401">
        <v>0.42840883000000002</v>
      </c>
    </row>
    <row r="402" spans="1:10" x14ac:dyDescent="0.3">
      <c r="A402">
        <v>400</v>
      </c>
      <c r="B402">
        <v>7583</v>
      </c>
      <c r="C402" t="b">
        <v>1</v>
      </c>
      <c r="D402">
        <v>8123</v>
      </c>
      <c r="E402">
        <v>8152</v>
      </c>
      <c r="F402">
        <v>302.8</v>
      </c>
      <c r="G402">
        <v>226.6</v>
      </c>
      <c r="H402">
        <v>1.3362753000000001</v>
      </c>
      <c r="I402">
        <v>-0.33627528000000001</v>
      </c>
      <c r="J402">
        <v>0.42803170000000001</v>
      </c>
    </row>
    <row r="403" spans="1:10" x14ac:dyDescent="0.3">
      <c r="A403">
        <v>401</v>
      </c>
      <c r="B403">
        <v>7599</v>
      </c>
      <c r="C403" t="b">
        <v>1</v>
      </c>
      <c r="D403">
        <v>8135</v>
      </c>
      <c r="E403">
        <v>8117</v>
      </c>
      <c r="F403">
        <v>303.60000000000002</v>
      </c>
      <c r="G403">
        <v>226.6</v>
      </c>
      <c r="H403">
        <v>1.3398057999999999</v>
      </c>
      <c r="I403">
        <v>-0.33980579999999999</v>
      </c>
      <c r="J403">
        <v>0.42738589999999999</v>
      </c>
    </row>
    <row r="404" spans="1:10" x14ac:dyDescent="0.3">
      <c r="A404">
        <v>402</v>
      </c>
      <c r="B404">
        <v>7631</v>
      </c>
      <c r="C404" t="b">
        <v>1</v>
      </c>
      <c r="D404">
        <v>8117</v>
      </c>
      <c r="E404">
        <v>8129</v>
      </c>
      <c r="F404">
        <v>303.26666</v>
      </c>
      <c r="G404">
        <v>225.86667</v>
      </c>
      <c r="H404">
        <v>1.3426800000000001</v>
      </c>
      <c r="I404">
        <v>-0.34267999999999998</v>
      </c>
      <c r="J404">
        <v>0.42686154999999998</v>
      </c>
    </row>
    <row r="405" spans="1:10" x14ac:dyDescent="0.3">
      <c r="A405">
        <v>403</v>
      </c>
      <c r="B405">
        <v>7663</v>
      </c>
      <c r="C405" t="b">
        <v>1</v>
      </c>
      <c r="D405">
        <v>8129</v>
      </c>
      <c r="E405">
        <v>8129</v>
      </c>
      <c r="F405">
        <v>302.53332999999998</v>
      </c>
      <c r="G405">
        <v>225.13333</v>
      </c>
      <c r="H405">
        <v>1.3437962999999999</v>
      </c>
      <c r="I405">
        <v>-0.34379625000000003</v>
      </c>
      <c r="J405">
        <v>0.42665827000000001</v>
      </c>
    </row>
    <row r="406" spans="1:10" x14ac:dyDescent="0.3">
      <c r="A406">
        <v>404</v>
      </c>
      <c r="B406">
        <v>7694</v>
      </c>
      <c r="C406" t="b">
        <v>1</v>
      </c>
      <c r="D406">
        <v>8135</v>
      </c>
      <c r="E406">
        <v>8158</v>
      </c>
      <c r="F406">
        <v>301.8</v>
      </c>
      <c r="G406">
        <v>224.8</v>
      </c>
      <c r="H406">
        <v>1.3425267000000001</v>
      </c>
      <c r="I406">
        <v>-0.34252660000000001</v>
      </c>
      <c r="J406">
        <v>0.42688949999999998</v>
      </c>
    </row>
    <row r="407" spans="1:10" x14ac:dyDescent="0.3">
      <c r="A407">
        <v>405</v>
      </c>
      <c r="B407">
        <v>7710</v>
      </c>
      <c r="C407" t="b">
        <v>1</v>
      </c>
      <c r="D407">
        <v>8163</v>
      </c>
      <c r="E407">
        <v>8152</v>
      </c>
      <c r="F407">
        <v>301.46667000000002</v>
      </c>
      <c r="G407">
        <v>224.06666999999999</v>
      </c>
      <c r="H407">
        <v>1.3454330000000001</v>
      </c>
      <c r="I407">
        <v>-0.34543294000000002</v>
      </c>
      <c r="J407">
        <v>0.42636052000000002</v>
      </c>
    </row>
    <row r="408" spans="1:10" x14ac:dyDescent="0.3">
      <c r="A408">
        <v>406</v>
      </c>
      <c r="B408">
        <v>7726</v>
      </c>
      <c r="C408" t="b">
        <v>1</v>
      </c>
      <c r="D408">
        <v>8111</v>
      </c>
      <c r="E408">
        <v>8117</v>
      </c>
      <c r="F408">
        <v>300.73334</v>
      </c>
      <c r="G408">
        <v>223.33332999999999</v>
      </c>
      <c r="H408">
        <v>1.3465672</v>
      </c>
      <c r="I408">
        <v>-0.34656720000000002</v>
      </c>
      <c r="J408">
        <v>0.42615442999999997</v>
      </c>
    </row>
    <row r="409" spans="1:10" x14ac:dyDescent="0.3">
      <c r="A409">
        <v>407</v>
      </c>
      <c r="B409">
        <v>7742</v>
      </c>
      <c r="C409" t="b">
        <v>1</v>
      </c>
      <c r="D409">
        <v>8117</v>
      </c>
      <c r="E409">
        <v>8117</v>
      </c>
      <c r="F409">
        <v>300</v>
      </c>
      <c r="G409">
        <v>222.6</v>
      </c>
      <c r="H409">
        <v>1.3477087999999999</v>
      </c>
      <c r="I409">
        <v>-0.34770885000000001</v>
      </c>
      <c r="J409">
        <v>0.42594722000000002</v>
      </c>
    </row>
    <row r="410" spans="1:10" x14ac:dyDescent="0.3">
      <c r="A410">
        <v>408</v>
      </c>
      <c r="B410">
        <v>7758</v>
      </c>
      <c r="C410" t="b">
        <v>1</v>
      </c>
      <c r="D410">
        <v>8146</v>
      </c>
      <c r="E410">
        <v>8140</v>
      </c>
      <c r="F410">
        <v>299.66665999999998</v>
      </c>
      <c r="G410">
        <v>222.6</v>
      </c>
      <c r="H410">
        <v>1.3462113</v>
      </c>
      <c r="I410">
        <v>-0.34621133999999998</v>
      </c>
      <c r="J410">
        <v>0.42621904999999999</v>
      </c>
    </row>
    <row r="411" spans="1:10" x14ac:dyDescent="0.3">
      <c r="A411">
        <v>409</v>
      </c>
      <c r="B411">
        <v>7790</v>
      </c>
      <c r="C411" t="b">
        <v>1</v>
      </c>
      <c r="D411">
        <v>8163</v>
      </c>
      <c r="E411">
        <v>8152</v>
      </c>
      <c r="F411">
        <v>300.06668000000002</v>
      </c>
      <c r="G411">
        <v>222.6</v>
      </c>
      <c r="H411">
        <v>1.3480084000000001</v>
      </c>
      <c r="I411">
        <v>-0.34800841999999998</v>
      </c>
      <c r="J411">
        <v>0.42589285999999998</v>
      </c>
    </row>
    <row r="412" spans="1:10" x14ac:dyDescent="0.3">
      <c r="A412">
        <v>410</v>
      </c>
      <c r="B412">
        <v>7806</v>
      </c>
      <c r="C412" t="b">
        <v>1</v>
      </c>
      <c r="D412">
        <v>8123</v>
      </c>
      <c r="E412">
        <v>8146</v>
      </c>
      <c r="F412">
        <v>298.93331999999998</v>
      </c>
      <c r="G412">
        <v>222.6</v>
      </c>
      <c r="H412">
        <v>1.3429169999999999</v>
      </c>
      <c r="I412">
        <v>-0.34291694</v>
      </c>
      <c r="J412">
        <v>0.42681837</v>
      </c>
    </row>
    <row r="413" spans="1:10" x14ac:dyDescent="0.3">
      <c r="A413">
        <v>411</v>
      </c>
      <c r="B413">
        <v>7822</v>
      </c>
      <c r="C413" t="b">
        <v>1</v>
      </c>
      <c r="D413">
        <v>8111</v>
      </c>
      <c r="E413">
        <v>8158</v>
      </c>
      <c r="F413">
        <v>297.8</v>
      </c>
      <c r="G413">
        <v>222.6</v>
      </c>
      <c r="H413">
        <v>1.3378257</v>
      </c>
      <c r="I413">
        <v>-0.3378256</v>
      </c>
      <c r="J413">
        <v>0.42774788000000002</v>
      </c>
    </row>
    <row r="414" spans="1:10" x14ac:dyDescent="0.3">
      <c r="A414">
        <v>412</v>
      </c>
      <c r="B414">
        <v>7838</v>
      </c>
      <c r="C414" t="b">
        <v>1</v>
      </c>
      <c r="D414">
        <v>8111</v>
      </c>
      <c r="E414">
        <v>8140</v>
      </c>
      <c r="F414">
        <v>296.26666</v>
      </c>
      <c r="G414">
        <v>222.6</v>
      </c>
      <c r="H414">
        <v>1.3309374</v>
      </c>
      <c r="I414">
        <v>-0.33093736000000001</v>
      </c>
      <c r="J414">
        <v>0.42901193999999998</v>
      </c>
    </row>
    <row r="415" spans="1:10" x14ac:dyDescent="0.3">
      <c r="A415">
        <v>413</v>
      </c>
      <c r="B415">
        <v>7853</v>
      </c>
      <c r="C415" t="b">
        <v>1</v>
      </c>
      <c r="D415">
        <v>8140</v>
      </c>
      <c r="E415">
        <v>8111</v>
      </c>
      <c r="F415">
        <v>294.33334000000002</v>
      </c>
      <c r="G415">
        <v>222.6</v>
      </c>
      <c r="H415">
        <v>1.3222522000000001</v>
      </c>
      <c r="I415">
        <v>-0.32225218</v>
      </c>
      <c r="J415">
        <v>0.43061646999999997</v>
      </c>
    </row>
    <row r="416" spans="1:10" x14ac:dyDescent="0.3">
      <c r="A416">
        <v>414</v>
      </c>
      <c r="B416">
        <v>7870</v>
      </c>
      <c r="C416" t="b">
        <v>1</v>
      </c>
      <c r="D416">
        <v>8163</v>
      </c>
      <c r="E416">
        <v>8129</v>
      </c>
      <c r="F416">
        <v>292.39999999999998</v>
      </c>
      <c r="G416">
        <v>222.2</v>
      </c>
      <c r="H416">
        <v>1.3159316000000001</v>
      </c>
      <c r="I416">
        <v>-0.31593159999999998</v>
      </c>
      <c r="J416">
        <v>0.4317917</v>
      </c>
    </row>
    <row r="417" spans="1:10" x14ac:dyDescent="0.3">
      <c r="A417">
        <v>415</v>
      </c>
      <c r="B417">
        <v>7886</v>
      </c>
      <c r="C417" t="b">
        <v>1</v>
      </c>
      <c r="D417">
        <v>8140</v>
      </c>
      <c r="E417">
        <v>8134</v>
      </c>
      <c r="F417">
        <v>291.60000000000002</v>
      </c>
      <c r="G417">
        <v>221.4</v>
      </c>
      <c r="H417">
        <v>1.3170732000000001</v>
      </c>
      <c r="I417">
        <v>-0.31707322999999998</v>
      </c>
      <c r="J417">
        <v>0.43157893000000003</v>
      </c>
    </row>
    <row r="418" spans="1:10" x14ac:dyDescent="0.3">
      <c r="A418">
        <v>416</v>
      </c>
      <c r="B418">
        <v>7901</v>
      </c>
      <c r="C418" t="b">
        <v>1</v>
      </c>
      <c r="D418">
        <v>8135</v>
      </c>
      <c r="E418">
        <v>8140</v>
      </c>
      <c r="F418">
        <v>290.8</v>
      </c>
      <c r="G418">
        <v>221</v>
      </c>
      <c r="H418">
        <v>1.3158369999999999</v>
      </c>
      <c r="I418">
        <v>-0.31583706</v>
      </c>
      <c r="J418">
        <v>0.43180930000000001</v>
      </c>
    </row>
    <row r="419" spans="1:10" x14ac:dyDescent="0.3">
      <c r="A419">
        <v>417</v>
      </c>
      <c r="B419">
        <v>7917</v>
      </c>
      <c r="C419" t="b">
        <v>1</v>
      </c>
      <c r="D419">
        <v>8140</v>
      </c>
      <c r="E419">
        <v>8164</v>
      </c>
      <c r="F419">
        <v>291.13333</v>
      </c>
      <c r="G419">
        <v>221.33332999999999</v>
      </c>
      <c r="H419">
        <v>1.3153615000000001</v>
      </c>
      <c r="I419">
        <v>-0.31536146999999998</v>
      </c>
      <c r="J419">
        <v>0.431898</v>
      </c>
    </row>
    <row r="420" spans="1:10" x14ac:dyDescent="0.3">
      <c r="A420">
        <v>418</v>
      </c>
      <c r="B420">
        <v>7933</v>
      </c>
      <c r="C420" t="b">
        <v>1</v>
      </c>
      <c r="D420">
        <v>8129</v>
      </c>
      <c r="E420">
        <v>8146</v>
      </c>
      <c r="F420">
        <v>291.86667</v>
      </c>
      <c r="G420">
        <v>222.06666999999999</v>
      </c>
      <c r="H420">
        <v>1.3143201</v>
      </c>
      <c r="I420">
        <v>-0.31432002999999997</v>
      </c>
      <c r="J420">
        <v>0.43209234000000002</v>
      </c>
    </row>
    <row r="421" spans="1:10" x14ac:dyDescent="0.3">
      <c r="A421">
        <v>419</v>
      </c>
      <c r="B421">
        <v>7949</v>
      </c>
      <c r="C421" t="b">
        <v>1</v>
      </c>
      <c r="D421">
        <v>8163</v>
      </c>
      <c r="E421">
        <v>8140</v>
      </c>
      <c r="F421">
        <v>292.60000000000002</v>
      </c>
      <c r="G421">
        <v>222.8</v>
      </c>
      <c r="H421">
        <v>1.3132855000000001</v>
      </c>
      <c r="I421">
        <v>-0.31328547000000001</v>
      </c>
      <c r="J421">
        <v>0.43228558</v>
      </c>
    </row>
    <row r="422" spans="1:10" x14ac:dyDescent="0.3">
      <c r="A422">
        <v>420</v>
      </c>
      <c r="B422">
        <v>7965</v>
      </c>
      <c r="C422" t="b">
        <v>1</v>
      </c>
      <c r="D422">
        <v>8163</v>
      </c>
      <c r="E422">
        <v>8146</v>
      </c>
      <c r="F422">
        <v>292.93331999999998</v>
      </c>
      <c r="G422">
        <v>223.93333000000001</v>
      </c>
      <c r="H422">
        <v>1.3081274000000001</v>
      </c>
      <c r="I422">
        <v>-0.30812734000000003</v>
      </c>
      <c r="J422">
        <v>0.43325167999999997</v>
      </c>
    </row>
    <row r="423" spans="1:10" x14ac:dyDescent="0.3">
      <c r="A423">
        <v>421</v>
      </c>
      <c r="B423">
        <v>7981</v>
      </c>
      <c r="C423" t="b">
        <v>1</v>
      </c>
      <c r="D423">
        <v>8152</v>
      </c>
      <c r="E423">
        <v>8146</v>
      </c>
      <c r="F423">
        <v>294.46667000000002</v>
      </c>
      <c r="G423">
        <v>225.06666999999999</v>
      </c>
      <c r="H423">
        <v>1.3083530999999999</v>
      </c>
      <c r="I423">
        <v>-0.30835312999999998</v>
      </c>
      <c r="J423">
        <v>0.43320930000000002</v>
      </c>
    </row>
    <row r="424" spans="1:10" x14ac:dyDescent="0.3">
      <c r="A424">
        <v>422</v>
      </c>
      <c r="B424">
        <v>7996</v>
      </c>
      <c r="C424" t="b">
        <v>1</v>
      </c>
      <c r="D424">
        <v>8106</v>
      </c>
      <c r="E424">
        <v>8140</v>
      </c>
      <c r="F424">
        <v>296</v>
      </c>
      <c r="G424">
        <v>226.2</v>
      </c>
      <c r="H424">
        <v>1.3085765</v>
      </c>
      <c r="I424">
        <v>-0.30857649999999998</v>
      </c>
      <c r="J424">
        <v>0.43316734000000001</v>
      </c>
    </row>
    <row r="425" spans="1:10" x14ac:dyDescent="0.3">
      <c r="A425">
        <v>423</v>
      </c>
      <c r="B425">
        <v>8012</v>
      </c>
      <c r="C425" t="b">
        <v>1</v>
      </c>
      <c r="D425">
        <v>8158</v>
      </c>
      <c r="E425">
        <v>8158</v>
      </c>
      <c r="F425">
        <v>297.53332999999998</v>
      </c>
      <c r="G425">
        <v>226.6</v>
      </c>
      <c r="H425">
        <v>1.3130332</v>
      </c>
      <c r="I425">
        <v>-0.31303315999999998</v>
      </c>
      <c r="J425">
        <v>0.43233278000000003</v>
      </c>
    </row>
    <row r="426" spans="1:10" x14ac:dyDescent="0.3">
      <c r="A426">
        <v>424</v>
      </c>
      <c r="B426">
        <v>8028</v>
      </c>
      <c r="C426" t="b">
        <v>1</v>
      </c>
      <c r="D426">
        <v>8123</v>
      </c>
      <c r="E426">
        <v>8170</v>
      </c>
      <c r="F426">
        <v>297.93331999999998</v>
      </c>
      <c r="G426">
        <v>227</v>
      </c>
      <c r="H426">
        <v>1.3124815000000001</v>
      </c>
      <c r="I426">
        <v>-0.31248157999999998</v>
      </c>
      <c r="J426">
        <v>0.43243584000000002</v>
      </c>
    </row>
    <row r="427" spans="1:10" x14ac:dyDescent="0.3">
      <c r="A427">
        <v>425</v>
      </c>
      <c r="B427">
        <v>8044</v>
      </c>
      <c r="C427" t="b">
        <v>1</v>
      </c>
      <c r="D427">
        <v>8123</v>
      </c>
      <c r="E427">
        <v>8134</v>
      </c>
      <c r="F427">
        <v>297.93331999999998</v>
      </c>
      <c r="G427">
        <v>227.4</v>
      </c>
      <c r="H427">
        <v>1.3101729</v>
      </c>
      <c r="I427">
        <v>-0.31017295</v>
      </c>
      <c r="J427">
        <v>0.43286803000000001</v>
      </c>
    </row>
    <row r="428" spans="1:10" x14ac:dyDescent="0.3">
      <c r="A428">
        <v>426</v>
      </c>
      <c r="B428">
        <v>8060</v>
      </c>
      <c r="C428" t="b">
        <v>1</v>
      </c>
      <c r="D428">
        <v>8129</v>
      </c>
      <c r="E428">
        <v>8152</v>
      </c>
      <c r="F428">
        <v>297.93331999999998</v>
      </c>
      <c r="G428">
        <v>227.8</v>
      </c>
      <c r="H428">
        <v>1.3078723000000001</v>
      </c>
      <c r="I428">
        <v>-0.30787233000000003</v>
      </c>
      <c r="J428">
        <v>0.4332995</v>
      </c>
    </row>
    <row r="429" spans="1:10" x14ac:dyDescent="0.3">
      <c r="A429">
        <v>427</v>
      </c>
      <c r="B429">
        <v>8076</v>
      </c>
      <c r="C429" t="b">
        <v>1</v>
      </c>
      <c r="D429">
        <v>8181</v>
      </c>
      <c r="E429">
        <v>8123</v>
      </c>
      <c r="F429">
        <v>298.33334000000002</v>
      </c>
      <c r="G429">
        <v>228.2</v>
      </c>
      <c r="H429">
        <v>1.3073328</v>
      </c>
      <c r="I429">
        <v>-0.30733280000000002</v>
      </c>
      <c r="J429">
        <v>0.43340086999999999</v>
      </c>
    </row>
    <row r="430" spans="1:10" x14ac:dyDescent="0.3">
      <c r="A430">
        <v>428</v>
      </c>
      <c r="B430">
        <v>8092</v>
      </c>
      <c r="C430" t="b">
        <v>1</v>
      </c>
      <c r="D430">
        <v>8158</v>
      </c>
      <c r="E430">
        <v>8123</v>
      </c>
      <c r="F430">
        <v>298.73334</v>
      </c>
      <c r="G430">
        <v>227.4</v>
      </c>
      <c r="H430">
        <v>1.3136909999999999</v>
      </c>
      <c r="I430">
        <v>-0.31369105000000003</v>
      </c>
      <c r="J430">
        <v>0.43220985000000001</v>
      </c>
    </row>
    <row r="431" spans="1:10" x14ac:dyDescent="0.3">
      <c r="A431">
        <v>429</v>
      </c>
      <c r="B431">
        <v>8108</v>
      </c>
      <c r="C431" t="b">
        <v>1</v>
      </c>
      <c r="D431">
        <v>8158</v>
      </c>
      <c r="E431">
        <v>8123</v>
      </c>
      <c r="F431">
        <v>301.06668000000002</v>
      </c>
      <c r="G431">
        <v>226.26666</v>
      </c>
      <c r="H431">
        <v>1.3305834999999999</v>
      </c>
      <c r="I431">
        <v>-0.33058347999999999</v>
      </c>
      <c r="J431">
        <v>0.42907709999999999</v>
      </c>
    </row>
    <row r="432" spans="1:10" x14ac:dyDescent="0.3">
      <c r="A432">
        <v>430</v>
      </c>
      <c r="B432">
        <v>8124</v>
      </c>
      <c r="C432" t="b">
        <v>1</v>
      </c>
      <c r="D432">
        <v>8100</v>
      </c>
      <c r="E432">
        <v>8152</v>
      </c>
      <c r="F432">
        <v>302.26666</v>
      </c>
      <c r="G432">
        <v>225.53334000000001</v>
      </c>
      <c r="H432">
        <v>1.3402305000000001</v>
      </c>
      <c r="I432">
        <v>-0.34023049999999999</v>
      </c>
      <c r="J432">
        <v>0.42730835</v>
      </c>
    </row>
    <row r="433" spans="1:10" x14ac:dyDescent="0.3">
      <c r="A433">
        <v>431</v>
      </c>
      <c r="B433">
        <v>8139</v>
      </c>
      <c r="C433" t="b">
        <v>1</v>
      </c>
      <c r="D433">
        <v>8204</v>
      </c>
      <c r="E433">
        <v>8111</v>
      </c>
      <c r="F433">
        <v>303.46667000000002</v>
      </c>
      <c r="G433">
        <v>224.8</v>
      </c>
      <c r="H433">
        <v>1.3499407000000001</v>
      </c>
      <c r="I433">
        <v>-0.34994071999999998</v>
      </c>
      <c r="J433">
        <v>0.42554265000000002</v>
      </c>
    </row>
    <row r="434" spans="1:10" x14ac:dyDescent="0.3">
      <c r="A434">
        <v>432</v>
      </c>
      <c r="B434">
        <v>8155</v>
      </c>
      <c r="C434" t="b">
        <v>1</v>
      </c>
      <c r="D434">
        <v>8088</v>
      </c>
      <c r="E434">
        <v>8105</v>
      </c>
      <c r="F434">
        <v>304.66665999999998</v>
      </c>
      <c r="G434">
        <v>224.06666999999999</v>
      </c>
      <c r="H434">
        <v>1.3597144000000001</v>
      </c>
      <c r="I434">
        <v>-0.35971433000000003</v>
      </c>
      <c r="J434">
        <v>0.42378008</v>
      </c>
    </row>
    <row r="435" spans="1:10" x14ac:dyDescent="0.3">
      <c r="A435">
        <v>433</v>
      </c>
      <c r="B435">
        <v>8171</v>
      </c>
      <c r="C435" t="b">
        <v>1</v>
      </c>
      <c r="D435">
        <v>8152</v>
      </c>
      <c r="E435">
        <v>8105</v>
      </c>
      <c r="F435">
        <v>305.46667000000002</v>
      </c>
      <c r="G435">
        <v>222.13333</v>
      </c>
      <c r="H435">
        <v>1.3751500999999999</v>
      </c>
      <c r="I435">
        <v>-0.37515009999999999</v>
      </c>
      <c r="J435">
        <v>0.42102604999999999</v>
      </c>
    </row>
    <row r="436" spans="1:10" x14ac:dyDescent="0.3">
      <c r="A436">
        <v>434</v>
      </c>
      <c r="B436">
        <v>8187</v>
      </c>
      <c r="C436" t="b">
        <v>1</v>
      </c>
      <c r="D436">
        <v>8135</v>
      </c>
      <c r="E436">
        <v>8152</v>
      </c>
      <c r="F436">
        <v>305.13333</v>
      </c>
      <c r="G436">
        <v>220.2</v>
      </c>
      <c r="H436">
        <v>1.38571</v>
      </c>
      <c r="I436">
        <v>-0.38570997000000001</v>
      </c>
      <c r="J436">
        <v>0.41916245000000002</v>
      </c>
    </row>
    <row r="437" spans="1:10" x14ac:dyDescent="0.3">
      <c r="A437">
        <v>435</v>
      </c>
      <c r="B437">
        <v>8203</v>
      </c>
      <c r="C437" t="b">
        <v>1</v>
      </c>
      <c r="D437">
        <v>8146</v>
      </c>
      <c r="E437">
        <v>8140</v>
      </c>
      <c r="F437">
        <v>305.53332999999998</v>
      </c>
      <c r="G437">
        <v>217.86667</v>
      </c>
      <c r="H437">
        <v>1.4023867999999999</v>
      </c>
      <c r="I437">
        <v>-0.40238671999999998</v>
      </c>
      <c r="J437">
        <v>0.41625269999999998</v>
      </c>
    </row>
    <row r="438" spans="1:10" x14ac:dyDescent="0.3">
      <c r="A438">
        <v>436</v>
      </c>
      <c r="B438">
        <v>8219</v>
      </c>
      <c r="C438" t="b">
        <v>1</v>
      </c>
      <c r="D438">
        <v>8158</v>
      </c>
      <c r="E438">
        <v>8170</v>
      </c>
      <c r="F438">
        <v>305.13333</v>
      </c>
      <c r="G438">
        <v>217.46665999999999</v>
      </c>
      <c r="H438">
        <v>1.403127</v>
      </c>
      <c r="I438">
        <v>-0.40312695999999998</v>
      </c>
      <c r="J438">
        <v>0.41612452</v>
      </c>
    </row>
    <row r="439" spans="1:10" x14ac:dyDescent="0.3">
      <c r="A439">
        <v>437</v>
      </c>
      <c r="B439">
        <v>8234</v>
      </c>
      <c r="C439" t="b">
        <v>1</v>
      </c>
      <c r="D439">
        <v>8186</v>
      </c>
      <c r="E439">
        <v>8146</v>
      </c>
      <c r="F439">
        <v>305.13333</v>
      </c>
      <c r="G439">
        <v>217.46665999999999</v>
      </c>
      <c r="H439">
        <v>1.403127</v>
      </c>
      <c r="I439">
        <v>-0.40312695999999998</v>
      </c>
      <c r="J439">
        <v>0.41612452</v>
      </c>
    </row>
    <row r="440" spans="1:10" x14ac:dyDescent="0.3">
      <c r="A440">
        <v>438</v>
      </c>
      <c r="B440">
        <v>8250</v>
      </c>
      <c r="C440" t="b">
        <v>1</v>
      </c>
      <c r="D440">
        <v>8135</v>
      </c>
      <c r="E440">
        <v>8134</v>
      </c>
      <c r="F440">
        <v>304.33334000000002</v>
      </c>
      <c r="G440">
        <v>217.46665999999999</v>
      </c>
      <c r="H440">
        <v>1.3994483</v>
      </c>
      <c r="I440">
        <v>-0.39944827999999999</v>
      </c>
      <c r="J440">
        <v>0.41676247</v>
      </c>
    </row>
    <row r="441" spans="1:10" x14ac:dyDescent="0.3">
      <c r="A441">
        <v>439</v>
      </c>
      <c r="B441">
        <v>8266</v>
      </c>
      <c r="C441" t="b">
        <v>1</v>
      </c>
      <c r="D441">
        <v>8181</v>
      </c>
      <c r="E441">
        <v>8158</v>
      </c>
      <c r="F441">
        <v>304.73334</v>
      </c>
      <c r="G441">
        <v>217.46665999999999</v>
      </c>
      <c r="H441">
        <v>1.4012876999999999</v>
      </c>
      <c r="I441">
        <v>-0.40128762000000001</v>
      </c>
      <c r="J441">
        <v>0.41644323</v>
      </c>
    </row>
    <row r="442" spans="1:10" x14ac:dyDescent="0.3">
      <c r="A442">
        <v>440</v>
      </c>
      <c r="B442">
        <v>8282</v>
      </c>
      <c r="C442" t="b">
        <v>1</v>
      </c>
      <c r="D442">
        <v>8123</v>
      </c>
      <c r="E442">
        <v>8152</v>
      </c>
      <c r="F442">
        <v>307.06668000000002</v>
      </c>
      <c r="G442">
        <v>217.86667</v>
      </c>
      <c r="H442">
        <v>1.4094248</v>
      </c>
      <c r="I442">
        <v>-0.40942477999999999</v>
      </c>
      <c r="J442">
        <v>0.41503683000000002</v>
      </c>
    </row>
    <row r="443" spans="1:10" x14ac:dyDescent="0.3">
      <c r="A443">
        <v>441</v>
      </c>
      <c r="B443">
        <v>8299</v>
      </c>
      <c r="C443" t="b">
        <v>1</v>
      </c>
      <c r="D443">
        <v>8158</v>
      </c>
      <c r="E443">
        <v>8146</v>
      </c>
      <c r="F443">
        <v>309.39999999999998</v>
      </c>
      <c r="G443">
        <v>217.46665999999999</v>
      </c>
      <c r="H443">
        <v>1.4227468000000001</v>
      </c>
      <c r="I443">
        <v>-0.42274679999999998</v>
      </c>
      <c r="J443">
        <v>0.41275465</v>
      </c>
    </row>
    <row r="444" spans="1:10" x14ac:dyDescent="0.3">
      <c r="A444">
        <v>442</v>
      </c>
      <c r="B444">
        <v>8330</v>
      </c>
      <c r="C444" t="b">
        <v>1</v>
      </c>
      <c r="D444">
        <v>8140</v>
      </c>
      <c r="E444">
        <v>8129</v>
      </c>
      <c r="F444">
        <v>310.13333</v>
      </c>
      <c r="G444">
        <v>217.06666999999999</v>
      </c>
      <c r="H444">
        <v>1.4287468999999999</v>
      </c>
      <c r="I444">
        <v>-0.42874694000000002</v>
      </c>
      <c r="J444">
        <v>0.41173493999999999</v>
      </c>
    </row>
    <row r="445" spans="1:10" x14ac:dyDescent="0.3">
      <c r="A445">
        <v>443</v>
      </c>
      <c r="B445">
        <v>8362</v>
      </c>
      <c r="C445" t="b">
        <v>1</v>
      </c>
      <c r="D445">
        <v>8158</v>
      </c>
      <c r="E445">
        <v>8164</v>
      </c>
      <c r="F445">
        <v>312.06668000000002</v>
      </c>
      <c r="G445">
        <v>218.26666</v>
      </c>
      <c r="H445">
        <v>1.4297496000000001</v>
      </c>
      <c r="I445">
        <v>-0.42974963999999999</v>
      </c>
      <c r="J445">
        <v>0.41156500000000001</v>
      </c>
    </row>
    <row r="446" spans="1:10" x14ac:dyDescent="0.3">
      <c r="A446">
        <v>444</v>
      </c>
      <c r="B446">
        <v>8377</v>
      </c>
      <c r="C446" t="b">
        <v>1</v>
      </c>
      <c r="D446">
        <v>8123</v>
      </c>
      <c r="E446">
        <v>8158</v>
      </c>
      <c r="F446">
        <v>310.86667</v>
      </c>
      <c r="G446">
        <v>220.2</v>
      </c>
      <c r="H446">
        <v>1.4117470000000001</v>
      </c>
      <c r="I446">
        <v>-0.41174692000000002</v>
      </c>
      <c r="J446">
        <v>0.41463719999999998</v>
      </c>
    </row>
    <row r="447" spans="1:10" x14ac:dyDescent="0.3">
      <c r="A447">
        <v>445</v>
      </c>
      <c r="B447">
        <v>8393</v>
      </c>
      <c r="C447" t="b">
        <v>1</v>
      </c>
      <c r="D447">
        <v>8175</v>
      </c>
      <c r="E447">
        <v>8134</v>
      </c>
      <c r="F447">
        <v>310.86667</v>
      </c>
      <c r="G447">
        <v>221.73334</v>
      </c>
      <c r="H447">
        <v>1.4019843000000001</v>
      </c>
      <c r="I447">
        <v>-0.40198435999999999</v>
      </c>
      <c r="J447">
        <v>0.41632247</v>
      </c>
    </row>
    <row r="448" spans="1:10" x14ac:dyDescent="0.3">
      <c r="A448">
        <v>446</v>
      </c>
      <c r="B448">
        <v>8409</v>
      </c>
      <c r="C448" t="b">
        <v>1</v>
      </c>
      <c r="D448">
        <v>8146</v>
      </c>
      <c r="E448">
        <v>8134</v>
      </c>
      <c r="F448">
        <v>310.06668000000002</v>
      </c>
      <c r="G448">
        <v>222.46665999999999</v>
      </c>
      <c r="H448">
        <v>1.393767</v>
      </c>
      <c r="I448">
        <v>-0.39376696999999999</v>
      </c>
      <c r="J448">
        <v>0.4177516</v>
      </c>
    </row>
    <row r="449" spans="1:10" x14ac:dyDescent="0.3">
      <c r="A449">
        <v>447</v>
      </c>
      <c r="B449">
        <v>8425</v>
      </c>
      <c r="C449" t="b">
        <v>1</v>
      </c>
      <c r="D449">
        <v>8152</v>
      </c>
      <c r="E449">
        <v>8134</v>
      </c>
      <c r="F449">
        <v>309.66665999999998</v>
      </c>
      <c r="G449">
        <v>223.2</v>
      </c>
      <c r="H449">
        <v>1.3873953999999999</v>
      </c>
      <c r="I449">
        <v>-0.38739543999999998</v>
      </c>
      <c r="J449">
        <v>0.41886652000000002</v>
      </c>
    </row>
    <row r="450" spans="1:10" x14ac:dyDescent="0.3">
      <c r="A450">
        <v>448</v>
      </c>
      <c r="B450">
        <v>8441</v>
      </c>
      <c r="C450" t="b">
        <v>1</v>
      </c>
      <c r="D450">
        <v>8129</v>
      </c>
      <c r="E450">
        <v>8129</v>
      </c>
      <c r="F450">
        <v>309.26666</v>
      </c>
      <c r="G450">
        <v>224.73334</v>
      </c>
      <c r="H450">
        <v>1.3761494000000001</v>
      </c>
      <c r="I450">
        <v>-0.37614947999999998</v>
      </c>
      <c r="J450">
        <v>0.42084894</v>
      </c>
    </row>
    <row r="451" spans="1:10" x14ac:dyDescent="0.3">
      <c r="A451">
        <v>449</v>
      </c>
      <c r="B451">
        <v>8456</v>
      </c>
      <c r="C451" t="b">
        <v>1</v>
      </c>
      <c r="D451">
        <v>8135</v>
      </c>
      <c r="E451">
        <v>8093</v>
      </c>
      <c r="F451">
        <v>310</v>
      </c>
      <c r="G451">
        <v>226.26666</v>
      </c>
      <c r="H451">
        <v>1.3700649</v>
      </c>
      <c r="I451">
        <v>-0.37006485</v>
      </c>
      <c r="J451">
        <v>0.42192940000000001</v>
      </c>
    </row>
    <row r="452" spans="1:10" x14ac:dyDescent="0.3">
      <c r="A452">
        <v>450</v>
      </c>
      <c r="B452">
        <v>8472</v>
      </c>
      <c r="C452" t="b">
        <v>1</v>
      </c>
      <c r="D452">
        <v>8152</v>
      </c>
      <c r="E452">
        <v>8105</v>
      </c>
      <c r="F452">
        <v>310</v>
      </c>
      <c r="G452">
        <v>227.46665999999999</v>
      </c>
      <c r="H452">
        <v>1.3628370999999999</v>
      </c>
      <c r="I452">
        <v>-0.36283707999999998</v>
      </c>
      <c r="J452">
        <v>0.42322004000000002</v>
      </c>
    </row>
    <row r="453" spans="1:10" x14ac:dyDescent="0.3">
      <c r="A453">
        <v>451</v>
      </c>
      <c r="B453">
        <v>8488</v>
      </c>
      <c r="C453" t="b">
        <v>1</v>
      </c>
      <c r="D453">
        <v>8152</v>
      </c>
      <c r="E453">
        <v>8123</v>
      </c>
      <c r="F453">
        <v>310.39999999999998</v>
      </c>
      <c r="G453">
        <v>226.33332999999999</v>
      </c>
      <c r="H453">
        <v>1.3714286</v>
      </c>
      <c r="I453">
        <v>-0.37142858000000001</v>
      </c>
      <c r="J453">
        <v>0.42168674</v>
      </c>
    </row>
    <row r="454" spans="1:10" x14ac:dyDescent="0.3">
      <c r="A454">
        <v>452</v>
      </c>
      <c r="B454">
        <v>8504</v>
      </c>
      <c r="C454" t="b">
        <v>1</v>
      </c>
      <c r="D454">
        <v>8123</v>
      </c>
      <c r="E454">
        <v>8129</v>
      </c>
      <c r="F454">
        <v>309.26666</v>
      </c>
      <c r="G454">
        <v>224.8</v>
      </c>
      <c r="H454">
        <v>1.3757413999999999</v>
      </c>
      <c r="I454">
        <v>-0.37574136000000002</v>
      </c>
      <c r="J454">
        <v>0.42092127000000001</v>
      </c>
    </row>
    <row r="455" spans="1:10" x14ac:dyDescent="0.3">
      <c r="A455">
        <v>453</v>
      </c>
      <c r="B455">
        <v>8520</v>
      </c>
      <c r="C455" t="b">
        <v>1</v>
      </c>
      <c r="D455">
        <v>8158</v>
      </c>
      <c r="E455">
        <v>8146</v>
      </c>
      <c r="F455">
        <v>309.66665999999998</v>
      </c>
      <c r="G455">
        <v>223.26666</v>
      </c>
      <c r="H455">
        <v>1.3869811000000001</v>
      </c>
      <c r="I455">
        <v>-0.38698115999999999</v>
      </c>
      <c r="J455">
        <v>0.41893917000000003</v>
      </c>
    </row>
    <row r="456" spans="1:10" x14ac:dyDescent="0.3">
      <c r="A456">
        <v>454</v>
      </c>
      <c r="B456">
        <v>8536</v>
      </c>
      <c r="C456" t="b">
        <v>1</v>
      </c>
      <c r="D456">
        <v>8181</v>
      </c>
      <c r="E456">
        <v>8152</v>
      </c>
      <c r="F456">
        <v>309.26666</v>
      </c>
      <c r="G456">
        <v>222.13333</v>
      </c>
      <c r="H456">
        <v>1.3922569</v>
      </c>
      <c r="I456">
        <v>-0.39225690000000002</v>
      </c>
      <c r="J456">
        <v>0.41801526999999999</v>
      </c>
    </row>
    <row r="457" spans="1:10" x14ac:dyDescent="0.3">
      <c r="A457">
        <v>455</v>
      </c>
      <c r="B457">
        <v>8552</v>
      </c>
      <c r="C457" t="b">
        <v>1</v>
      </c>
      <c r="D457">
        <v>8146</v>
      </c>
      <c r="E457">
        <v>8134</v>
      </c>
      <c r="F457">
        <v>308.86667</v>
      </c>
      <c r="G457">
        <v>220.93333000000001</v>
      </c>
      <c r="H457">
        <v>1.3980085</v>
      </c>
      <c r="I457">
        <v>-0.39800847</v>
      </c>
      <c r="J457">
        <v>0.41701272</v>
      </c>
    </row>
    <row r="458" spans="1:10" x14ac:dyDescent="0.3">
      <c r="A458">
        <v>456</v>
      </c>
      <c r="B458">
        <v>8567</v>
      </c>
      <c r="C458" t="b">
        <v>1</v>
      </c>
      <c r="D458">
        <v>8135</v>
      </c>
      <c r="E458">
        <v>8140</v>
      </c>
      <c r="F458">
        <v>308.06668000000002</v>
      </c>
      <c r="G458">
        <v>220.53334000000001</v>
      </c>
      <c r="H458">
        <v>1.3969166</v>
      </c>
      <c r="I458">
        <v>-0.39691660000000001</v>
      </c>
      <c r="J458">
        <v>0.41720265000000001</v>
      </c>
    </row>
    <row r="459" spans="1:10" x14ac:dyDescent="0.3">
      <c r="A459">
        <v>457</v>
      </c>
      <c r="B459">
        <v>8583</v>
      </c>
      <c r="C459" t="b">
        <v>1</v>
      </c>
      <c r="D459">
        <v>8106</v>
      </c>
      <c r="E459">
        <v>8129</v>
      </c>
      <c r="F459">
        <v>308.46667000000002</v>
      </c>
      <c r="G459">
        <v>220.13333</v>
      </c>
      <c r="H459">
        <v>1.4012720000000001</v>
      </c>
      <c r="I459">
        <v>-0.40127200000000002</v>
      </c>
      <c r="J459">
        <v>0.41644597</v>
      </c>
    </row>
    <row r="460" spans="1:10" x14ac:dyDescent="0.3">
      <c r="A460">
        <v>458</v>
      </c>
      <c r="B460">
        <v>8599</v>
      </c>
      <c r="C460" t="b">
        <v>1</v>
      </c>
      <c r="D460">
        <v>8129</v>
      </c>
      <c r="E460">
        <v>8134</v>
      </c>
      <c r="F460">
        <v>306.93331999999998</v>
      </c>
      <c r="G460">
        <v>218.93333000000001</v>
      </c>
      <c r="H460">
        <v>1.4019488</v>
      </c>
      <c r="I460">
        <v>-0.40194878000000001</v>
      </c>
      <c r="J460">
        <v>0.41632864000000003</v>
      </c>
    </row>
    <row r="461" spans="1:10" x14ac:dyDescent="0.3">
      <c r="A461">
        <v>459</v>
      </c>
      <c r="B461">
        <v>8631</v>
      </c>
      <c r="C461" t="b">
        <v>1</v>
      </c>
      <c r="D461">
        <v>8106</v>
      </c>
      <c r="E461">
        <v>8146</v>
      </c>
      <c r="F461">
        <v>306.2</v>
      </c>
      <c r="G461">
        <v>217.73334</v>
      </c>
      <c r="H461">
        <v>1.4063075</v>
      </c>
      <c r="I461">
        <v>-0.40630743000000002</v>
      </c>
      <c r="J461">
        <v>0.41557450000000001</v>
      </c>
    </row>
    <row r="462" spans="1:10" x14ac:dyDescent="0.3">
      <c r="A462">
        <v>460</v>
      </c>
      <c r="B462">
        <v>8647</v>
      </c>
      <c r="C462" t="b">
        <v>1</v>
      </c>
      <c r="D462">
        <v>8111</v>
      </c>
      <c r="E462">
        <v>8134</v>
      </c>
      <c r="F462">
        <v>303.06668000000002</v>
      </c>
      <c r="G462">
        <v>216.93333000000001</v>
      </c>
      <c r="H462">
        <v>1.3970498</v>
      </c>
      <c r="I462">
        <v>-0.39704983999999999</v>
      </c>
      <c r="J462">
        <v>0.41717949999999998</v>
      </c>
    </row>
    <row r="463" spans="1:10" x14ac:dyDescent="0.3">
      <c r="A463">
        <v>461</v>
      </c>
      <c r="B463">
        <v>8678</v>
      </c>
      <c r="C463" t="b">
        <v>1</v>
      </c>
      <c r="D463">
        <v>8106</v>
      </c>
      <c r="E463">
        <v>8152</v>
      </c>
      <c r="F463">
        <v>300.39999999999998</v>
      </c>
      <c r="G463">
        <v>216.93333000000001</v>
      </c>
      <c r="H463">
        <v>1.3847571999999999</v>
      </c>
      <c r="I463">
        <v>-0.38475720000000002</v>
      </c>
      <c r="J463">
        <v>0.41932989999999998</v>
      </c>
    </row>
    <row r="464" spans="1:10" x14ac:dyDescent="0.3">
      <c r="A464">
        <v>462</v>
      </c>
      <c r="B464">
        <v>8694</v>
      </c>
      <c r="C464" t="b">
        <v>1</v>
      </c>
      <c r="D464">
        <v>8111</v>
      </c>
      <c r="E464">
        <v>8123</v>
      </c>
      <c r="F464">
        <v>297.66665999999998</v>
      </c>
      <c r="G464">
        <v>216.93333000000001</v>
      </c>
      <c r="H464">
        <v>1.3721573</v>
      </c>
      <c r="I464">
        <v>-0.37215730000000002</v>
      </c>
      <c r="J464">
        <v>0.42155722000000001</v>
      </c>
    </row>
    <row r="465" spans="1:10" x14ac:dyDescent="0.3">
      <c r="A465">
        <v>463</v>
      </c>
      <c r="B465">
        <v>8710</v>
      </c>
      <c r="C465" t="b">
        <v>1</v>
      </c>
      <c r="D465">
        <v>8152</v>
      </c>
      <c r="E465">
        <v>8164</v>
      </c>
      <c r="F465">
        <v>295.33334000000002</v>
      </c>
      <c r="G465">
        <v>217.73334</v>
      </c>
      <c r="H465">
        <v>1.3563993000000001</v>
      </c>
      <c r="I465">
        <v>-0.35639929999999997</v>
      </c>
      <c r="J465">
        <v>0.42437629999999998</v>
      </c>
    </row>
    <row r="466" spans="1:10" x14ac:dyDescent="0.3">
      <c r="A466">
        <v>464</v>
      </c>
      <c r="B466">
        <v>8741</v>
      </c>
      <c r="C466" t="b">
        <v>1</v>
      </c>
      <c r="D466">
        <v>8140</v>
      </c>
      <c r="E466">
        <v>8129</v>
      </c>
      <c r="F466">
        <v>293</v>
      </c>
      <c r="G466">
        <v>217.73334</v>
      </c>
      <c r="H466">
        <v>1.3456827</v>
      </c>
      <c r="I466">
        <v>-0.34568276999999997</v>
      </c>
      <c r="J466">
        <v>0.4263151</v>
      </c>
    </row>
    <row r="467" spans="1:10" x14ac:dyDescent="0.3">
      <c r="A467">
        <v>465</v>
      </c>
      <c r="B467">
        <v>8773</v>
      </c>
      <c r="C467" t="b">
        <v>1</v>
      </c>
      <c r="D467">
        <v>8158</v>
      </c>
      <c r="E467">
        <v>8146</v>
      </c>
      <c r="F467">
        <v>292.60000000000002</v>
      </c>
      <c r="G467">
        <v>218.86667</v>
      </c>
      <c r="H467">
        <v>1.3368869999999999</v>
      </c>
      <c r="I467">
        <v>-0.33688699999999999</v>
      </c>
      <c r="J467">
        <v>0.42791972</v>
      </c>
    </row>
    <row r="468" spans="1:10" x14ac:dyDescent="0.3">
      <c r="A468">
        <v>466</v>
      </c>
      <c r="B468">
        <v>8804</v>
      </c>
      <c r="C468" t="b">
        <v>1</v>
      </c>
      <c r="D468">
        <v>8123</v>
      </c>
      <c r="E468">
        <v>8152</v>
      </c>
      <c r="F468">
        <v>291.8</v>
      </c>
      <c r="G468">
        <v>220.4</v>
      </c>
      <c r="H468">
        <v>1.3239563999999999</v>
      </c>
      <c r="I468">
        <v>-0.32395643000000002</v>
      </c>
      <c r="J468">
        <v>0.43030067999999999</v>
      </c>
    </row>
    <row r="469" spans="1:10" x14ac:dyDescent="0.3">
      <c r="A469">
        <v>467</v>
      </c>
      <c r="B469">
        <v>8835</v>
      </c>
      <c r="C469" t="b">
        <v>1</v>
      </c>
      <c r="D469">
        <v>8146</v>
      </c>
      <c r="E469">
        <v>8146</v>
      </c>
      <c r="F469">
        <v>292.53332999999998</v>
      </c>
      <c r="G469">
        <v>221.93333000000001</v>
      </c>
      <c r="H469">
        <v>1.3181134000000001</v>
      </c>
      <c r="I469">
        <v>-0.31811349999999999</v>
      </c>
      <c r="J469">
        <v>0.43138525</v>
      </c>
    </row>
    <row r="470" spans="1:10" x14ac:dyDescent="0.3">
      <c r="A470">
        <v>468</v>
      </c>
      <c r="B470">
        <v>8851</v>
      </c>
      <c r="C470" t="b">
        <v>1</v>
      </c>
      <c r="D470">
        <v>8169</v>
      </c>
      <c r="E470">
        <v>8140</v>
      </c>
      <c r="F470">
        <v>292.13333</v>
      </c>
      <c r="G470">
        <v>223.46665999999999</v>
      </c>
      <c r="H470">
        <v>1.3072792</v>
      </c>
      <c r="I470">
        <v>-0.30727926</v>
      </c>
      <c r="J470">
        <v>0.43341089999999999</v>
      </c>
    </row>
    <row r="471" spans="1:10" x14ac:dyDescent="0.3">
      <c r="A471">
        <v>469</v>
      </c>
      <c r="B471">
        <v>8867</v>
      </c>
      <c r="C471" t="b">
        <v>1</v>
      </c>
      <c r="D471">
        <v>8135</v>
      </c>
      <c r="E471">
        <v>8146</v>
      </c>
      <c r="F471">
        <v>291.73334</v>
      </c>
      <c r="G471">
        <v>224.6</v>
      </c>
      <c r="H471">
        <v>1.2989017</v>
      </c>
      <c r="I471">
        <v>-0.29890174000000003</v>
      </c>
      <c r="J471">
        <v>0.4349903</v>
      </c>
    </row>
    <row r="472" spans="1:10" x14ac:dyDescent="0.3">
      <c r="A472">
        <v>470</v>
      </c>
      <c r="B472">
        <v>8883</v>
      </c>
      <c r="C472" t="b">
        <v>1</v>
      </c>
      <c r="D472">
        <v>8135</v>
      </c>
      <c r="E472">
        <v>8146</v>
      </c>
      <c r="F472">
        <v>290.60000000000002</v>
      </c>
      <c r="G472">
        <v>225.4</v>
      </c>
      <c r="H472">
        <v>1.2892636</v>
      </c>
      <c r="I472">
        <v>-0.28926360000000001</v>
      </c>
      <c r="J472">
        <v>0.43682169999999998</v>
      </c>
    </row>
    <row r="473" spans="1:10" x14ac:dyDescent="0.3">
      <c r="A473">
        <v>471</v>
      </c>
      <c r="B473">
        <v>8899</v>
      </c>
      <c r="C473" t="b">
        <v>1</v>
      </c>
      <c r="D473">
        <v>8123</v>
      </c>
      <c r="E473">
        <v>8134</v>
      </c>
      <c r="F473">
        <v>289.86667</v>
      </c>
      <c r="G473">
        <v>225.8</v>
      </c>
      <c r="H473">
        <v>1.2837319</v>
      </c>
      <c r="I473">
        <v>-0.28373189999999998</v>
      </c>
      <c r="J473">
        <v>0.43787974000000002</v>
      </c>
    </row>
    <row r="474" spans="1:10" x14ac:dyDescent="0.3">
      <c r="A474">
        <v>472</v>
      </c>
      <c r="B474">
        <v>8915</v>
      </c>
      <c r="C474" t="b">
        <v>1</v>
      </c>
      <c r="D474">
        <v>8158</v>
      </c>
      <c r="E474">
        <v>8140</v>
      </c>
      <c r="F474">
        <v>289.13333</v>
      </c>
      <c r="G474">
        <v>225.8</v>
      </c>
      <c r="H474">
        <v>1.2804842000000001</v>
      </c>
      <c r="I474">
        <v>-0.28048416999999998</v>
      </c>
      <c r="J474">
        <v>0.43850335000000001</v>
      </c>
    </row>
    <row r="475" spans="1:10" x14ac:dyDescent="0.3">
      <c r="A475">
        <v>473</v>
      </c>
      <c r="B475">
        <v>8931</v>
      </c>
      <c r="C475" t="b">
        <v>1</v>
      </c>
      <c r="D475">
        <v>8140</v>
      </c>
      <c r="E475">
        <v>8134</v>
      </c>
      <c r="F475">
        <v>289.13333</v>
      </c>
      <c r="G475">
        <v>226.2</v>
      </c>
      <c r="H475">
        <v>1.2782198</v>
      </c>
      <c r="I475">
        <v>-0.27821987999999997</v>
      </c>
      <c r="J475">
        <v>0.43893919999999997</v>
      </c>
    </row>
    <row r="476" spans="1:10" x14ac:dyDescent="0.3">
      <c r="A476">
        <v>474</v>
      </c>
      <c r="B476">
        <v>8946</v>
      </c>
      <c r="C476" t="b">
        <v>1</v>
      </c>
      <c r="D476">
        <v>8146</v>
      </c>
      <c r="E476">
        <v>8152</v>
      </c>
      <c r="F476">
        <v>289.86667</v>
      </c>
      <c r="G476">
        <v>226.6</v>
      </c>
      <c r="H476">
        <v>1.2791996999999999</v>
      </c>
      <c r="I476">
        <v>-0.27919975000000002</v>
      </c>
      <c r="J476">
        <v>0.43875048</v>
      </c>
    </row>
    <row r="477" spans="1:10" x14ac:dyDescent="0.3">
      <c r="A477">
        <v>475</v>
      </c>
      <c r="B477">
        <v>8978</v>
      </c>
      <c r="C477" t="b">
        <v>1</v>
      </c>
      <c r="D477">
        <v>8111</v>
      </c>
      <c r="E477">
        <v>8129</v>
      </c>
      <c r="F477">
        <v>291.8</v>
      </c>
      <c r="G477">
        <v>226.6</v>
      </c>
      <c r="H477">
        <v>1.2877316000000001</v>
      </c>
      <c r="I477">
        <v>-0.28773159999999998</v>
      </c>
      <c r="J477">
        <v>0.43711418000000002</v>
      </c>
    </row>
    <row r="478" spans="1:10" x14ac:dyDescent="0.3">
      <c r="A478">
        <v>476</v>
      </c>
      <c r="B478">
        <v>8994</v>
      </c>
      <c r="C478" t="b">
        <v>1</v>
      </c>
      <c r="D478">
        <v>8140</v>
      </c>
      <c r="E478">
        <v>8146</v>
      </c>
      <c r="F478">
        <v>294.06668000000002</v>
      </c>
      <c r="G478">
        <v>227</v>
      </c>
      <c r="H478">
        <v>1.2954479999999999</v>
      </c>
      <c r="I478">
        <v>-0.29544795000000001</v>
      </c>
      <c r="J478">
        <v>0.43564483999999998</v>
      </c>
    </row>
    <row r="479" spans="1:10" x14ac:dyDescent="0.3">
      <c r="A479">
        <v>477</v>
      </c>
      <c r="B479">
        <v>9010</v>
      </c>
      <c r="C479" t="b">
        <v>1</v>
      </c>
      <c r="D479">
        <v>8175</v>
      </c>
      <c r="E479">
        <v>8129</v>
      </c>
      <c r="F479">
        <v>296</v>
      </c>
      <c r="G479">
        <v>227</v>
      </c>
      <c r="H479">
        <v>1.3039647000000001</v>
      </c>
      <c r="I479">
        <v>-0.30396476</v>
      </c>
      <c r="J479">
        <v>0.43403439999999999</v>
      </c>
    </row>
    <row r="480" spans="1:10" x14ac:dyDescent="0.3">
      <c r="A480">
        <v>478</v>
      </c>
      <c r="B480">
        <v>9025</v>
      </c>
      <c r="C480" t="b">
        <v>1</v>
      </c>
      <c r="D480">
        <v>8129</v>
      </c>
      <c r="E480">
        <v>8140</v>
      </c>
      <c r="F480">
        <v>297.93331999999998</v>
      </c>
      <c r="G480">
        <v>226.6</v>
      </c>
      <c r="H480">
        <v>1.3147983999999999</v>
      </c>
      <c r="I480">
        <v>-0.31479837999999999</v>
      </c>
      <c r="J480">
        <v>0.43200307999999998</v>
      </c>
    </row>
    <row r="481" spans="1:10" x14ac:dyDescent="0.3">
      <c r="A481">
        <v>479</v>
      </c>
      <c r="B481">
        <v>9041</v>
      </c>
      <c r="C481" t="b">
        <v>1</v>
      </c>
      <c r="D481">
        <v>8123</v>
      </c>
      <c r="E481">
        <v>8123</v>
      </c>
      <c r="F481">
        <v>299.13333</v>
      </c>
      <c r="G481">
        <v>226.26666</v>
      </c>
      <c r="H481">
        <v>1.3220388999999999</v>
      </c>
      <c r="I481">
        <v>-0.32203892000000001</v>
      </c>
      <c r="J481">
        <v>0.43065599999999998</v>
      </c>
    </row>
    <row r="482" spans="1:10" x14ac:dyDescent="0.3">
      <c r="A482">
        <v>480</v>
      </c>
      <c r="B482">
        <v>9057</v>
      </c>
      <c r="C482" t="b">
        <v>1</v>
      </c>
      <c r="D482">
        <v>8169</v>
      </c>
      <c r="E482">
        <v>8129</v>
      </c>
      <c r="F482">
        <v>299.13333</v>
      </c>
      <c r="G482">
        <v>225.13333</v>
      </c>
      <c r="H482">
        <v>1.3286941000000001</v>
      </c>
      <c r="I482">
        <v>-0.32869409999999999</v>
      </c>
      <c r="J482">
        <v>0.42942523999999999</v>
      </c>
    </row>
    <row r="483" spans="1:10" x14ac:dyDescent="0.3">
      <c r="A483">
        <v>481</v>
      </c>
      <c r="B483">
        <v>9073</v>
      </c>
      <c r="C483" t="b">
        <v>1</v>
      </c>
      <c r="D483">
        <v>8146</v>
      </c>
      <c r="E483">
        <v>8134</v>
      </c>
      <c r="F483">
        <v>299.53332999999998</v>
      </c>
      <c r="G483">
        <v>224</v>
      </c>
      <c r="H483">
        <v>1.3372023</v>
      </c>
      <c r="I483">
        <v>-0.33720233999999999</v>
      </c>
      <c r="J483">
        <v>0.42786195999999999</v>
      </c>
    </row>
    <row r="484" spans="1:10" x14ac:dyDescent="0.3">
      <c r="A484">
        <v>482</v>
      </c>
      <c r="B484">
        <v>9089</v>
      </c>
      <c r="C484" t="b">
        <v>1</v>
      </c>
      <c r="D484">
        <v>8152</v>
      </c>
      <c r="E484">
        <v>8134</v>
      </c>
      <c r="F484">
        <v>299.53332999999998</v>
      </c>
      <c r="G484">
        <v>223.2</v>
      </c>
      <c r="H484">
        <v>1.3419951999999999</v>
      </c>
      <c r="I484">
        <v>-0.3419952</v>
      </c>
      <c r="J484">
        <v>0.42698634000000002</v>
      </c>
    </row>
    <row r="485" spans="1:10" x14ac:dyDescent="0.3">
      <c r="A485">
        <v>483</v>
      </c>
      <c r="B485">
        <v>9105</v>
      </c>
      <c r="C485" t="b">
        <v>1</v>
      </c>
      <c r="D485">
        <v>8129</v>
      </c>
      <c r="E485">
        <v>8158</v>
      </c>
      <c r="F485">
        <v>299.53332999999998</v>
      </c>
      <c r="G485">
        <v>222.4</v>
      </c>
      <c r="H485">
        <v>1.3468225</v>
      </c>
      <c r="I485">
        <v>-0.34682253000000002</v>
      </c>
      <c r="J485">
        <v>0.42610803000000003</v>
      </c>
    </row>
    <row r="486" spans="1:10" x14ac:dyDescent="0.3">
      <c r="A486">
        <v>484</v>
      </c>
      <c r="B486">
        <v>9121</v>
      </c>
      <c r="C486" t="b">
        <v>1</v>
      </c>
      <c r="D486">
        <v>8129</v>
      </c>
      <c r="E486">
        <v>8129</v>
      </c>
      <c r="F486">
        <v>299.53332999999998</v>
      </c>
      <c r="G486">
        <v>221.6</v>
      </c>
      <c r="H486">
        <v>1.3516847000000001</v>
      </c>
      <c r="I486">
        <v>-0.35168463</v>
      </c>
      <c r="J486">
        <v>0.42522710000000002</v>
      </c>
    </row>
    <row r="487" spans="1:10" x14ac:dyDescent="0.3">
      <c r="A487">
        <v>485</v>
      </c>
      <c r="B487">
        <v>9137</v>
      </c>
      <c r="C487" t="b">
        <v>1</v>
      </c>
      <c r="D487">
        <v>8123</v>
      </c>
      <c r="E487">
        <v>8134</v>
      </c>
      <c r="F487">
        <v>299.13333</v>
      </c>
      <c r="G487">
        <v>220.8</v>
      </c>
      <c r="H487">
        <v>1.3547705000000001</v>
      </c>
      <c r="I487">
        <v>-0.35477049999999999</v>
      </c>
      <c r="J487">
        <v>0.42466983000000003</v>
      </c>
    </row>
    <row r="488" spans="1:10" x14ac:dyDescent="0.3">
      <c r="A488">
        <v>486</v>
      </c>
      <c r="B488">
        <v>9153</v>
      </c>
      <c r="C488" t="b">
        <v>1</v>
      </c>
      <c r="D488">
        <v>8117</v>
      </c>
      <c r="E488">
        <v>8164</v>
      </c>
      <c r="F488">
        <v>298.73334</v>
      </c>
      <c r="G488">
        <v>220</v>
      </c>
      <c r="H488">
        <v>1.3578787999999999</v>
      </c>
      <c r="I488">
        <v>-0.3578788</v>
      </c>
      <c r="J488">
        <v>0.42410999999999999</v>
      </c>
    </row>
    <row r="489" spans="1:10" x14ac:dyDescent="0.3">
      <c r="A489">
        <v>487</v>
      </c>
      <c r="B489">
        <v>9169</v>
      </c>
      <c r="C489" t="b">
        <v>1</v>
      </c>
      <c r="D489">
        <v>8181</v>
      </c>
      <c r="E489">
        <v>8134</v>
      </c>
      <c r="F489">
        <v>298.33334000000002</v>
      </c>
      <c r="G489">
        <v>219.6</v>
      </c>
      <c r="H489">
        <v>1.3585305999999999</v>
      </c>
      <c r="I489">
        <v>-0.35853067</v>
      </c>
      <c r="J489">
        <v>0.42399278000000001</v>
      </c>
    </row>
    <row r="490" spans="1:10" x14ac:dyDescent="0.3">
      <c r="A490">
        <v>488</v>
      </c>
      <c r="B490">
        <v>9185</v>
      </c>
      <c r="C490" t="b">
        <v>1</v>
      </c>
      <c r="D490">
        <v>8163</v>
      </c>
      <c r="E490">
        <v>8140</v>
      </c>
      <c r="F490">
        <v>297.93331999999998</v>
      </c>
      <c r="G490">
        <v>219.2</v>
      </c>
      <c r="H490">
        <v>1.3591849</v>
      </c>
      <c r="I490">
        <v>-0.35918485999999999</v>
      </c>
      <c r="J490">
        <v>0.42387523999999999</v>
      </c>
    </row>
    <row r="491" spans="1:10" x14ac:dyDescent="0.3">
      <c r="A491">
        <v>489</v>
      </c>
      <c r="B491">
        <v>9201</v>
      </c>
      <c r="C491" t="b">
        <v>1</v>
      </c>
      <c r="D491">
        <v>8100</v>
      </c>
      <c r="E491">
        <v>8140</v>
      </c>
      <c r="F491">
        <v>296.8</v>
      </c>
      <c r="G491">
        <v>219.2</v>
      </c>
      <c r="H491">
        <v>1.3540144999999999</v>
      </c>
      <c r="I491">
        <v>-0.35401458000000002</v>
      </c>
      <c r="J491">
        <v>0.42480620000000002</v>
      </c>
    </row>
    <row r="492" spans="1:10" x14ac:dyDescent="0.3">
      <c r="A492">
        <v>490</v>
      </c>
      <c r="B492">
        <v>9217</v>
      </c>
      <c r="C492" t="b">
        <v>1</v>
      </c>
      <c r="D492">
        <v>8111</v>
      </c>
      <c r="E492">
        <v>8129</v>
      </c>
      <c r="F492">
        <v>295.26666</v>
      </c>
      <c r="G492">
        <v>219.6</v>
      </c>
      <c r="H492">
        <v>1.3445659000000001</v>
      </c>
      <c r="I492">
        <v>-0.34456579999999998</v>
      </c>
      <c r="J492">
        <v>0.42651816999999997</v>
      </c>
    </row>
    <row r="493" spans="1:10" x14ac:dyDescent="0.3">
      <c r="A493">
        <v>491</v>
      </c>
      <c r="B493">
        <v>9232</v>
      </c>
      <c r="C493" t="b">
        <v>1</v>
      </c>
      <c r="D493">
        <v>8111</v>
      </c>
      <c r="E493">
        <v>8117</v>
      </c>
      <c r="F493">
        <v>293.33334000000002</v>
      </c>
      <c r="G493">
        <v>219.2</v>
      </c>
      <c r="H493">
        <v>1.3381996</v>
      </c>
      <c r="I493">
        <v>-0.33819959999999999</v>
      </c>
      <c r="J493">
        <v>0.42767949999999999</v>
      </c>
    </row>
    <row r="494" spans="1:10" x14ac:dyDescent="0.3">
      <c r="A494">
        <v>492</v>
      </c>
      <c r="B494">
        <v>9249</v>
      </c>
      <c r="C494" t="b">
        <v>1</v>
      </c>
      <c r="D494">
        <v>8083</v>
      </c>
      <c r="E494">
        <v>8140</v>
      </c>
      <c r="F494">
        <v>291.39999999999998</v>
      </c>
      <c r="G494">
        <v>219.6</v>
      </c>
      <c r="H494">
        <v>1.3269580999999999</v>
      </c>
      <c r="I494">
        <v>-0.32695803000000001</v>
      </c>
      <c r="J494">
        <v>0.42974560000000001</v>
      </c>
    </row>
    <row r="495" spans="1:10" x14ac:dyDescent="0.3">
      <c r="A495">
        <v>493</v>
      </c>
      <c r="B495">
        <v>9280</v>
      </c>
      <c r="C495" t="b">
        <v>1</v>
      </c>
      <c r="D495">
        <v>8175</v>
      </c>
      <c r="E495">
        <v>8140</v>
      </c>
      <c r="F495">
        <v>289.46667000000002</v>
      </c>
      <c r="G495">
        <v>219.6</v>
      </c>
      <c r="H495">
        <v>1.3181541999999999</v>
      </c>
      <c r="I495">
        <v>-0.31815421999999999</v>
      </c>
      <c r="J495">
        <v>0.43137767999999999</v>
      </c>
    </row>
    <row r="496" spans="1:10" x14ac:dyDescent="0.3">
      <c r="A496">
        <v>494</v>
      </c>
      <c r="B496">
        <v>9296</v>
      </c>
      <c r="C496" t="b">
        <v>1</v>
      </c>
      <c r="D496">
        <v>8129</v>
      </c>
      <c r="E496">
        <v>8117</v>
      </c>
      <c r="F496">
        <v>288.26666</v>
      </c>
      <c r="G496">
        <v>219.6</v>
      </c>
      <c r="H496">
        <v>1.3126897</v>
      </c>
      <c r="I496">
        <v>-0.31268970000000001</v>
      </c>
      <c r="J496">
        <v>0.43239697999999999</v>
      </c>
    </row>
    <row r="497" spans="1:10" x14ac:dyDescent="0.3">
      <c r="A497">
        <v>495</v>
      </c>
      <c r="B497">
        <v>9312</v>
      </c>
      <c r="C497" t="b">
        <v>1</v>
      </c>
      <c r="D497">
        <v>8135</v>
      </c>
      <c r="E497">
        <v>8129</v>
      </c>
      <c r="F497">
        <v>287.53332999999998</v>
      </c>
      <c r="G497">
        <v>219.6</v>
      </c>
      <c r="H497">
        <v>1.3093503</v>
      </c>
      <c r="I497">
        <v>-0.30935024999999999</v>
      </c>
      <c r="J497">
        <v>0.43302223000000001</v>
      </c>
    </row>
    <row r="498" spans="1:10" x14ac:dyDescent="0.3">
      <c r="A498">
        <v>496</v>
      </c>
      <c r="B498">
        <v>9344</v>
      </c>
      <c r="C498" t="b">
        <v>1</v>
      </c>
      <c r="D498">
        <v>8106</v>
      </c>
      <c r="E498">
        <v>8134</v>
      </c>
      <c r="F498">
        <v>286.39999999999998</v>
      </c>
      <c r="G498">
        <v>219.93333000000001</v>
      </c>
      <c r="H498">
        <v>1.3022126999999999</v>
      </c>
      <c r="I498">
        <v>-0.30221273999999998</v>
      </c>
      <c r="J498">
        <v>0.43436474000000003</v>
      </c>
    </row>
    <row r="499" spans="1:10" x14ac:dyDescent="0.3">
      <c r="A499">
        <v>497</v>
      </c>
      <c r="B499">
        <v>9375</v>
      </c>
      <c r="C499" t="b">
        <v>1</v>
      </c>
      <c r="D499">
        <v>8169</v>
      </c>
      <c r="E499">
        <v>8140</v>
      </c>
      <c r="F499">
        <v>285.66665999999998</v>
      </c>
      <c r="G499">
        <v>219.93333000000001</v>
      </c>
      <c r="H499">
        <v>1.2988784</v>
      </c>
      <c r="I499">
        <v>-0.29887839999999999</v>
      </c>
      <c r="J499">
        <v>0.43499475999999998</v>
      </c>
    </row>
    <row r="500" spans="1:10" x14ac:dyDescent="0.3">
      <c r="A500">
        <v>498</v>
      </c>
      <c r="B500">
        <v>9391</v>
      </c>
      <c r="C500" t="b">
        <v>1</v>
      </c>
      <c r="D500">
        <v>8152</v>
      </c>
      <c r="E500">
        <v>8152</v>
      </c>
      <c r="F500">
        <v>284.93331999999998</v>
      </c>
      <c r="G500">
        <v>219.93333000000001</v>
      </c>
      <c r="H500">
        <v>1.295544</v>
      </c>
      <c r="I500">
        <v>-0.29554403000000001</v>
      </c>
      <c r="J500">
        <v>0.43562659999999997</v>
      </c>
    </row>
    <row r="501" spans="1:10" x14ac:dyDescent="0.3">
      <c r="A501">
        <v>499</v>
      </c>
      <c r="B501">
        <v>9406</v>
      </c>
      <c r="C501" t="b">
        <v>1</v>
      </c>
      <c r="D501">
        <v>8146</v>
      </c>
      <c r="E501">
        <v>8134</v>
      </c>
      <c r="F501">
        <v>284.93331999999998</v>
      </c>
      <c r="G501">
        <v>219.93333000000001</v>
      </c>
      <c r="H501">
        <v>1.295544</v>
      </c>
      <c r="I501">
        <v>-0.29554403000000001</v>
      </c>
      <c r="J501">
        <v>0.43562659999999997</v>
      </c>
    </row>
    <row r="502" spans="1:10" x14ac:dyDescent="0.3">
      <c r="A502">
        <v>500</v>
      </c>
      <c r="B502">
        <v>9422</v>
      </c>
      <c r="C502" t="b">
        <v>1</v>
      </c>
      <c r="D502">
        <v>8186</v>
      </c>
      <c r="E502">
        <v>8111</v>
      </c>
      <c r="F502">
        <v>286.46667000000002</v>
      </c>
      <c r="G502">
        <v>219.93333000000001</v>
      </c>
      <c r="H502">
        <v>1.302516</v>
      </c>
      <c r="I502">
        <v>-0.30251594999999998</v>
      </c>
      <c r="J502">
        <v>0.43430752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F1085-B5F6-4998-9A0E-82190E559B18}">
  <dimension ref="A1:J502"/>
  <sheetViews>
    <sheetView workbookViewId="0"/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9.44140625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 t="b">
        <v>1</v>
      </c>
      <c r="D2">
        <v>8048</v>
      </c>
      <c r="E2">
        <v>8123</v>
      </c>
      <c r="F2">
        <v>8</v>
      </c>
      <c r="G2">
        <v>8</v>
      </c>
      <c r="H2">
        <v>1</v>
      </c>
      <c r="I2">
        <v>0</v>
      </c>
      <c r="J2">
        <v>0.5</v>
      </c>
    </row>
    <row r="3" spans="1:10" x14ac:dyDescent="0.3">
      <c r="A3">
        <v>1</v>
      </c>
      <c r="B3">
        <v>16</v>
      </c>
      <c r="C3" t="b">
        <v>1</v>
      </c>
      <c r="D3">
        <v>8048</v>
      </c>
      <c r="E3">
        <v>8123</v>
      </c>
      <c r="F3">
        <v>8</v>
      </c>
      <c r="G3">
        <v>8</v>
      </c>
      <c r="H3">
        <v>1</v>
      </c>
      <c r="I3">
        <v>0</v>
      </c>
      <c r="J3">
        <v>0.5</v>
      </c>
    </row>
    <row r="4" spans="1:10" x14ac:dyDescent="0.3">
      <c r="A4">
        <v>2</v>
      </c>
      <c r="B4">
        <v>32</v>
      </c>
      <c r="C4" t="b">
        <v>1</v>
      </c>
      <c r="D4">
        <v>8048</v>
      </c>
      <c r="E4">
        <v>8123</v>
      </c>
      <c r="F4">
        <v>8</v>
      </c>
      <c r="G4">
        <v>8</v>
      </c>
      <c r="H4">
        <v>1</v>
      </c>
      <c r="I4">
        <v>0</v>
      </c>
      <c r="J4">
        <v>0.5</v>
      </c>
    </row>
    <row r="5" spans="1:10" x14ac:dyDescent="0.3">
      <c r="A5">
        <v>3</v>
      </c>
      <c r="B5">
        <v>48</v>
      </c>
      <c r="C5" t="b">
        <v>1</v>
      </c>
      <c r="D5">
        <v>8054</v>
      </c>
      <c r="E5">
        <v>8123</v>
      </c>
      <c r="F5">
        <v>8</v>
      </c>
      <c r="G5">
        <v>8</v>
      </c>
      <c r="H5">
        <v>1</v>
      </c>
      <c r="I5">
        <v>0</v>
      </c>
      <c r="J5">
        <v>0.5</v>
      </c>
    </row>
    <row r="6" spans="1:10" x14ac:dyDescent="0.3">
      <c r="A6">
        <v>4</v>
      </c>
      <c r="B6">
        <v>64</v>
      </c>
      <c r="C6" t="b">
        <v>1</v>
      </c>
      <c r="D6">
        <v>8048</v>
      </c>
      <c r="E6">
        <v>8123</v>
      </c>
      <c r="F6">
        <v>8</v>
      </c>
      <c r="G6">
        <v>8</v>
      </c>
      <c r="H6">
        <v>1</v>
      </c>
      <c r="I6">
        <v>0</v>
      </c>
      <c r="J6">
        <v>0.5</v>
      </c>
    </row>
    <row r="7" spans="1:10" x14ac:dyDescent="0.3">
      <c r="A7">
        <v>5</v>
      </c>
      <c r="B7">
        <v>80</v>
      </c>
      <c r="C7" t="b">
        <v>1</v>
      </c>
      <c r="D7">
        <v>8048</v>
      </c>
      <c r="E7">
        <v>8123</v>
      </c>
      <c r="F7">
        <v>8</v>
      </c>
      <c r="G7">
        <v>8</v>
      </c>
      <c r="H7">
        <v>1</v>
      </c>
      <c r="I7">
        <v>0</v>
      </c>
      <c r="J7">
        <v>0.5</v>
      </c>
    </row>
    <row r="8" spans="1:10" x14ac:dyDescent="0.3">
      <c r="A8">
        <v>6</v>
      </c>
      <c r="B8">
        <v>96</v>
      </c>
      <c r="C8" t="b">
        <v>1</v>
      </c>
      <c r="D8">
        <v>8048</v>
      </c>
      <c r="E8">
        <v>8123</v>
      </c>
      <c r="F8">
        <v>8</v>
      </c>
      <c r="G8">
        <v>8</v>
      </c>
      <c r="H8">
        <v>1</v>
      </c>
      <c r="I8">
        <v>0</v>
      </c>
      <c r="J8">
        <v>0.5</v>
      </c>
    </row>
    <row r="9" spans="1:10" x14ac:dyDescent="0.3">
      <c r="A9">
        <v>7</v>
      </c>
      <c r="B9">
        <v>112</v>
      </c>
      <c r="C9" t="b">
        <v>1</v>
      </c>
      <c r="D9">
        <v>8048</v>
      </c>
      <c r="E9">
        <v>8129</v>
      </c>
      <c r="F9">
        <v>8</v>
      </c>
      <c r="G9">
        <v>8</v>
      </c>
      <c r="H9">
        <v>1</v>
      </c>
      <c r="I9">
        <v>0</v>
      </c>
      <c r="J9">
        <v>0.5</v>
      </c>
    </row>
    <row r="10" spans="1:10" x14ac:dyDescent="0.3">
      <c r="A10">
        <v>8</v>
      </c>
      <c r="B10">
        <v>128</v>
      </c>
      <c r="C10" t="b">
        <v>1</v>
      </c>
      <c r="D10">
        <v>8048</v>
      </c>
      <c r="E10">
        <v>8123</v>
      </c>
      <c r="F10">
        <v>8</v>
      </c>
      <c r="G10">
        <v>8</v>
      </c>
      <c r="H10">
        <v>1</v>
      </c>
      <c r="I10">
        <v>0</v>
      </c>
      <c r="J10">
        <v>0.5</v>
      </c>
    </row>
    <row r="11" spans="1:10" x14ac:dyDescent="0.3">
      <c r="A11">
        <v>9</v>
      </c>
      <c r="B11">
        <v>144</v>
      </c>
      <c r="C11" t="b">
        <v>1</v>
      </c>
      <c r="D11">
        <v>8048</v>
      </c>
      <c r="E11">
        <v>8117</v>
      </c>
      <c r="F11">
        <v>8</v>
      </c>
      <c r="G11">
        <v>8</v>
      </c>
      <c r="H11">
        <v>1</v>
      </c>
      <c r="I11">
        <v>0</v>
      </c>
      <c r="J11">
        <v>0.5</v>
      </c>
    </row>
    <row r="12" spans="1:10" x14ac:dyDescent="0.3">
      <c r="A12">
        <v>10</v>
      </c>
      <c r="B12">
        <v>160</v>
      </c>
      <c r="C12" t="b">
        <v>1</v>
      </c>
      <c r="D12">
        <v>8048</v>
      </c>
      <c r="E12">
        <v>8117</v>
      </c>
      <c r="F12">
        <v>8</v>
      </c>
      <c r="G12">
        <v>8</v>
      </c>
      <c r="H12">
        <v>1</v>
      </c>
      <c r="I12">
        <v>0</v>
      </c>
      <c r="J12">
        <v>0.5</v>
      </c>
    </row>
    <row r="13" spans="1:10" x14ac:dyDescent="0.3">
      <c r="A13">
        <v>11</v>
      </c>
      <c r="B13">
        <v>175</v>
      </c>
      <c r="C13" t="b">
        <v>1</v>
      </c>
      <c r="D13">
        <v>8054</v>
      </c>
      <c r="E13">
        <v>8117</v>
      </c>
      <c r="F13">
        <v>8</v>
      </c>
      <c r="G13">
        <v>7.5</v>
      </c>
      <c r="H13">
        <v>1.0666667000000001</v>
      </c>
      <c r="I13">
        <v>-6.6666669999999997E-2</v>
      </c>
      <c r="J13">
        <v>0.48387095000000002</v>
      </c>
    </row>
    <row r="14" spans="1:10" x14ac:dyDescent="0.3">
      <c r="A14">
        <v>12</v>
      </c>
      <c r="B14">
        <v>191</v>
      </c>
      <c r="C14" t="b">
        <v>1</v>
      </c>
      <c r="D14">
        <v>8048</v>
      </c>
      <c r="E14">
        <v>8123</v>
      </c>
      <c r="F14">
        <v>8</v>
      </c>
      <c r="G14">
        <v>7.0769229999999999</v>
      </c>
      <c r="H14">
        <v>1.1304349</v>
      </c>
      <c r="I14">
        <v>-0.13043481000000001</v>
      </c>
      <c r="J14">
        <v>0.46938774</v>
      </c>
    </row>
    <row r="15" spans="1:10" x14ac:dyDescent="0.3">
      <c r="A15">
        <v>13</v>
      </c>
      <c r="B15">
        <v>207</v>
      </c>
      <c r="C15" t="b">
        <v>1</v>
      </c>
      <c r="D15">
        <v>8048</v>
      </c>
      <c r="E15">
        <v>8117</v>
      </c>
      <c r="F15">
        <v>8</v>
      </c>
      <c r="G15">
        <v>6.7142860000000004</v>
      </c>
      <c r="H15">
        <v>1.1914893</v>
      </c>
      <c r="I15">
        <v>-0.19148934000000001</v>
      </c>
      <c r="J15">
        <v>0.45631070000000001</v>
      </c>
    </row>
    <row r="16" spans="1:10" x14ac:dyDescent="0.3">
      <c r="A16">
        <v>14</v>
      </c>
      <c r="B16">
        <v>223</v>
      </c>
      <c r="C16" t="b">
        <v>1</v>
      </c>
      <c r="D16">
        <v>8054</v>
      </c>
      <c r="E16">
        <v>8123</v>
      </c>
      <c r="F16">
        <v>8</v>
      </c>
      <c r="G16">
        <v>6.4</v>
      </c>
      <c r="H16">
        <v>1.25</v>
      </c>
      <c r="I16">
        <v>-0.24999999000000001</v>
      </c>
      <c r="J16">
        <v>0.44444447999999998</v>
      </c>
    </row>
    <row r="17" spans="1:10" x14ac:dyDescent="0.3">
      <c r="A17">
        <v>15</v>
      </c>
      <c r="B17">
        <v>239</v>
      </c>
      <c r="C17" t="b">
        <v>1</v>
      </c>
      <c r="D17">
        <v>8048</v>
      </c>
      <c r="E17">
        <v>8123</v>
      </c>
      <c r="F17">
        <v>8</v>
      </c>
      <c r="G17">
        <v>6.4</v>
      </c>
      <c r="H17">
        <v>1.25</v>
      </c>
      <c r="I17">
        <v>-0.24999999000000001</v>
      </c>
      <c r="J17">
        <v>0.44444447999999998</v>
      </c>
    </row>
    <row r="18" spans="1:10" x14ac:dyDescent="0.3">
      <c r="A18">
        <v>16</v>
      </c>
      <c r="B18">
        <v>255</v>
      </c>
      <c r="C18" t="b">
        <v>1</v>
      </c>
      <c r="D18">
        <v>8048</v>
      </c>
      <c r="E18">
        <v>8123</v>
      </c>
      <c r="F18">
        <v>8</v>
      </c>
      <c r="G18">
        <v>6.4</v>
      </c>
      <c r="H18">
        <v>1.25</v>
      </c>
      <c r="I18">
        <v>-0.24999999000000001</v>
      </c>
      <c r="J18">
        <v>0.44444447999999998</v>
      </c>
    </row>
    <row r="19" spans="1:10" x14ac:dyDescent="0.3">
      <c r="A19">
        <v>17</v>
      </c>
      <c r="B19">
        <v>271</v>
      </c>
      <c r="C19" t="b">
        <v>1</v>
      </c>
      <c r="D19">
        <v>8048</v>
      </c>
      <c r="E19">
        <v>8117</v>
      </c>
      <c r="F19">
        <v>8</v>
      </c>
      <c r="G19">
        <v>6.4</v>
      </c>
      <c r="H19">
        <v>1.25</v>
      </c>
      <c r="I19">
        <v>-0.24999999000000001</v>
      </c>
      <c r="J19">
        <v>0.44444447999999998</v>
      </c>
    </row>
    <row r="20" spans="1:10" x14ac:dyDescent="0.3">
      <c r="A20">
        <v>18</v>
      </c>
      <c r="B20">
        <v>287</v>
      </c>
      <c r="C20" t="b">
        <v>1</v>
      </c>
      <c r="D20">
        <v>8048</v>
      </c>
      <c r="E20">
        <v>8123</v>
      </c>
      <c r="F20">
        <v>8</v>
      </c>
      <c r="G20">
        <v>6.4</v>
      </c>
      <c r="H20">
        <v>1.25</v>
      </c>
      <c r="I20">
        <v>-0.24999999000000001</v>
      </c>
      <c r="J20">
        <v>0.44444447999999998</v>
      </c>
    </row>
    <row r="21" spans="1:10" x14ac:dyDescent="0.3">
      <c r="A21">
        <v>19</v>
      </c>
      <c r="B21">
        <v>302</v>
      </c>
      <c r="C21" t="b">
        <v>1</v>
      </c>
      <c r="D21">
        <v>8042</v>
      </c>
      <c r="E21">
        <v>8123</v>
      </c>
      <c r="F21">
        <v>8</v>
      </c>
      <c r="G21">
        <v>6.4</v>
      </c>
      <c r="H21">
        <v>1.25</v>
      </c>
      <c r="I21">
        <v>-0.24999999000000001</v>
      </c>
      <c r="J21">
        <v>0.44444447999999998</v>
      </c>
    </row>
    <row r="22" spans="1:10" x14ac:dyDescent="0.3">
      <c r="A22">
        <v>20</v>
      </c>
      <c r="B22">
        <v>318</v>
      </c>
      <c r="C22" t="b">
        <v>1</v>
      </c>
      <c r="D22">
        <v>8048</v>
      </c>
      <c r="E22">
        <v>8123</v>
      </c>
      <c r="F22">
        <v>8</v>
      </c>
      <c r="G22">
        <v>6.4</v>
      </c>
      <c r="H22">
        <v>1.25</v>
      </c>
      <c r="I22">
        <v>-0.24999999000000001</v>
      </c>
      <c r="J22">
        <v>0.44444447999999998</v>
      </c>
    </row>
    <row r="23" spans="1:10" x14ac:dyDescent="0.3">
      <c r="A23">
        <v>21</v>
      </c>
      <c r="B23">
        <v>334</v>
      </c>
      <c r="C23" t="b">
        <v>1</v>
      </c>
      <c r="D23">
        <v>8048</v>
      </c>
      <c r="E23">
        <v>8123</v>
      </c>
      <c r="F23">
        <v>8</v>
      </c>
      <c r="G23">
        <v>6.4</v>
      </c>
      <c r="H23">
        <v>1.25</v>
      </c>
      <c r="I23">
        <v>-0.24999999000000001</v>
      </c>
      <c r="J23">
        <v>0.44444447999999998</v>
      </c>
    </row>
    <row r="24" spans="1:10" x14ac:dyDescent="0.3">
      <c r="A24">
        <v>22</v>
      </c>
      <c r="B24">
        <v>350</v>
      </c>
      <c r="C24" t="b">
        <v>1</v>
      </c>
      <c r="D24">
        <v>8048</v>
      </c>
      <c r="E24">
        <v>8123</v>
      </c>
      <c r="F24">
        <v>8</v>
      </c>
      <c r="G24">
        <v>6.4</v>
      </c>
      <c r="H24">
        <v>1.25</v>
      </c>
      <c r="I24">
        <v>-0.24999999000000001</v>
      </c>
      <c r="J24">
        <v>0.44444447999999998</v>
      </c>
    </row>
    <row r="25" spans="1:10" x14ac:dyDescent="0.3">
      <c r="A25">
        <v>23</v>
      </c>
      <c r="B25">
        <v>366</v>
      </c>
      <c r="C25" t="b">
        <v>1</v>
      </c>
      <c r="D25">
        <v>8048</v>
      </c>
      <c r="E25">
        <v>8117</v>
      </c>
      <c r="F25">
        <v>8</v>
      </c>
      <c r="G25">
        <v>6.4</v>
      </c>
      <c r="H25">
        <v>1.25</v>
      </c>
      <c r="I25">
        <v>-0.24999999000000001</v>
      </c>
      <c r="J25">
        <v>0.44444447999999998</v>
      </c>
    </row>
    <row r="26" spans="1:10" x14ac:dyDescent="0.3">
      <c r="A26">
        <v>24</v>
      </c>
      <c r="B26">
        <v>382</v>
      </c>
      <c r="C26" t="b">
        <v>1</v>
      </c>
      <c r="D26">
        <v>8048</v>
      </c>
      <c r="E26">
        <v>8123</v>
      </c>
      <c r="F26">
        <v>8</v>
      </c>
      <c r="G26">
        <v>6.4</v>
      </c>
      <c r="H26">
        <v>1.25</v>
      </c>
      <c r="I26">
        <v>-0.24999999000000001</v>
      </c>
      <c r="J26">
        <v>0.44444447999999998</v>
      </c>
    </row>
    <row r="27" spans="1:10" x14ac:dyDescent="0.3">
      <c r="A27">
        <v>25</v>
      </c>
      <c r="B27">
        <v>397</v>
      </c>
      <c r="C27" t="b">
        <v>1</v>
      </c>
      <c r="D27">
        <v>8048</v>
      </c>
      <c r="E27">
        <v>8123</v>
      </c>
      <c r="F27">
        <v>8</v>
      </c>
      <c r="G27">
        <v>6.4</v>
      </c>
      <c r="H27">
        <v>1.25</v>
      </c>
      <c r="I27">
        <v>-0.24999999000000001</v>
      </c>
      <c r="J27">
        <v>0.44444447999999998</v>
      </c>
    </row>
    <row r="28" spans="1:10" x14ac:dyDescent="0.3">
      <c r="A28">
        <v>26</v>
      </c>
      <c r="B28">
        <v>413</v>
      </c>
      <c r="C28" t="b">
        <v>1</v>
      </c>
      <c r="D28">
        <v>8048</v>
      </c>
      <c r="E28">
        <v>8123</v>
      </c>
      <c r="F28">
        <v>8</v>
      </c>
      <c r="G28">
        <v>6.8</v>
      </c>
      <c r="H28">
        <v>1.1764705</v>
      </c>
      <c r="I28">
        <v>-0.17647055</v>
      </c>
      <c r="J28">
        <v>0.45945944999999999</v>
      </c>
    </row>
    <row r="29" spans="1:10" x14ac:dyDescent="0.3">
      <c r="A29">
        <v>27</v>
      </c>
      <c r="B29">
        <v>429</v>
      </c>
      <c r="C29" t="b">
        <v>1</v>
      </c>
      <c r="D29">
        <v>8048</v>
      </c>
      <c r="E29">
        <v>8117</v>
      </c>
      <c r="F29">
        <v>8</v>
      </c>
      <c r="G29">
        <v>7.2</v>
      </c>
      <c r="H29">
        <v>1.1111112000000001</v>
      </c>
      <c r="I29">
        <v>-0.11111114</v>
      </c>
      <c r="J29">
        <v>0.4736842</v>
      </c>
    </row>
    <row r="30" spans="1:10" x14ac:dyDescent="0.3">
      <c r="A30">
        <v>28</v>
      </c>
      <c r="B30">
        <v>445</v>
      </c>
      <c r="C30" t="b">
        <v>1</v>
      </c>
      <c r="D30">
        <v>8048</v>
      </c>
      <c r="E30">
        <v>8117</v>
      </c>
      <c r="F30">
        <v>8</v>
      </c>
      <c r="G30">
        <v>7.6</v>
      </c>
      <c r="H30">
        <v>1.0526316</v>
      </c>
      <c r="I30">
        <v>-5.2631589999999999E-2</v>
      </c>
      <c r="J30">
        <v>0.48717946000000001</v>
      </c>
    </row>
    <row r="31" spans="1:10" x14ac:dyDescent="0.3">
      <c r="A31">
        <v>29</v>
      </c>
      <c r="B31">
        <v>460</v>
      </c>
      <c r="C31" t="b">
        <v>1</v>
      </c>
      <c r="D31">
        <v>8048</v>
      </c>
      <c r="E31">
        <v>8117</v>
      </c>
      <c r="F31">
        <v>8</v>
      </c>
      <c r="G31">
        <v>7.6</v>
      </c>
      <c r="H31">
        <v>1.0526316</v>
      </c>
      <c r="I31">
        <v>-5.2631589999999999E-2</v>
      </c>
      <c r="J31">
        <v>0.48717946000000001</v>
      </c>
    </row>
    <row r="32" spans="1:10" x14ac:dyDescent="0.3">
      <c r="A32">
        <v>30</v>
      </c>
      <c r="B32">
        <v>476</v>
      </c>
      <c r="C32" t="b">
        <v>1</v>
      </c>
      <c r="D32">
        <v>8048</v>
      </c>
      <c r="E32">
        <v>8111</v>
      </c>
      <c r="F32">
        <v>8</v>
      </c>
      <c r="G32">
        <v>7.2</v>
      </c>
      <c r="H32">
        <v>1.1111112000000001</v>
      </c>
      <c r="I32">
        <v>-0.11111114</v>
      </c>
      <c r="J32">
        <v>0.4736842</v>
      </c>
    </row>
    <row r="33" spans="1:10" x14ac:dyDescent="0.3">
      <c r="A33">
        <v>31</v>
      </c>
      <c r="B33">
        <v>492</v>
      </c>
      <c r="C33" t="b">
        <v>1</v>
      </c>
      <c r="D33">
        <v>8048</v>
      </c>
      <c r="E33">
        <v>8117</v>
      </c>
      <c r="F33">
        <v>8</v>
      </c>
      <c r="G33">
        <v>6.8</v>
      </c>
      <c r="H33">
        <v>1.1764705</v>
      </c>
      <c r="I33">
        <v>-0.17647055</v>
      </c>
      <c r="J33">
        <v>0.45945944999999999</v>
      </c>
    </row>
    <row r="34" spans="1:10" x14ac:dyDescent="0.3">
      <c r="A34">
        <v>32</v>
      </c>
      <c r="B34">
        <v>508</v>
      </c>
      <c r="C34" t="b">
        <v>1</v>
      </c>
      <c r="D34">
        <v>8042</v>
      </c>
      <c r="E34">
        <v>8117</v>
      </c>
      <c r="F34">
        <v>8</v>
      </c>
      <c r="G34">
        <v>6.4</v>
      </c>
      <c r="H34">
        <v>1.25</v>
      </c>
      <c r="I34">
        <v>-0.24999999000000001</v>
      </c>
      <c r="J34">
        <v>0.44444447999999998</v>
      </c>
    </row>
    <row r="35" spans="1:10" x14ac:dyDescent="0.3">
      <c r="A35">
        <v>33</v>
      </c>
      <c r="B35">
        <v>523</v>
      </c>
      <c r="C35" t="b">
        <v>1</v>
      </c>
      <c r="D35">
        <v>8054</v>
      </c>
      <c r="E35">
        <v>8117</v>
      </c>
      <c r="F35">
        <v>8</v>
      </c>
      <c r="G35">
        <v>6</v>
      </c>
      <c r="H35">
        <v>1.3333333999999999</v>
      </c>
      <c r="I35">
        <v>-0.33333333999999998</v>
      </c>
      <c r="J35">
        <v>0.42857142999999998</v>
      </c>
    </row>
    <row r="36" spans="1:10" x14ac:dyDescent="0.3">
      <c r="A36">
        <v>34</v>
      </c>
      <c r="B36">
        <v>539</v>
      </c>
      <c r="C36" t="b">
        <v>1</v>
      </c>
      <c r="D36">
        <v>8048</v>
      </c>
      <c r="E36">
        <v>8123</v>
      </c>
      <c r="F36">
        <v>8</v>
      </c>
      <c r="G36">
        <v>5.6</v>
      </c>
      <c r="H36">
        <v>1.4285715000000001</v>
      </c>
      <c r="I36">
        <v>-0.42857146000000002</v>
      </c>
      <c r="J36">
        <v>0.41176467999999999</v>
      </c>
    </row>
    <row r="37" spans="1:10" x14ac:dyDescent="0.3">
      <c r="A37">
        <v>35</v>
      </c>
      <c r="B37">
        <v>555</v>
      </c>
      <c r="C37" t="b">
        <v>1</v>
      </c>
      <c r="D37">
        <v>8048</v>
      </c>
      <c r="E37">
        <v>8123</v>
      </c>
      <c r="F37">
        <v>8</v>
      </c>
      <c r="G37">
        <v>5.2</v>
      </c>
      <c r="H37">
        <v>1.5384616</v>
      </c>
      <c r="I37">
        <v>-0.53846156999999994</v>
      </c>
      <c r="J37">
        <v>0.39393938000000001</v>
      </c>
    </row>
    <row r="38" spans="1:10" x14ac:dyDescent="0.3">
      <c r="A38">
        <v>36</v>
      </c>
      <c r="B38">
        <v>571</v>
      </c>
      <c r="C38" t="b">
        <v>1</v>
      </c>
      <c r="D38">
        <v>8054</v>
      </c>
      <c r="E38">
        <v>8123</v>
      </c>
      <c r="F38">
        <v>8</v>
      </c>
      <c r="G38">
        <v>5.2</v>
      </c>
      <c r="H38">
        <v>1.5384616</v>
      </c>
      <c r="I38">
        <v>-0.53846156999999994</v>
      </c>
      <c r="J38">
        <v>0.39393938000000001</v>
      </c>
    </row>
    <row r="39" spans="1:10" x14ac:dyDescent="0.3">
      <c r="A39">
        <v>37</v>
      </c>
      <c r="B39">
        <v>587</v>
      </c>
      <c r="C39" t="b">
        <v>1</v>
      </c>
      <c r="D39">
        <v>8054</v>
      </c>
      <c r="E39">
        <v>8123</v>
      </c>
      <c r="F39">
        <v>8.4</v>
      </c>
      <c r="G39">
        <v>5.2</v>
      </c>
      <c r="H39">
        <v>1.6153846000000001</v>
      </c>
      <c r="I39">
        <v>-0.61538459999999995</v>
      </c>
      <c r="J39">
        <v>0.38235295000000002</v>
      </c>
    </row>
    <row r="40" spans="1:10" x14ac:dyDescent="0.3">
      <c r="A40">
        <v>38</v>
      </c>
      <c r="B40">
        <v>604</v>
      </c>
      <c r="C40" t="b">
        <v>1</v>
      </c>
      <c r="D40">
        <v>8054</v>
      </c>
      <c r="E40">
        <v>8123</v>
      </c>
      <c r="F40">
        <v>8.8000000000000007</v>
      </c>
      <c r="G40">
        <v>5.2</v>
      </c>
      <c r="H40">
        <v>1.6923078</v>
      </c>
      <c r="I40">
        <v>-0.69230780000000003</v>
      </c>
      <c r="J40">
        <v>0.37142855000000002</v>
      </c>
    </row>
    <row r="41" spans="1:10" x14ac:dyDescent="0.3">
      <c r="A41">
        <v>39</v>
      </c>
      <c r="B41">
        <v>619</v>
      </c>
      <c r="C41" t="b">
        <v>1</v>
      </c>
      <c r="D41">
        <v>8054</v>
      </c>
      <c r="E41">
        <v>8123</v>
      </c>
      <c r="F41">
        <v>9.1999999999999993</v>
      </c>
      <c r="G41">
        <v>5.2</v>
      </c>
      <c r="H41">
        <v>1.7692308000000001</v>
      </c>
      <c r="I41">
        <v>-0.76923079999999999</v>
      </c>
      <c r="J41">
        <v>0.36111110000000002</v>
      </c>
    </row>
    <row r="42" spans="1:10" x14ac:dyDescent="0.3">
      <c r="A42">
        <v>40</v>
      </c>
      <c r="B42">
        <v>635</v>
      </c>
      <c r="C42" t="b">
        <v>1</v>
      </c>
      <c r="D42">
        <v>8054</v>
      </c>
      <c r="E42">
        <v>8123</v>
      </c>
      <c r="F42">
        <v>9.6</v>
      </c>
      <c r="G42">
        <v>5.2</v>
      </c>
      <c r="H42">
        <v>1.8461540000000001</v>
      </c>
      <c r="I42">
        <v>-0.84615399999999996</v>
      </c>
      <c r="J42">
        <v>0.35135132000000002</v>
      </c>
    </row>
    <row r="43" spans="1:10" x14ac:dyDescent="0.3">
      <c r="A43">
        <v>41</v>
      </c>
      <c r="B43">
        <v>651</v>
      </c>
      <c r="C43" t="b">
        <v>1</v>
      </c>
      <c r="D43">
        <v>8060</v>
      </c>
      <c r="E43">
        <v>8123</v>
      </c>
      <c r="F43">
        <v>10</v>
      </c>
      <c r="G43">
        <v>5.2</v>
      </c>
      <c r="H43">
        <v>1.9230769999999999</v>
      </c>
      <c r="I43">
        <v>-0.92307700000000004</v>
      </c>
      <c r="J43">
        <v>0.34210527000000002</v>
      </c>
    </row>
    <row r="44" spans="1:10" x14ac:dyDescent="0.3">
      <c r="A44">
        <v>42</v>
      </c>
      <c r="B44">
        <v>667</v>
      </c>
      <c r="C44" t="b">
        <v>1</v>
      </c>
      <c r="D44">
        <v>8042</v>
      </c>
      <c r="E44">
        <v>8123</v>
      </c>
      <c r="F44">
        <v>10.4</v>
      </c>
      <c r="G44">
        <v>5.2</v>
      </c>
      <c r="H44">
        <v>2</v>
      </c>
      <c r="I44">
        <v>-1</v>
      </c>
      <c r="J44">
        <v>0.33333333999999998</v>
      </c>
    </row>
    <row r="45" spans="1:10" x14ac:dyDescent="0.3">
      <c r="A45">
        <v>43</v>
      </c>
      <c r="B45">
        <v>683</v>
      </c>
      <c r="C45" t="b">
        <v>1</v>
      </c>
      <c r="D45">
        <v>8048</v>
      </c>
      <c r="E45">
        <v>8123</v>
      </c>
      <c r="F45">
        <v>10.8</v>
      </c>
      <c r="G45">
        <v>5.2</v>
      </c>
      <c r="H45">
        <v>2.0769231000000001</v>
      </c>
      <c r="I45">
        <v>-1.0769230999999999</v>
      </c>
      <c r="J45">
        <v>0.32500000000000001</v>
      </c>
    </row>
    <row r="46" spans="1:10" x14ac:dyDescent="0.3">
      <c r="A46">
        <v>44</v>
      </c>
      <c r="B46">
        <v>699</v>
      </c>
      <c r="C46" t="b">
        <v>1</v>
      </c>
      <c r="D46">
        <v>8042</v>
      </c>
      <c r="E46">
        <v>8117</v>
      </c>
      <c r="F46">
        <v>10.8</v>
      </c>
      <c r="G46">
        <v>5.6</v>
      </c>
      <c r="H46">
        <v>1.9285715000000001</v>
      </c>
      <c r="I46">
        <v>-0.92857149999999999</v>
      </c>
      <c r="J46">
        <v>0.34146342000000002</v>
      </c>
    </row>
    <row r="47" spans="1:10" x14ac:dyDescent="0.3">
      <c r="A47">
        <v>45</v>
      </c>
      <c r="B47">
        <v>715</v>
      </c>
      <c r="C47" t="b">
        <v>1</v>
      </c>
      <c r="D47">
        <v>8042</v>
      </c>
      <c r="E47">
        <v>8117</v>
      </c>
      <c r="F47">
        <v>10.4</v>
      </c>
      <c r="G47">
        <v>6</v>
      </c>
      <c r="H47">
        <v>1.7333331999999999</v>
      </c>
      <c r="I47">
        <v>-0.73333329999999997</v>
      </c>
      <c r="J47">
        <v>0.36585367000000002</v>
      </c>
    </row>
    <row r="48" spans="1:10" x14ac:dyDescent="0.3">
      <c r="A48">
        <v>46</v>
      </c>
      <c r="B48">
        <v>731</v>
      </c>
      <c r="C48" t="b">
        <v>1</v>
      </c>
      <c r="D48">
        <v>8042</v>
      </c>
      <c r="E48">
        <v>8123</v>
      </c>
      <c r="F48">
        <v>10</v>
      </c>
      <c r="G48">
        <v>6.4</v>
      </c>
      <c r="H48">
        <v>1.5625</v>
      </c>
      <c r="I48">
        <v>-0.5625</v>
      </c>
      <c r="J48">
        <v>0.39024392000000002</v>
      </c>
    </row>
    <row r="49" spans="1:10" x14ac:dyDescent="0.3">
      <c r="A49">
        <v>47</v>
      </c>
      <c r="B49">
        <v>747</v>
      </c>
      <c r="C49" t="b">
        <v>1</v>
      </c>
      <c r="D49">
        <v>8042</v>
      </c>
      <c r="E49">
        <v>8123</v>
      </c>
      <c r="F49">
        <v>9.6</v>
      </c>
      <c r="G49">
        <v>6.8</v>
      </c>
      <c r="H49">
        <v>1.4117647</v>
      </c>
      <c r="I49">
        <v>-0.41176469999999998</v>
      </c>
      <c r="J49">
        <v>0.41463410000000001</v>
      </c>
    </row>
    <row r="50" spans="1:10" x14ac:dyDescent="0.3">
      <c r="A50">
        <v>48</v>
      </c>
      <c r="B50">
        <v>762</v>
      </c>
      <c r="C50" t="b">
        <v>1</v>
      </c>
      <c r="D50">
        <v>8042</v>
      </c>
      <c r="E50">
        <v>8117</v>
      </c>
      <c r="F50">
        <v>9.1999999999999993</v>
      </c>
      <c r="G50">
        <v>6.8</v>
      </c>
      <c r="H50">
        <v>1.3529412000000001</v>
      </c>
      <c r="I50">
        <v>-0.35294110000000001</v>
      </c>
      <c r="J50">
        <v>0.42499999999999999</v>
      </c>
    </row>
    <row r="51" spans="1:10" x14ac:dyDescent="0.3">
      <c r="A51">
        <v>49</v>
      </c>
      <c r="B51">
        <v>778</v>
      </c>
      <c r="C51" t="b">
        <v>1</v>
      </c>
      <c r="D51">
        <v>8054</v>
      </c>
      <c r="E51">
        <v>8117</v>
      </c>
      <c r="F51">
        <v>8.8000000000000007</v>
      </c>
      <c r="G51">
        <v>6.8</v>
      </c>
      <c r="H51">
        <v>1.2941176999999999</v>
      </c>
      <c r="I51">
        <v>-0.29411763000000002</v>
      </c>
      <c r="J51">
        <v>0.43589744000000002</v>
      </c>
    </row>
    <row r="52" spans="1:10" x14ac:dyDescent="0.3">
      <c r="A52">
        <v>50</v>
      </c>
      <c r="B52">
        <v>794</v>
      </c>
      <c r="C52" t="b">
        <v>1</v>
      </c>
      <c r="D52">
        <v>8048</v>
      </c>
      <c r="E52">
        <v>8123</v>
      </c>
      <c r="F52">
        <v>8.4</v>
      </c>
      <c r="G52">
        <v>7.2</v>
      </c>
      <c r="H52">
        <v>1.1666666000000001</v>
      </c>
      <c r="I52">
        <v>-0.16666664</v>
      </c>
      <c r="J52">
        <v>0.46153845999999998</v>
      </c>
    </row>
    <row r="53" spans="1:10" x14ac:dyDescent="0.3">
      <c r="A53">
        <v>51</v>
      </c>
      <c r="B53">
        <v>810</v>
      </c>
      <c r="C53" t="b">
        <v>1</v>
      </c>
      <c r="D53">
        <v>8054</v>
      </c>
      <c r="E53">
        <v>8123</v>
      </c>
      <c r="F53">
        <v>8.4</v>
      </c>
      <c r="G53">
        <v>7.2</v>
      </c>
      <c r="H53">
        <v>1.1666666000000001</v>
      </c>
      <c r="I53">
        <v>-0.16666664</v>
      </c>
      <c r="J53">
        <v>0.46153845999999998</v>
      </c>
    </row>
    <row r="54" spans="1:10" x14ac:dyDescent="0.3">
      <c r="A54">
        <v>52</v>
      </c>
      <c r="B54">
        <v>825</v>
      </c>
      <c r="C54" t="b">
        <v>1</v>
      </c>
      <c r="D54">
        <v>8048</v>
      </c>
      <c r="E54">
        <v>8117</v>
      </c>
      <c r="F54">
        <v>8</v>
      </c>
      <c r="G54">
        <v>6.8</v>
      </c>
      <c r="H54">
        <v>1.1764705</v>
      </c>
      <c r="I54">
        <v>-0.17647055</v>
      </c>
      <c r="J54">
        <v>0.45945944999999999</v>
      </c>
    </row>
    <row r="55" spans="1:10" x14ac:dyDescent="0.3">
      <c r="A55">
        <v>53</v>
      </c>
      <c r="B55">
        <v>841</v>
      </c>
      <c r="C55" t="b">
        <v>1</v>
      </c>
      <c r="D55">
        <v>8048</v>
      </c>
      <c r="E55">
        <v>8117</v>
      </c>
      <c r="F55">
        <v>7.6</v>
      </c>
      <c r="G55">
        <v>6.4</v>
      </c>
      <c r="H55">
        <v>1.1875</v>
      </c>
      <c r="I55">
        <v>-0.18749996999999999</v>
      </c>
      <c r="J55">
        <v>0.45714285999999998</v>
      </c>
    </row>
    <row r="56" spans="1:10" x14ac:dyDescent="0.3">
      <c r="A56">
        <v>54</v>
      </c>
      <c r="B56">
        <v>857</v>
      </c>
      <c r="C56" t="b">
        <v>1</v>
      </c>
      <c r="D56">
        <v>8048</v>
      </c>
      <c r="E56">
        <v>8117</v>
      </c>
      <c r="F56">
        <v>7.2</v>
      </c>
      <c r="G56">
        <v>6</v>
      </c>
      <c r="H56">
        <v>1.1999998999999999</v>
      </c>
      <c r="I56">
        <v>-0.19999997</v>
      </c>
      <c r="J56">
        <v>0.45454547000000001</v>
      </c>
    </row>
    <row r="57" spans="1:10" x14ac:dyDescent="0.3">
      <c r="A57">
        <v>55</v>
      </c>
      <c r="B57">
        <v>873</v>
      </c>
      <c r="C57" t="b">
        <v>1</v>
      </c>
      <c r="D57">
        <v>8054</v>
      </c>
      <c r="E57">
        <v>8117</v>
      </c>
      <c r="F57">
        <v>6.8</v>
      </c>
      <c r="G57">
        <v>5.6</v>
      </c>
      <c r="H57">
        <v>1.2142857</v>
      </c>
      <c r="I57">
        <v>-0.21428578000000001</v>
      </c>
      <c r="J57">
        <v>0.45161291999999997</v>
      </c>
    </row>
    <row r="58" spans="1:10" x14ac:dyDescent="0.3">
      <c r="A58">
        <v>56</v>
      </c>
      <c r="B58">
        <v>889</v>
      </c>
      <c r="C58" t="b">
        <v>1</v>
      </c>
      <c r="D58">
        <v>8048</v>
      </c>
      <c r="E58">
        <v>8117</v>
      </c>
      <c r="F58">
        <v>6.4</v>
      </c>
      <c r="G58">
        <v>5.2</v>
      </c>
      <c r="H58">
        <v>1.2307693</v>
      </c>
      <c r="I58">
        <v>-0.23076928999999999</v>
      </c>
      <c r="J58">
        <v>0.44827582999999999</v>
      </c>
    </row>
    <row r="59" spans="1:10" x14ac:dyDescent="0.3">
      <c r="A59">
        <v>57</v>
      </c>
      <c r="B59">
        <v>905</v>
      </c>
      <c r="C59" t="b">
        <v>1</v>
      </c>
      <c r="D59">
        <v>8054</v>
      </c>
      <c r="E59">
        <v>8117</v>
      </c>
      <c r="F59">
        <v>6</v>
      </c>
      <c r="G59">
        <v>4.8</v>
      </c>
      <c r="H59">
        <v>1.25</v>
      </c>
      <c r="I59">
        <v>-0.24999995999999999</v>
      </c>
      <c r="J59">
        <v>0.44444444999999999</v>
      </c>
    </row>
    <row r="60" spans="1:10" x14ac:dyDescent="0.3">
      <c r="A60">
        <v>58</v>
      </c>
      <c r="B60">
        <v>921</v>
      </c>
      <c r="C60" t="b">
        <v>1</v>
      </c>
      <c r="D60">
        <v>8048</v>
      </c>
      <c r="E60">
        <v>8117</v>
      </c>
      <c r="F60">
        <v>5.6</v>
      </c>
      <c r="G60">
        <v>4.4000000000000004</v>
      </c>
      <c r="H60">
        <v>1.2727272999999999</v>
      </c>
      <c r="I60">
        <v>-0.27272721999999999</v>
      </c>
      <c r="J60">
        <v>0.44</v>
      </c>
    </row>
    <row r="61" spans="1:10" x14ac:dyDescent="0.3">
      <c r="A61">
        <v>59</v>
      </c>
      <c r="B61">
        <v>937</v>
      </c>
      <c r="C61" t="b">
        <v>1</v>
      </c>
      <c r="D61">
        <v>8048</v>
      </c>
      <c r="E61">
        <v>8111</v>
      </c>
      <c r="F61">
        <v>5.6</v>
      </c>
      <c r="G61">
        <v>4</v>
      </c>
      <c r="H61">
        <v>1.4</v>
      </c>
      <c r="I61">
        <v>-0.39999997999999998</v>
      </c>
      <c r="J61">
        <v>0.41666666000000002</v>
      </c>
    </row>
    <row r="62" spans="1:10" x14ac:dyDescent="0.3">
      <c r="A62">
        <v>60</v>
      </c>
      <c r="B62">
        <v>953</v>
      </c>
      <c r="C62" t="b">
        <v>1</v>
      </c>
      <c r="D62">
        <v>8048</v>
      </c>
      <c r="E62">
        <v>8117</v>
      </c>
      <c r="F62">
        <v>6</v>
      </c>
      <c r="G62">
        <v>3.6</v>
      </c>
      <c r="H62">
        <v>1.6666666999999999</v>
      </c>
      <c r="I62">
        <v>-0.66666669999999995</v>
      </c>
      <c r="J62">
        <v>0.37499997000000002</v>
      </c>
    </row>
    <row r="63" spans="1:10" x14ac:dyDescent="0.3">
      <c r="A63">
        <v>61</v>
      </c>
      <c r="B63">
        <v>969</v>
      </c>
      <c r="C63" t="b">
        <v>1</v>
      </c>
      <c r="D63">
        <v>8048</v>
      </c>
      <c r="E63">
        <v>8111</v>
      </c>
      <c r="F63">
        <v>6.4</v>
      </c>
      <c r="G63">
        <v>3.2</v>
      </c>
      <c r="H63">
        <v>2</v>
      </c>
      <c r="I63">
        <v>-1</v>
      </c>
      <c r="J63">
        <v>0.3333333</v>
      </c>
    </row>
    <row r="64" spans="1:10" x14ac:dyDescent="0.3">
      <c r="A64">
        <v>62</v>
      </c>
      <c r="B64">
        <v>985</v>
      </c>
      <c r="C64" t="b">
        <v>1</v>
      </c>
      <c r="D64">
        <v>8048</v>
      </c>
      <c r="E64">
        <v>8111</v>
      </c>
      <c r="F64">
        <v>6.8</v>
      </c>
      <c r="G64">
        <v>2.4</v>
      </c>
      <c r="H64">
        <v>2.8333333000000001</v>
      </c>
      <c r="I64">
        <v>-1.8333333000000001</v>
      </c>
      <c r="J64">
        <v>0.26086956</v>
      </c>
    </row>
    <row r="65" spans="1:10" x14ac:dyDescent="0.3">
      <c r="A65">
        <v>63</v>
      </c>
      <c r="B65">
        <v>1000</v>
      </c>
      <c r="C65" t="b">
        <v>1</v>
      </c>
      <c r="D65">
        <v>8054</v>
      </c>
      <c r="E65">
        <v>8117</v>
      </c>
      <c r="F65">
        <v>7.2</v>
      </c>
      <c r="G65">
        <v>2</v>
      </c>
      <c r="H65">
        <v>3.6</v>
      </c>
      <c r="I65">
        <v>-2.6</v>
      </c>
      <c r="J65">
        <v>0.21739131</v>
      </c>
    </row>
    <row r="66" spans="1:10" x14ac:dyDescent="0.3">
      <c r="A66">
        <v>64</v>
      </c>
      <c r="B66">
        <v>1016</v>
      </c>
      <c r="C66" t="b">
        <v>1</v>
      </c>
      <c r="D66">
        <v>8054</v>
      </c>
      <c r="E66">
        <v>8123</v>
      </c>
      <c r="F66">
        <v>7.6</v>
      </c>
      <c r="G66">
        <v>2</v>
      </c>
      <c r="H66">
        <v>3.8</v>
      </c>
      <c r="I66">
        <v>-2.8</v>
      </c>
      <c r="J66">
        <v>0.20833333000000001</v>
      </c>
    </row>
    <row r="67" spans="1:10" x14ac:dyDescent="0.3">
      <c r="A67">
        <v>65</v>
      </c>
      <c r="B67">
        <v>1032</v>
      </c>
      <c r="C67" t="b">
        <v>1</v>
      </c>
      <c r="D67">
        <v>8054</v>
      </c>
      <c r="E67">
        <v>8123</v>
      </c>
      <c r="F67">
        <v>8.4</v>
      </c>
      <c r="G67">
        <v>1.6</v>
      </c>
      <c r="H67">
        <v>5.2499995000000004</v>
      </c>
      <c r="I67">
        <v>-4.2499995000000004</v>
      </c>
      <c r="J67">
        <v>0.16</v>
      </c>
    </row>
    <row r="68" spans="1:10" x14ac:dyDescent="0.3">
      <c r="A68">
        <v>66</v>
      </c>
      <c r="B68">
        <v>1048</v>
      </c>
      <c r="C68" t="b">
        <v>1</v>
      </c>
      <c r="D68">
        <v>8048</v>
      </c>
      <c r="E68">
        <v>8123</v>
      </c>
      <c r="F68">
        <v>8.8000000000000007</v>
      </c>
      <c r="G68">
        <v>1.6</v>
      </c>
      <c r="H68">
        <v>5.5</v>
      </c>
      <c r="I68">
        <v>-4.5</v>
      </c>
      <c r="J68">
        <v>0.15384613999999999</v>
      </c>
    </row>
    <row r="69" spans="1:10" x14ac:dyDescent="0.3">
      <c r="A69">
        <v>67</v>
      </c>
      <c r="B69">
        <v>1063</v>
      </c>
      <c r="C69" t="b">
        <v>1</v>
      </c>
      <c r="D69">
        <v>8054</v>
      </c>
      <c r="E69">
        <v>8123</v>
      </c>
      <c r="F69">
        <v>9.1999999999999993</v>
      </c>
      <c r="G69">
        <v>2</v>
      </c>
      <c r="H69">
        <v>4.5999999999999996</v>
      </c>
      <c r="I69">
        <v>-3.6</v>
      </c>
      <c r="J69">
        <v>0.17857143</v>
      </c>
    </row>
    <row r="70" spans="1:10" x14ac:dyDescent="0.3">
      <c r="A70">
        <v>68</v>
      </c>
      <c r="B70">
        <v>1079</v>
      </c>
      <c r="C70" t="b">
        <v>1</v>
      </c>
      <c r="D70">
        <v>8048</v>
      </c>
      <c r="E70">
        <v>8123</v>
      </c>
      <c r="F70">
        <v>9.6</v>
      </c>
      <c r="G70">
        <v>2.4</v>
      </c>
      <c r="H70">
        <v>4</v>
      </c>
      <c r="I70">
        <v>-3</v>
      </c>
      <c r="J70">
        <v>0.2</v>
      </c>
    </row>
    <row r="71" spans="1:10" x14ac:dyDescent="0.3">
      <c r="A71">
        <v>69</v>
      </c>
      <c r="B71">
        <v>1095</v>
      </c>
      <c r="C71" t="b">
        <v>1</v>
      </c>
      <c r="D71">
        <v>8048</v>
      </c>
      <c r="E71">
        <v>8123</v>
      </c>
      <c r="F71">
        <v>9.6</v>
      </c>
      <c r="G71">
        <v>2.8</v>
      </c>
      <c r="H71">
        <v>3.4285717</v>
      </c>
      <c r="I71">
        <v>-2.4285714999999999</v>
      </c>
      <c r="J71">
        <v>0.22580643</v>
      </c>
    </row>
    <row r="72" spans="1:10" x14ac:dyDescent="0.3">
      <c r="A72">
        <v>70</v>
      </c>
      <c r="B72">
        <v>1111</v>
      </c>
      <c r="C72" t="b">
        <v>1</v>
      </c>
      <c r="D72">
        <v>8048</v>
      </c>
      <c r="E72">
        <v>8117</v>
      </c>
      <c r="F72">
        <v>9.6</v>
      </c>
      <c r="G72">
        <v>3.2</v>
      </c>
      <c r="H72">
        <v>3</v>
      </c>
      <c r="I72">
        <v>-2.0000002000000001</v>
      </c>
      <c r="J72">
        <v>0.25</v>
      </c>
    </row>
    <row r="73" spans="1:10" x14ac:dyDescent="0.3">
      <c r="A73">
        <v>71</v>
      </c>
      <c r="B73">
        <v>1127</v>
      </c>
      <c r="C73" t="b">
        <v>1</v>
      </c>
      <c r="D73">
        <v>8054</v>
      </c>
      <c r="E73">
        <v>8123</v>
      </c>
      <c r="F73">
        <v>9.6</v>
      </c>
      <c r="G73">
        <v>3.6</v>
      </c>
      <c r="H73">
        <v>2.6666666999999999</v>
      </c>
      <c r="I73">
        <v>-1.6666669000000001</v>
      </c>
      <c r="J73">
        <v>0.27272724999999998</v>
      </c>
    </row>
    <row r="74" spans="1:10" x14ac:dyDescent="0.3">
      <c r="A74">
        <v>72</v>
      </c>
      <c r="B74">
        <v>1143</v>
      </c>
      <c r="C74" t="b">
        <v>1</v>
      </c>
      <c r="D74">
        <v>8048</v>
      </c>
      <c r="E74">
        <v>8117</v>
      </c>
      <c r="F74">
        <v>9.6</v>
      </c>
      <c r="G74">
        <v>4</v>
      </c>
      <c r="H74">
        <v>2.4</v>
      </c>
      <c r="I74">
        <v>-1.4000001</v>
      </c>
      <c r="J74">
        <v>0.29411763000000002</v>
      </c>
    </row>
    <row r="75" spans="1:10" x14ac:dyDescent="0.3">
      <c r="A75">
        <v>73</v>
      </c>
      <c r="B75">
        <v>1158</v>
      </c>
      <c r="C75" t="b">
        <v>1</v>
      </c>
      <c r="D75">
        <v>8048</v>
      </c>
      <c r="E75">
        <v>8117</v>
      </c>
      <c r="F75">
        <v>9.6</v>
      </c>
      <c r="G75">
        <v>4</v>
      </c>
      <c r="H75">
        <v>2.4</v>
      </c>
      <c r="I75">
        <v>-1.4000001</v>
      </c>
      <c r="J75">
        <v>0.29411763000000002</v>
      </c>
    </row>
    <row r="76" spans="1:10" x14ac:dyDescent="0.3">
      <c r="A76">
        <v>74</v>
      </c>
      <c r="B76">
        <v>1174</v>
      </c>
      <c r="C76" t="b">
        <v>1</v>
      </c>
      <c r="D76">
        <v>8048</v>
      </c>
      <c r="E76">
        <v>8117</v>
      </c>
      <c r="F76">
        <v>9.6</v>
      </c>
      <c r="G76">
        <v>4</v>
      </c>
      <c r="H76">
        <v>2.4</v>
      </c>
      <c r="I76">
        <v>-1.4000001</v>
      </c>
      <c r="J76">
        <v>0.29411763000000002</v>
      </c>
    </row>
    <row r="77" spans="1:10" x14ac:dyDescent="0.3">
      <c r="A77">
        <v>75</v>
      </c>
      <c r="B77">
        <v>1190</v>
      </c>
      <c r="C77" t="b">
        <v>1</v>
      </c>
      <c r="D77">
        <v>8048</v>
      </c>
      <c r="E77">
        <v>8117</v>
      </c>
      <c r="F77">
        <v>9.6</v>
      </c>
      <c r="G77">
        <v>4</v>
      </c>
      <c r="H77">
        <v>2.4</v>
      </c>
      <c r="I77">
        <v>-1.4000001</v>
      </c>
      <c r="J77">
        <v>0.29411763000000002</v>
      </c>
    </row>
    <row r="78" spans="1:10" x14ac:dyDescent="0.3">
      <c r="A78">
        <v>76</v>
      </c>
      <c r="B78">
        <v>1206</v>
      </c>
      <c r="C78" t="b">
        <v>1</v>
      </c>
      <c r="D78">
        <v>8048</v>
      </c>
      <c r="E78">
        <v>8117</v>
      </c>
      <c r="F78">
        <v>9.6</v>
      </c>
      <c r="G78">
        <v>4</v>
      </c>
      <c r="H78">
        <v>2.4</v>
      </c>
      <c r="I78">
        <v>-1.4000001</v>
      </c>
      <c r="J78">
        <v>0.29411763000000002</v>
      </c>
    </row>
    <row r="79" spans="1:10" x14ac:dyDescent="0.3">
      <c r="A79">
        <v>77</v>
      </c>
      <c r="B79">
        <v>1222</v>
      </c>
      <c r="C79" t="b">
        <v>1</v>
      </c>
      <c r="D79">
        <v>8048</v>
      </c>
      <c r="E79">
        <v>8117</v>
      </c>
      <c r="F79">
        <v>9.6</v>
      </c>
      <c r="G79">
        <v>4.4000000000000004</v>
      </c>
      <c r="H79">
        <v>2.1818181999999999</v>
      </c>
      <c r="I79">
        <v>-1.1818181999999999</v>
      </c>
      <c r="J79">
        <v>0.31428572999999999</v>
      </c>
    </row>
    <row r="80" spans="1:10" x14ac:dyDescent="0.3">
      <c r="A80">
        <v>78</v>
      </c>
      <c r="B80">
        <v>1238</v>
      </c>
      <c r="C80" t="b">
        <v>1</v>
      </c>
      <c r="D80">
        <v>8048</v>
      </c>
      <c r="E80">
        <v>8123</v>
      </c>
      <c r="F80">
        <v>9.6</v>
      </c>
      <c r="G80">
        <v>4.8</v>
      </c>
      <c r="H80">
        <v>2</v>
      </c>
      <c r="I80">
        <v>-1</v>
      </c>
      <c r="J80">
        <v>0.33333333999999998</v>
      </c>
    </row>
    <row r="81" spans="1:10" x14ac:dyDescent="0.3">
      <c r="A81">
        <v>79</v>
      </c>
      <c r="B81">
        <v>1254</v>
      </c>
      <c r="C81" t="b">
        <v>1</v>
      </c>
      <c r="D81">
        <v>8048</v>
      </c>
      <c r="E81">
        <v>8123</v>
      </c>
      <c r="F81">
        <v>9.6</v>
      </c>
      <c r="G81">
        <v>4.8</v>
      </c>
      <c r="H81">
        <v>2</v>
      </c>
      <c r="I81">
        <v>-1</v>
      </c>
      <c r="J81">
        <v>0.33333333999999998</v>
      </c>
    </row>
    <row r="82" spans="1:10" x14ac:dyDescent="0.3">
      <c r="A82">
        <v>80</v>
      </c>
      <c r="B82">
        <v>1270</v>
      </c>
      <c r="C82" t="b">
        <v>1</v>
      </c>
      <c r="D82">
        <v>8048</v>
      </c>
      <c r="E82">
        <v>8123</v>
      </c>
      <c r="F82">
        <v>9.1999999999999993</v>
      </c>
      <c r="G82">
        <v>5.2</v>
      </c>
      <c r="H82">
        <v>1.7692308000000001</v>
      </c>
      <c r="I82">
        <v>-0.76923079999999999</v>
      </c>
      <c r="J82">
        <v>0.36111110000000002</v>
      </c>
    </row>
    <row r="83" spans="1:10" x14ac:dyDescent="0.3">
      <c r="A83">
        <v>81</v>
      </c>
      <c r="B83">
        <v>1285</v>
      </c>
      <c r="C83" t="b">
        <v>1</v>
      </c>
      <c r="D83">
        <v>8048</v>
      </c>
      <c r="E83">
        <v>8123</v>
      </c>
      <c r="F83">
        <v>8.8000000000000007</v>
      </c>
      <c r="G83">
        <v>5.2</v>
      </c>
      <c r="H83">
        <v>1.6923078</v>
      </c>
      <c r="I83">
        <v>-0.69230780000000003</v>
      </c>
      <c r="J83">
        <v>0.37142855000000002</v>
      </c>
    </row>
    <row r="84" spans="1:10" x14ac:dyDescent="0.3">
      <c r="A84">
        <v>82</v>
      </c>
      <c r="B84">
        <v>1301</v>
      </c>
      <c r="C84" t="b">
        <v>1</v>
      </c>
      <c r="D84">
        <v>8048</v>
      </c>
      <c r="E84">
        <v>8123</v>
      </c>
      <c r="F84">
        <v>8.4</v>
      </c>
      <c r="G84">
        <v>5.2</v>
      </c>
      <c r="H84">
        <v>1.6153846000000001</v>
      </c>
      <c r="I84">
        <v>-0.61538459999999995</v>
      </c>
      <c r="J84">
        <v>0.38235295000000002</v>
      </c>
    </row>
    <row r="85" spans="1:10" x14ac:dyDescent="0.3">
      <c r="A85">
        <v>83</v>
      </c>
      <c r="B85">
        <v>1317</v>
      </c>
      <c r="C85" t="b">
        <v>1</v>
      </c>
      <c r="D85">
        <v>8048</v>
      </c>
      <c r="E85">
        <v>8117</v>
      </c>
      <c r="F85">
        <v>8</v>
      </c>
      <c r="G85">
        <v>5.2</v>
      </c>
      <c r="H85">
        <v>1.5384616</v>
      </c>
      <c r="I85">
        <v>-0.53846156999999994</v>
      </c>
      <c r="J85">
        <v>0.39393938000000001</v>
      </c>
    </row>
    <row r="86" spans="1:10" x14ac:dyDescent="0.3">
      <c r="A86">
        <v>84</v>
      </c>
      <c r="B86">
        <v>1333</v>
      </c>
      <c r="C86" t="b">
        <v>1</v>
      </c>
      <c r="D86">
        <v>8048</v>
      </c>
      <c r="E86">
        <v>8123</v>
      </c>
      <c r="F86">
        <v>8</v>
      </c>
      <c r="G86">
        <v>5.2</v>
      </c>
      <c r="H86">
        <v>1.5384616</v>
      </c>
      <c r="I86">
        <v>-0.53846156999999994</v>
      </c>
      <c r="J86">
        <v>0.39393938000000001</v>
      </c>
    </row>
    <row r="87" spans="1:10" x14ac:dyDescent="0.3">
      <c r="A87">
        <v>85</v>
      </c>
      <c r="B87">
        <v>1349</v>
      </c>
      <c r="C87" t="b">
        <v>1</v>
      </c>
      <c r="D87">
        <v>8048</v>
      </c>
      <c r="E87">
        <v>8117</v>
      </c>
      <c r="F87">
        <v>8</v>
      </c>
      <c r="G87">
        <v>5.2</v>
      </c>
      <c r="H87">
        <v>1.5384616</v>
      </c>
      <c r="I87">
        <v>-0.53846156999999994</v>
      </c>
      <c r="J87">
        <v>0.39393938000000001</v>
      </c>
    </row>
    <row r="88" spans="1:10" x14ac:dyDescent="0.3">
      <c r="A88">
        <v>86</v>
      </c>
      <c r="B88">
        <v>1365</v>
      </c>
      <c r="C88" t="b">
        <v>1</v>
      </c>
      <c r="D88">
        <v>8054</v>
      </c>
      <c r="E88">
        <v>8117</v>
      </c>
      <c r="F88">
        <v>8</v>
      </c>
      <c r="G88">
        <v>4.8</v>
      </c>
      <c r="H88">
        <v>1.6666666000000001</v>
      </c>
      <c r="I88">
        <v>-0.6666666</v>
      </c>
      <c r="J88">
        <v>0.375</v>
      </c>
    </row>
    <row r="89" spans="1:10" x14ac:dyDescent="0.3">
      <c r="A89">
        <v>87</v>
      </c>
      <c r="B89">
        <v>1381</v>
      </c>
      <c r="C89" t="b">
        <v>1</v>
      </c>
      <c r="D89">
        <v>8048</v>
      </c>
      <c r="E89">
        <v>8123</v>
      </c>
      <c r="F89">
        <v>8</v>
      </c>
      <c r="G89">
        <v>4.4000000000000004</v>
      </c>
      <c r="H89">
        <v>1.8181818000000001</v>
      </c>
      <c r="I89">
        <v>-0.81818175000000004</v>
      </c>
      <c r="J89">
        <v>0.35483872999999999</v>
      </c>
    </row>
    <row r="90" spans="1:10" x14ac:dyDescent="0.3">
      <c r="A90">
        <v>88</v>
      </c>
      <c r="B90">
        <v>1397</v>
      </c>
      <c r="C90" t="b">
        <v>1</v>
      </c>
      <c r="D90">
        <v>8042</v>
      </c>
      <c r="E90">
        <v>8123</v>
      </c>
      <c r="F90">
        <v>8</v>
      </c>
      <c r="G90">
        <v>4.8</v>
      </c>
      <c r="H90">
        <v>1.6666666000000001</v>
      </c>
      <c r="I90">
        <v>-0.6666666</v>
      </c>
      <c r="J90">
        <v>0.375</v>
      </c>
    </row>
    <row r="91" spans="1:10" x14ac:dyDescent="0.3">
      <c r="A91">
        <v>89</v>
      </c>
      <c r="B91">
        <v>1413</v>
      </c>
      <c r="C91" t="b">
        <v>1</v>
      </c>
      <c r="D91">
        <v>8042</v>
      </c>
      <c r="E91">
        <v>8123</v>
      </c>
      <c r="F91">
        <v>8</v>
      </c>
      <c r="G91">
        <v>5.2</v>
      </c>
      <c r="H91">
        <v>1.5384616</v>
      </c>
      <c r="I91">
        <v>-0.53846156999999994</v>
      </c>
      <c r="J91">
        <v>0.39393938000000001</v>
      </c>
    </row>
    <row r="92" spans="1:10" x14ac:dyDescent="0.3">
      <c r="A92">
        <v>90</v>
      </c>
      <c r="B92">
        <v>1428</v>
      </c>
      <c r="C92" t="b">
        <v>1</v>
      </c>
      <c r="D92">
        <v>8042</v>
      </c>
      <c r="E92">
        <v>8123</v>
      </c>
      <c r="F92">
        <v>7.6</v>
      </c>
      <c r="G92">
        <v>5.6</v>
      </c>
      <c r="H92">
        <v>1.3571428000000001</v>
      </c>
      <c r="I92">
        <v>-0.35714287</v>
      </c>
      <c r="J92">
        <v>0.42424244</v>
      </c>
    </row>
    <row r="93" spans="1:10" x14ac:dyDescent="0.3">
      <c r="A93">
        <v>91</v>
      </c>
      <c r="B93">
        <v>1444</v>
      </c>
      <c r="C93" t="b">
        <v>1</v>
      </c>
      <c r="D93">
        <v>8042</v>
      </c>
      <c r="E93">
        <v>8123</v>
      </c>
      <c r="F93">
        <v>7.2</v>
      </c>
      <c r="G93">
        <v>6</v>
      </c>
      <c r="H93">
        <v>1.1999998999999999</v>
      </c>
      <c r="I93">
        <v>-0.19999997</v>
      </c>
      <c r="J93">
        <v>0.45454547000000001</v>
      </c>
    </row>
    <row r="94" spans="1:10" x14ac:dyDescent="0.3">
      <c r="A94">
        <v>92</v>
      </c>
      <c r="B94">
        <v>1460</v>
      </c>
      <c r="C94" t="b">
        <v>1</v>
      </c>
      <c r="D94">
        <v>8042</v>
      </c>
      <c r="E94">
        <v>8123</v>
      </c>
      <c r="F94">
        <v>6.8</v>
      </c>
      <c r="G94">
        <v>6.4</v>
      </c>
      <c r="H94">
        <v>1.0625</v>
      </c>
      <c r="I94">
        <v>-6.2500015000000006E-2</v>
      </c>
      <c r="J94">
        <v>0.48484846999999998</v>
      </c>
    </row>
    <row r="95" spans="1:10" x14ac:dyDescent="0.3">
      <c r="A95">
        <v>93</v>
      </c>
      <c r="B95">
        <v>1476</v>
      </c>
      <c r="C95" t="b">
        <v>1</v>
      </c>
      <c r="D95">
        <v>8042</v>
      </c>
      <c r="E95">
        <v>8129</v>
      </c>
      <c r="F95">
        <v>6.4</v>
      </c>
      <c r="G95">
        <v>6.8</v>
      </c>
      <c r="H95">
        <v>0.94117649999999997</v>
      </c>
      <c r="I95">
        <v>5.8823540000000001E-2</v>
      </c>
      <c r="J95">
        <v>0.51515149999999998</v>
      </c>
    </row>
    <row r="96" spans="1:10" x14ac:dyDescent="0.3">
      <c r="A96">
        <v>94</v>
      </c>
      <c r="B96">
        <v>1492</v>
      </c>
      <c r="C96" t="b">
        <v>1</v>
      </c>
      <c r="D96">
        <v>8042</v>
      </c>
      <c r="E96">
        <v>8123</v>
      </c>
      <c r="F96">
        <v>6</v>
      </c>
      <c r="G96">
        <v>7.2</v>
      </c>
      <c r="H96">
        <v>0.8333334</v>
      </c>
      <c r="I96">
        <v>0.16666664</v>
      </c>
      <c r="J96">
        <v>0.54545456000000003</v>
      </c>
    </row>
    <row r="97" spans="1:10" x14ac:dyDescent="0.3">
      <c r="A97">
        <v>95</v>
      </c>
      <c r="B97">
        <v>1507</v>
      </c>
      <c r="C97" t="b">
        <v>1</v>
      </c>
      <c r="D97">
        <v>8048</v>
      </c>
      <c r="E97">
        <v>8111</v>
      </c>
      <c r="F97">
        <v>5.6</v>
      </c>
      <c r="G97">
        <v>7.2</v>
      </c>
      <c r="H97">
        <v>0.77777779999999996</v>
      </c>
      <c r="I97">
        <v>0.22222221</v>
      </c>
      <c r="J97">
        <v>0.5625</v>
      </c>
    </row>
    <row r="98" spans="1:10" x14ac:dyDescent="0.3">
      <c r="A98">
        <v>96</v>
      </c>
      <c r="B98">
        <v>1523</v>
      </c>
      <c r="C98" t="b">
        <v>1</v>
      </c>
      <c r="D98">
        <v>8042</v>
      </c>
      <c r="E98">
        <v>8117</v>
      </c>
      <c r="F98">
        <v>5.2</v>
      </c>
      <c r="G98">
        <v>7.2</v>
      </c>
      <c r="H98">
        <v>0.72222220000000004</v>
      </c>
      <c r="I98">
        <v>0.27777780000000002</v>
      </c>
      <c r="J98">
        <v>0.58064514</v>
      </c>
    </row>
    <row r="99" spans="1:10" x14ac:dyDescent="0.3">
      <c r="A99">
        <v>97</v>
      </c>
      <c r="B99">
        <v>1539</v>
      </c>
      <c r="C99" t="b">
        <v>1</v>
      </c>
      <c r="D99">
        <v>8042</v>
      </c>
      <c r="E99">
        <v>8123</v>
      </c>
      <c r="F99">
        <v>4.8</v>
      </c>
      <c r="G99">
        <v>7.2</v>
      </c>
      <c r="H99">
        <v>0.66666669999999995</v>
      </c>
      <c r="I99">
        <v>0.33333328000000001</v>
      </c>
      <c r="J99">
        <v>0.59999996</v>
      </c>
    </row>
    <row r="100" spans="1:10" x14ac:dyDescent="0.3">
      <c r="A100">
        <v>98</v>
      </c>
      <c r="B100">
        <v>1555</v>
      </c>
      <c r="C100" t="b">
        <v>1</v>
      </c>
      <c r="D100">
        <v>8042</v>
      </c>
      <c r="E100">
        <v>8111</v>
      </c>
      <c r="F100">
        <v>4.4000000000000004</v>
      </c>
      <c r="G100">
        <v>6.8</v>
      </c>
      <c r="H100">
        <v>0.64705884000000002</v>
      </c>
      <c r="I100">
        <v>0.35294120000000001</v>
      </c>
      <c r="J100">
        <v>0.60714279999999998</v>
      </c>
    </row>
    <row r="101" spans="1:10" x14ac:dyDescent="0.3">
      <c r="A101">
        <v>99</v>
      </c>
      <c r="B101">
        <v>1571</v>
      </c>
      <c r="C101" t="b">
        <v>1</v>
      </c>
      <c r="D101">
        <v>8042</v>
      </c>
      <c r="E101">
        <v>8117</v>
      </c>
      <c r="F101">
        <v>4</v>
      </c>
      <c r="G101">
        <v>6.4</v>
      </c>
      <c r="H101">
        <v>0.625</v>
      </c>
      <c r="I101">
        <v>0.375</v>
      </c>
      <c r="J101">
        <v>0.61538464000000004</v>
      </c>
    </row>
    <row r="102" spans="1:10" x14ac:dyDescent="0.3">
      <c r="A102">
        <v>100</v>
      </c>
      <c r="B102">
        <v>1587</v>
      </c>
      <c r="C102" t="b">
        <v>1</v>
      </c>
      <c r="D102">
        <v>8048</v>
      </c>
      <c r="E102">
        <v>8117</v>
      </c>
      <c r="F102">
        <v>3.6</v>
      </c>
      <c r="G102">
        <v>6</v>
      </c>
      <c r="H102">
        <v>0.59999996</v>
      </c>
      <c r="I102">
        <v>0.4</v>
      </c>
      <c r="J102">
        <v>0.625</v>
      </c>
    </row>
    <row r="103" spans="1:10" x14ac:dyDescent="0.3">
      <c r="A103">
        <v>101</v>
      </c>
      <c r="B103">
        <v>1603</v>
      </c>
      <c r="C103" t="b">
        <v>1</v>
      </c>
      <c r="D103">
        <v>8048</v>
      </c>
      <c r="E103">
        <v>8123</v>
      </c>
      <c r="F103">
        <v>3.2</v>
      </c>
      <c r="G103">
        <v>6</v>
      </c>
      <c r="H103">
        <v>0.53333335999999998</v>
      </c>
      <c r="I103">
        <v>0.46666667000000001</v>
      </c>
      <c r="J103">
        <v>0.65217393999999995</v>
      </c>
    </row>
    <row r="104" spans="1:10" x14ac:dyDescent="0.3">
      <c r="A104">
        <v>102</v>
      </c>
      <c r="B104">
        <v>1619</v>
      </c>
      <c r="C104" t="b">
        <v>1</v>
      </c>
      <c r="D104">
        <v>8048</v>
      </c>
      <c r="E104">
        <v>8117</v>
      </c>
      <c r="F104">
        <v>3.2</v>
      </c>
      <c r="G104">
        <v>6</v>
      </c>
      <c r="H104">
        <v>0.53333335999999998</v>
      </c>
      <c r="I104">
        <v>0.46666667000000001</v>
      </c>
      <c r="J104">
        <v>0.65217393999999995</v>
      </c>
    </row>
    <row r="105" spans="1:10" x14ac:dyDescent="0.3">
      <c r="A105">
        <v>103</v>
      </c>
      <c r="B105">
        <v>1635</v>
      </c>
      <c r="C105" t="b">
        <v>1</v>
      </c>
      <c r="D105">
        <v>8048</v>
      </c>
      <c r="E105">
        <v>8123</v>
      </c>
      <c r="F105">
        <v>3.2</v>
      </c>
      <c r="G105">
        <v>5.6</v>
      </c>
      <c r="H105">
        <v>0.57142859999999995</v>
      </c>
      <c r="I105">
        <v>0.42857139999999999</v>
      </c>
      <c r="J105">
        <v>0.63636360000000003</v>
      </c>
    </row>
    <row r="106" spans="1:10" x14ac:dyDescent="0.3">
      <c r="A106">
        <v>104</v>
      </c>
      <c r="B106">
        <v>1651</v>
      </c>
      <c r="C106" t="b">
        <v>1</v>
      </c>
      <c r="D106">
        <v>8048</v>
      </c>
      <c r="E106">
        <v>8123</v>
      </c>
      <c r="F106">
        <v>3.2</v>
      </c>
      <c r="G106">
        <v>5.6</v>
      </c>
      <c r="H106">
        <v>0.57142859999999995</v>
      </c>
      <c r="I106">
        <v>0.42857139999999999</v>
      </c>
      <c r="J106">
        <v>0.63636360000000003</v>
      </c>
    </row>
    <row r="107" spans="1:10" x14ac:dyDescent="0.3">
      <c r="A107">
        <v>105</v>
      </c>
      <c r="B107">
        <v>1666</v>
      </c>
      <c r="C107" t="b">
        <v>1</v>
      </c>
      <c r="D107">
        <v>8048</v>
      </c>
      <c r="E107">
        <v>8123</v>
      </c>
      <c r="F107">
        <v>3.6</v>
      </c>
      <c r="G107">
        <v>5.6</v>
      </c>
      <c r="H107">
        <v>0.64285713</v>
      </c>
      <c r="I107">
        <v>0.35714287</v>
      </c>
      <c r="J107">
        <v>0.6086956</v>
      </c>
    </row>
    <row r="108" spans="1:10" x14ac:dyDescent="0.3">
      <c r="A108">
        <v>106</v>
      </c>
      <c r="B108">
        <v>1682</v>
      </c>
      <c r="C108" t="b">
        <v>1</v>
      </c>
      <c r="D108">
        <v>8054</v>
      </c>
      <c r="E108">
        <v>8123</v>
      </c>
      <c r="F108">
        <v>4</v>
      </c>
      <c r="G108">
        <v>5.6</v>
      </c>
      <c r="H108">
        <v>0.71428572999999995</v>
      </c>
      <c r="I108">
        <v>0.28571426999999999</v>
      </c>
      <c r="J108">
        <v>0.58333330000000005</v>
      </c>
    </row>
    <row r="109" spans="1:10" x14ac:dyDescent="0.3">
      <c r="A109">
        <v>107</v>
      </c>
      <c r="B109">
        <v>1698</v>
      </c>
      <c r="C109" t="b">
        <v>1</v>
      </c>
      <c r="D109">
        <v>8054</v>
      </c>
      <c r="E109">
        <v>8123</v>
      </c>
      <c r="F109">
        <v>4.4000000000000004</v>
      </c>
      <c r="G109">
        <v>5.6</v>
      </c>
      <c r="H109">
        <v>0.78571429999999998</v>
      </c>
      <c r="I109">
        <v>0.21428569</v>
      </c>
      <c r="J109">
        <v>0.56000000000000005</v>
      </c>
    </row>
    <row r="110" spans="1:10" x14ac:dyDescent="0.3">
      <c r="A110">
        <v>108</v>
      </c>
      <c r="B110">
        <v>1714</v>
      </c>
      <c r="C110" t="b">
        <v>1</v>
      </c>
      <c r="D110">
        <v>8054</v>
      </c>
      <c r="E110">
        <v>8123</v>
      </c>
      <c r="F110">
        <v>5.2</v>
      </c>
      <c r="G110">
        <v>5.6</v>
      </c>
      <c r="H110">
        <v>0.92857140000000005</v>
      </c>
      <c r="I110">
        <v>7.142859E-2</v>
      </c>
      <c r="J110">
        <v>0.51851857000000001</v>
      </c>
    </row>
    <row r="111" spans="1:10" x14ac:dyDescent="0.3">
      <c r="A111">
        <v>109</v>
      </c>
      <c r="B111">
        <v>1730</v>
      </c>
      <c r="C111" t="b">
        <v>1</v>
      </c>
      <c r="D111">
        <v>8054</v>
      </c>
      <c r="E111">
        <v>8117</v>
      </c>
      <c r="F111">
        <v>6</v>
      </c>
      <c r="G111">
        <v>5.6</v>
      </c>
      <c r="H111">
        <v>1.0714284999999999</v>
      </c>
      <c r="I111">
        <v>-7.142859E-2</v>
      </c>
      <c r="J111">
        <v>0.48275859999999998</v>
      </c>
    </row>
    <row r="112" spans="1:10" x14ac:dyDescent="0.3">
      <c r="A112">
        <v>110</v>
      </c>
      <c r="B112">
        <v>1746</v>
      </c>
      <c r="C112" t="b">
        <v>1</v>
      </c>
      <c r="D112">
        <v>8054</v>
      </c>
      <c r="E112">
        <v>8123</v>
      </c>
      <c r="F112">
        <v>6.8</v>
      </c>
      <c r="G112">
        <v>5.6</v>
      </c>
      <c r="H112">
        <v>1.2142857</v>
      </c>
      <c r="I112">
        <v>-0.21428578000000001</v>
      </c>
      <c r="J112">
        <v>0.45161291999999997</v>
      </c>
    </row>
    <row r="113" spans="1:10" x14ac:dyDescent="0.3">
      <c r="A113">
        <v>111</v>
      </c>
      <c r="B113">
        <v>1762</v>
      </c>
      <c r="C113" t="b">
        <v>1</v>
      </c>
      <c r="D113">
        <v>8060</v>
      </c>
      <c r="E113">
        <v>8123</v>
      </c>
      <c r="F113">
        <v>7.6</v>
      </c>
      <c r="G113">
        <v>5.6</v>
      </c>
      <c r="H113">
        <v>1.3571428000000001</v>
      </c>
      <c r="I113">
        <v>-0.35714287</v>
      </c>
      <c r="J113">
        <v>0.42424244</v>
      </c>
    </row>
    <row r="114" spans="1:10" x14ac:dyDescent="0.3">
      <c r="A114">
        <v>112</v>
      </c>
      <c r="B114">
        <v>1778</v>
      </c>
      <c r="C114" t="b">
        <v>1</v>
      </c>
      <c r="D114">
        <v>8060</v>
      </c>
      <c r="E114">
        <v>8117</v>
      </c>
      <c r="F114">
        <v>8.4</v>
      </c>
      <c r="G114">
        <v>5.6</v>
      </c>
      <c r="H114">
        <v>1.5</v>
      </c>
      <c r="I114">
        <v>-0.49999997000000002</v>
      </c>
      <c r="J114">
        <v>0.4</v>
      </c>
    </row>
    <row r="115" spans="1:10" x14ac:dyDescent="0.3">
      <c r="A115">
        <v>113</v>
      </c>
      <c r="B115">
        <v>1794</v>
      </c>
      <c r="C115" t="b">
        <v>1</v>
      </c>
      <c r="D115">
        <v>8048</v>
      </c>
      <c r="E115">
        <v>8123</v>
      </c>
      <c r="F115">
        <v>9.1999999999999993</v>
      </c>
      <c r="G115">
        <v>6</v>
      </c>
      <c r="H115">
        <v>1.5333333</v>
      </c>
      <c r="I115">
        <v>-0.53333330000000001</v>
      </c>
      <c r="J115">
        <v>0.39473686000000002</v>
      </c>
    </row>
    <row r="116" spans="1:10" x14ac:dyDescent="0.3">
      <c r="A116">
        <v>114</v>
      </c>
      <c r="B116">
        <v>1810</v>
      </c>
      <c r="C116" t="b">
        <v>1</v>
      </c>
      <c r="D116">
        <v>8054</v>
      </c>
      <c r="E116">
        <v>8123</v>
      </c>
      <c r="F116">
        <v>10</v>
      </c>
      <c r="G116">
        <v>6.4</v>
      </c>
      <c r="H116">
        <v>1.5625</v>
      </c>
      <c r="I116">
        <v>-0.5625</v>
      </c>
      <c r="J116">
        <v>0.39024392000000002</v>
      </c>
    </row>
    <row r="117" spans="1:10" x14ac:dyDescent="0.3">
      <c r="A117">
        <v>115</v>
      </c>
      <c r="B117">
        <v>1825</v>
      </c>
      <c r="C117" t="b">
        <v>1</v>
      </c>
      <c r="D117">
        <v>8054</v>
      </c>
      <c r="E117">
        <v>8123</v>
      </c>
      <c r="F117">
        <v>10.8</v>
      </c>
      <c r="G117">
        <v>6.8</v>
      </c>
      <c r="H117">
        <v>1.5882353</v>
      </c>
      <c r="I117">
        <v>-0.58823526000000004</v>
      </c>
      <c r="J117">
        <v>0.38636363000000001</v>
      </c>
    </row>
    <row r="118" spans="1:10" x14ac:dyDescent="0.3">
      <c r="A118">
        <v>116</v>
      </c>
      <c r="B118">
        <v>1841</v>
      </c>
      <c r="C118" t="b">
        <v>1</v>
      </c>
      <c r="D118">
        <v>8048</v>
      </c>
      <c r="E118">
        <v>8123</v>
      </c>
      <c r="F118">
        <v>11.6</v>
      </c>
      <c r="G118">
        <v>7.2</v>
      </c>
      <c r="H118">
        <v>1.6111112000000001</v>
      </c>
      <c r="I118">
        <v>-0.61111119999999997</v>
      </c>
      <c r="J118">
        <v>0.38297873999999998</v>
      </c>
    </row>
    <row r="119" spans="1:10" x14ac:dyDescent="0.3">
      <c r="A119">
        <v>117</v>
      </c>
      <c r="B119">
        <v>1857</v>
      </c>
      <c r="C119" t="b">
        <v>1</v>
      </c>
      <c r="D119">
        <v>8048</v>
      </c>
      <c r="E119">
        <v>8123</v>
      </c>
      <c r="F119">
        <v>11.6</v>
      </c>
      <c r="G119">
        <v>7.6</v>
      </c>
      <c r="H119">
        <v>1.5263157999999999</v>
      </c>
      <c r="I119">
        <v>-0.52631587000000002</v>
      </c>
      <c r="J119">
        <v>0.3958333</v>
      </c>
    </row>
    <row r="120" spans="1:10" x14ac:dyDescent="0.3">
      <c r="A120">
        <v>118</v>
      </c>
      <c r="B120">
        <v>1873</v>
      </c>
      <c r="C120" t="b">
        <v>1</v>
      </c>
      <c r="D120">
        <v>8048</v>
      </c>
      <c r="E120">
        <v>8123</v>
      </c>
      <c r="F120">
        <v>11.6</v>
      </c>
      <c r="G120">
        <v>8</v>
      </c>
      <c r="H120">
        <v>1.45</v>
      </c>
      <c r="I120">
        <v>-0.45000004999999998</v>
      </c>
      <c r="J120">
        <v>0.40816324999999998</v>
      </c>
    </row>
    <row r="121" spans="1:10" x14ac:dyDescent="0.3">
      <c r="A121">
        <v>119</v>
      </c>
      <c r="B121">
        <v>1889</v>
      </c>
      <c r="C121" t="b">
        <v>1</v>
      </c>
      <c r="D121">
        <v>8054</v>
      </c>
      <c r="E121">
        <v>8123</v>
      </c>
      <c r="F121">
        <v>11.6</v>
      </c>
      <c r="G121">
        <v>8</v>
      </c>
      <c r="H121">
        <v>1.45</v>
      </c>
      <c r="I121">
        <v>-0.45000004999999998</v>
      </c>
      <c r="J121">
        <v>0.40816324999999998</v>
      </c>
    </row>
    <row r="122" spans="1:10" x14ac:dyDescent="0.3">
      <c r="A122">
        <v>120</v>
      </c>
      <c r="B122">
        <v>1905</v>
      </c>
      <c r="C122" t="b">
        <v>1</v>
      </c>
      <c r="D122">
        <v>8054</v>
      </c>
      <c r="E122">
        <v>8117</v>
      </c>
      <c r="F122">
        <v>11.6</v>
      </c>
      <c r="G122">
        <v>8</v>
      </c>
      <c r="H122">
        <v>1.45</v>
      </c>
      <c r="I122">
        <v>-0.45000004999999998</v>
      </c>
      <c r="J122">
        <v>0.40816324999999998</v>
      </c>
    </row>
    <row r="123" spans="1:10" x14ac:dyDescent="0.3">
      <c r="A123">
        <v>121</v>
      </c>
      <c r="B123">
        <v>1921</v>
      </c>
      <c r="C123" t="b">
        <v>1</v>
      </c>
      <c r="D123">
        <v>8054</v>
      </c>
      <c r="E123">
        <v>8123</v>
      </c>
      <c r="F123">
        <v>12</v>
      </c>
      <c r="G123">
        <v>8</v>
      </c>
      <c r="H123">
        <v>1.5</v>
      </c>
      <c r="I123">
        <v>-0.5</v>
      </c>
      <c r="J123">
        <v>0.4</v>
      </c>
    </row>
    <row r="124" spans="1:10" x14ac:dyDescent="0.3">
      <c r="A124">
        <v>122</v>
      </c>
      <c r="B124">
        <v>1937</v>
      </c>
      <c r="C124" t="b">
        <v>1</v>
      </c>
      <c r="D124">
        <v>8048</v>
      </c>
      <c r="E124">
        <v>8117</v>
      </c>
      <c r="F124">
        <v>12.4</v>
      </c>
      <c r="G124">
        <v>8</v>
      </c>
      <c r="H124">
        <v>1.55</v>
      </c>
      <c r="I124">
        <v>-0.54999995000000002</v>
      </c>
      <c r="J124">
        <v>0.39215686999999999</v>
      </c>
    </row>
    <row r="125" spans="1:10" x14ac:dyDescent="0.3">
      <c r="A125">
        <v>123</v>
      </c>
      <c r="B125">
        <v>1953</v>
      </c>
      <c r="C125" t="b">
        <v>1</v>
      </c>
      <c r="D125">
        <v>8048</v>
      </c>
      <c r="E125">
        <v>8123</v>
      </c>
      <c r="F125">
        <v>12.4</v>
      </c>
      <c r="G125">
        <v>8</v>
      </c>
      <c r="H125">
        <v>1.55</v>
      </c>
      <c r="I125">
        <v>-0.54999995000000002</v>
      </c>
      <c r="J125">
        <v>0.39215686999999999</v>
      </c>
    </row>
    <row r="126" spans="1:10" x14ac:dyDescent="0.3">
      <c r="A126">
        <v>124</v>
      </c>
      <c r="B126">
        <v>1968</v>
      </c>
      <c r="C126" t="b">
        <v>1</v>
      </c>
      <c r="D126">
        <v>8048</v>
      </c>
      <c r="E126">
        <v>8123</v>
      </c>
      <c r="F126">
        <v>12</v>
      </c>
      <c r="G126">
        <v>8</v>
      </c>
      <c r="H126">
        <v>1.5</v>
      </c>
      <c r="I126">
        <v>-0.5</v>
      </c>
      <c r="J126">
        <v>0.4</v>
      </c>
    </row>
    <row r="127" spans="1:10" x14ac:dyDescent="0.3">
      <c r="A127">
        <v>125</v>
      </c>
      <c r="B127">
        <v>1984</v>
      </c>
      <c r="C127" t="b">
        <v>1</v>
      </c>
      <c r="D127">
        <v>8054</v>
      </c>
      <c r="E127">
        <v>8123</v>
      </c>
      <c r="F127">
        <v>11.6</v>
      </c>
      <c r="G127">
        <v>8</v>
      </c>
      <c r="H127">
        <v>1.45</v>
      </c>
      <c r="I127">
        <v>-0.45000004999999998</v>
      </c>
      <c r="J127">
        <v>0.40816324999999998</v>
      </c>
    </row>
    <row r="128" spans="1:10" x14ac:dyDescent="0.3">
      <c r="A128">
        <v>126</v>
      </c>
      <c r="B128">
        <v>2000</v>
      </c>
      <c r="C128" t="b">
        <v>1</v>
      </c>
      <c r="D128">
        <v>8048</v>
      </c>
      <c r="E128">
        <v>8123</v>
      </c>
      <c r="F128">
        <v>11.2</v>
      </c>
      <c r="G128">
        <v>8</v>
      </c>
      <c r="H128">
        <v>1.4</v>
      </c>
      <c r="I128">
        <v>-0.39999997999999998</v>
      </c>
      <c r="J128">
        <v>0.41666666000000002</v>
      </c>
    </row>
    <row r="129" spans="1:10" x14ac:dyDescent="0.3">
      <c r="A129">
        <v>127</v>
      </c>
      <c r="B129">
        <v>2016</v>
      </c>
      <c r="C129" t="b">
        <v>1</v>
      </c>
      <c r="D129">
        <v>8048</v>
      </c>
      <c r="E129">
        <v>8123</v>
      </c>
      <c r="F129">
        <v>10.8</v>
      </c>
      <c r="G129">
        <v>8</v>
      </c>
      <c r="H129">
        <v>1.35</v>
      </c>
      <c r="I129">
        <v>-0.35000002000000002</v>
      </c>
      <c r="J129">
        <v>0.42553192000000001</v>
      </c>
    </row>
    <row r="130" spans="1:10" x14ac:dyDescent="0.3">
      <c r="A130">
        <v>128</v>
      </c>
      <c r="B130">
        <v>2032</v>
      </c>
      <c r="C130" t="b">
        <v>1</v>
      </c>
      <c r="D130">
        <v>8048</v>
      </c>
      <c r="E130">
        <v>8123</v>
      </c>
      <c r="F130">
        <v>10.4</v>
      </c>
      <c r="G130">
        <v>8</v>
      </c>
      <c r="H130">
        <v>1.3</v>
      </c>
      <c r="I130">
        <v>-0.29999995000000002</v>
      </c>
      <c r="J130">
        <v>0.43478262000000001</v>
      </c>
    </row>
    <row r="131" spans="1:10" x14ac:dyDescent="0.3">
      <c r="A131">
        <v>129</v>
      </c>
      <c r="B131">
        <v>2048</v>
      </c>
      <c r="C131" t="b">
        <v>1</v>
      </c>
      <c r="D131">
        <v>8048</v>
      </c>
      <c r="E131">
        <v>8123</v>
      </c>
      <c r="F131">
        <v>10</v>
      </c>
      <c r="G131">
        <v>8</v>
      </c>
      <c r="H131">
        <v>1.25</v>
      </c>
      <c r="I131">
        <v>-0.25</v>
      </c>
      <c r="J131">
        <v>0.44444444999999999</v>
      </c>
    </row>
    <row r="132" spans="1:10" x14ac:dyDescent="0.3">
      <c r="A132">
        <v>130</v>
      </c>
      <c r="B132">
        <v>2064</v>
      </c>
      <c r="C132" t="b">
        <v>1</v>
      </c>
      <c r="D132">
        <v>8048</v>
      </c>
      <c r="E132">
        <v>8123</v>
      </c>
      <c r="F132">
        <v>9.6</v>
      </c>
      <c r="G132">
        <v>8</v>
      </c>
      <c r="H132">
        <v>1.2</v>
      </c>
      <c r="I132">
        <v>-0.20000005000000001</v>
      </c>
      <c r="J132">
        <v>0.45454544000000002</v>
      </c>
    </row>
    <row r="133" spans="1:10" x14ac:dyDescent="0.3">
      <c r="A133">
        <v>131</v>
      </c>
      <c r="B133">
        <v>2080</v>
      </c>
      <c r="C133" t="b">
        <v>1</v>
      </c>
      <c r="D133">
        <v>8048</v>
      </c>
      <c r="E133">
        <v>8123</v>
      </c>
      <c r="F133">
        <v>9.1999999999999993</v>
      </c>
      <c r="G133">
        <v>8</v>
      </c>
      <c r="H133">
        <v>1.1499999999999999</v>
      </c>
      <c r="I133">
        <v>-0.14999998</v>
      </c>
      <c r="J133">
        <v>0.46511626</v>
      </c>
    </row>
    <row r="134" spans="1:10" x14ac:dyDescent="0.3">
      <c r="A134">
        <v>132</v>
      </c>
      <c r="B134">
        <v>2096</v>
      </c>
      <c r="C134" t="b">
        <v>1</v>
      </c>
      <c r="D134">
        <v>8054</v>
      </c>
      <c r="E134">
        <v>8123</v>
      </c>
      <c r="F134">
        <v>9.1999999999999993</v>
      </c>
      <c r="G134">
        <v>8</v>
      </c>
      <c r="H134">
        <v>1.1499999999999999</v>
      </c>
      <c r="I134">
        <v>-0.14999998</v>
      </c>
      <c r="J134">
        <v>0.46511626</v>
      </c>
    </row>
    <row r="135" spans="1:10" x14ac:dyDescent="0.3">
      <c r="A135">
        <v>133</v>
      </c>
      <c r="B135">
        <v>2111</v>
      </c>
      <c r="C135" t="b">
        <v>1</v>
      </c>
      <c r="D135">
        <v>8054</v>
      </c>
      <c r="E135">
        <v>8123</v>
      </c>
      <c r="F135">
        <v>9.1999999999999993</v>
      </c>
      <c r="G135">
        <v>8</v>
      </c>
      <c r="H135">
        <v>1.1499999999999999</v>
      </c>
      <c r="I135">
        <v>-0.14999998</v>
      </c>
      <c r="J135">
        <v>0.46511626</v>
      </c>
    </row>
    <row r="136" spans="1:10" x14ac:dyDescent="0.3">
      <c r="A136">
        <v>134</v>
      </c>
      <c r="B136">
        <v>2127</v>
      </c>
      <c r="C136" t="b">
        <v>1</v>
      </c>
      <c r="D136">
        <v>8048</v>
      </c>
      <c r="E136">
        <v>8123</v>
      </c>
      <c r="F136">
        <v>9.1999999999999993</v>
      </c>
      <c r="G136">
        <v>8</v>
      </c>
      <c r="H136">
        <v>1.1499999999999999</v>
      </c>
      <c r="I136">
        <v>-0.14999998</v>
      </c>
      <c r="J136">
        <v>0.46511626</v>
      </c>
    </row>
    <row r="137" spans="1:10" x14ac:dyDescent="0.3">
      <c r="A137">
        <v>135</v>
      </c>
      <c r="B137">
        <v>2143</v>
      </c>
      <c r="C137" t="b">
        <v>1</v>
      </c>
      <c r="D137">
        <v>8054</v>
      </c>
      <c r="E137">
        <v>8123</v>
      </c>
      <c r="F137">
        <v>9.6</v>
      </c>
      <c r="G137">
        <v>8</v>
      </c>
      <c r="H137">
        <v>1.2</v>
      </c>
      <c r="I137">
        <v>-0.20000005000000001</v>
      </c>
      <c r="J137">
        <v>0.45454544000000002</v>
      </c>
    </row>
    <row r="138" spans="1:10" x14ac:dyDescent="0.3">
      <c r="A138">
        <v>136</v>
      </c>
      <c r="B138">
        <v>2159</v>
      </c>
      <c r="C138" t="b">
        <v>1</v>
      </c>
      <c r="D138">
        <v>8048</v>
      </c>
      <c r="E138">
        <v>8123</v>
      </c>
      <c r="F138">
        <v>9.6</v>
      </c>
      <c r="G138">
        <v>8</v>
      </c>
      <c r="H138">
        <v>1.2</v>
      </c>
      <c r="I138">
        <v>-0.20000005000000001</v>
      </c>
      <c r="J138">
        <v>0.45454544000000002</v>
      </c>
    </row>
    <row r="139" spans="1:10" x14ac:dyDescent="0.3">
      <c r="A139">
        <v>137</v>
      </c>
      <c r="B139">
        <v>2175</v>
      </c>
      <c r="C139" t="b">
        <v>1</v>
      </c>
      <c r="D139">
        <v>8048</v>
      </c>
      <c r="E139">
        <v>8123</v>
      </c>
      <c r="F139">
        <v>9.1999999999999993</v>
      </c>
      <c r="G139">
        <v>8</v>
      </c>
      <c r="H139">
        <v>1.1499999999999999</v>
      </c>
      <c r="I139">
        <v>-0.14999998</v>
      </c>
      <c r="J139">
        <v>0.46511626</v>
      </c>
    </row>
    <row r="140" spans="1:10" x14ac:dyDescent="0.3">
      <c r="A140">
        <v>138</v>
      </c>
      <c r="B140">
        <v>2191</v>
      </c>
      <c r="C140" t="b">
        <v>1</v>
      </c>
      <c r="D140">
        <v>8042</v>
      </c>
      <c r="E140">
        <v>8123</v>
      </c>
      <c r="F140">
        <v>8.8000000000000007</v>
      </c>
      <c r="G140">
        <v>8</v>
      </c>
      <c r="H140">
        <v>1.1000000000000001</v>
      </c>
      <c r="I140">
        <v>-0.10000002400000001</v>
      </c>
      <c r="J140">
        <v>0.47619050000000002</v>
      </c>
    </row>
    <row r="141" spans="1:10" x14ac:dyDescent="0.3">
      <c r="A141">
        <v>139</v>
      </c>
      <c r="B141">
        <v>2207</v>
      </c>
      <c r="C141" t="b">
        <v>1</v>
      </c>
      <c r="D141">
        <v>8048</v>
      </c>
      <c r="E141">
        <v>8129</v>
      </c>
      <c r="F141">
        <v>8.8000000000000007</v>
      </c>
      <c r="G141">
        <v>8</v>
      </c>
      <c r="H141">
        <v>1.1000000000000001</v>
      </c>
      <c r="I141">
        <v>-0.10000002400000001</v>
      </c>
      <c r="J141">
        <v>0.47619050000000002</v>
      </c>
    </row>
    <row r="142" spans="1:10" x14ac:dyDescent="0.3">
      <c r="A142">
        <v>140</v>
      </c>
      <c r="B142">
        <v>2223</v>
      </c>
      <c r="C142" t="b">
        <v>1</v>
      </c>
      <c r="D142">
        <v>8048</v>
      </c>
      <c r="E142">
        <v>8123</v>
      </c>
      <c r="F142">
        <v>8.8000000000000007</v>
      </c>
      <c r="G142">
        <v>8</v>
      </c>
      <c r="H142">
        <v>1.1000000000000001</v>
      </c>
      <c r="I142">
        <v>-0.10000002400000001</v>
      </c>
      <c r="J142">
        <v>0.47619050000000002</v>
      </c>
    </row>
    <row r="143" spans="1:10" x14ac:dyDescent="0.3">
      <c r="A143">
        <v>141</v>
      </c>
      <c r="B143">
        <v>2239</v>
      </c>
      <c r="C143" t="b">
        <v>1</v>
      </c>
      <c r="D143">
        <v>8048</v>
      </c>
      <c r="E143">
        <v>8123</v>
      </c>
      <c r="F143">
        <v>8.8000000000000007</v>
      </c>
      <c r="G143">
        <v>8</v>
      </c>
      <c r="H143">
        <v>1.1000000000000001</v>
      </c>
      <c r="I143">
        <v>-0.10000002400000001</v>
      </c>
      <c r="J143">
        <v>0.47619050000000002</v>
      </c>
    </row>
    <row r="144" spans="1:10" x14ac:dyDescent="0.3">
      <c r="A144">
        <v>142</v>
      </c>
      <c r="B144">
        <v>2254</v>
      </c>
      <c r="C144" t="b">
        <v>1</v>
      </c>
      <c r="D144">
        <v>8048</v>
      </c>
      <c r="E144">
        <v>8123</v>
      </c>
      <c r="F144">
        <v>8.8000000000000007</v>
      </c>
      <c r="G144">
        <v>8</v>
      </c>
      <c r="H144">
        <v>1.1000000000000001</v>
      </c>
      <c r="I144">
        <v>-0.10000002400000001</v>
      </c>
      <c r="J144">
        <v>0.47619050000000002</v>
      </c>
    </row>
    <row r="145" spans="1:10" x14ac:dyDescent="0.3">
      <c r="A145">
        <v>143</v>
      </c>
      <c r="B145">
        <v>2271</v>
      </c>
      <c r="C145" t="b">
        <v>1</v>
      </c>
      <c r="D145">
        <v>8042</v>
      </c>
      <c r="E145">
        <v>8123</v>
      </c>
      <c r="F145">
        <v>8.8000000000000007</v>
      </c>
      <c r="G145">
        <v>8</v>
      </c>
      <c r="H145">
        <v>1.1000000000000001</v>
      </c>
      <c r="I145">
        <v>-0.10000002400000001</v>
      </c>
      <c r="J145">
        <v>0.47619050000000002</v>
      </c>
    </row>
    <row r="146" spans="1:10" x14ac:dyDescent="0.3">
      <c r="A146">
        <v>144</v>
      </c>
      <c r="B146">
        <v>2287</v>
      </c>
      <c r="C146" t="b">
        <v>1</v>
      </c>
      <c r="D146">
        <v>8048</v>
      </c>
      <c r="E146">
        <v>8123</v>
      </c>
      <c r="F146">
        <v>8.8000000000000007</v>
      </c>
      <c r="G146">
        <v>8</v>
      </c>
      <c r="H146">
        <v>1.1000000000000001</v>
      </c>
      <c r="I146">
        <v>-0.10000002400000001</v>
      </c>
      <c r="J146">
        <v>0.47619050000000002</v>
      </c>
    </row>
    <row r="147" spans="1:10" x14ac:dyDescent="0.3">
      <c r="A147">
        <v>145</v>
      </c>
      <c r="B147">
        <v>2302</v>
      </c>
      <c r="C147" t="b">
        <v>1</v>
      </c>
      <c r="D147">
        <v>8048</v>
      </c>
      <c r="E147">
        <v>8123</v>
      </c>
      <c r="F147">
        <v>8.8000000000000007</v>
      </c>
      <c r="G147">
        <v>8</v>
      </c>
      <c r="H147">
        <v>1.1000000000000001</v>
      </c>
      <c r="I147">
        <v>-0.10000002400000001</v>
      </c>
      <c r="J147">
        <v>0.47619050000000002</v>
      </c>
    </row>
    <row r="148" spans="1:10" x14ac:dyDescent="0.3">
      <c r="A148">
        <v>146</v>
      </c>
      <c r="B148">
        <v>2318</v>
      </c>
      <c r="C148" t="b">
        <v>1</v>
      </c>
      <c r="D148">
        <v>8054</v>
      </c>
      <c r="E148">
        <v>8123</v>
      </c>
      <c r="F148">
        <v>8.8000000000000007</v>
      </c>
      <c r="G148">
        <v>8</v>
      </c>
      <c r="H148">
        <v>1.1000000000000001</v>
      </c>
      <c r="I148">
        <v>-0.10000002400000001</v>
      </c>
      <c r="J148">
        <v>0.47619050000000002</v>
      </c>
    </row>
    <row r="149" spans="1:10" x14ac:dyDescent="0.3">
      <c r="A149">
        <v>147</v>
      </c>
      <c r="B149">
        <v>2334</v>
      </c>
      <c r="C149" t="b">
        <v>1</v>
      </c>
      <c r="D149">
        <v>8048</v>
      </c>
      <c r="E149">
        <v>8123</v>
      </c>
      <c r="F149">
        <v>8.8000000000000007</v>
      </c>
      <c r="G149">
        <v>8</v>
      </c>
      <c r="H149">
        <v>1.1000000000000001</v>
      </c>
      <c r="I149">
        <v>-0.10000002400000001</v>
      </c>
      <c r="J149">
        <v>0.47619050000000002</v>
      </c>
    </row>
    <row r="150" spans="1:10" x14ac:dyDescent="0.3">
      <c r="A150">
        <v>148</v>
      </c>
      <c r="B150">
        <v>2350</v>
      </c>
      <c r="C150" t="b">
        <v>1</v>
      </c>
      <c r="D150">
        <v>8048</v>
      </c>
      <c r="E150">
        <v>8123</v>
      </c>
      <c r="F150">
        <v>8.8000000000000007</v>
      </c>
      <c r="G150">
        <v>8</v>
      </c>
      <c r="H150">
        <v>1.1000000000000001</v>
      </c>
      <c r="I150">
        <v>-0.10000002400000001</v>
      </c>
      <c r="J150">
        <v>0.47619050000000002</v>
      </c>
    </row>
    <row r="151" spans="1:10" x14ac:dyDescent="0.3">
      <c r="A151">
        <v>149</v>
      </c>
      <c r="B151">
        <v>2365</v>
      </c>
      <c r="C151" t="b">
        <v>1</v>
      </c>
      <c r="D151">
        <v>8048</v>
      </c>
      <c r="E151">
        <v>8123</v>
      </c>
      <c r="F151">
        <v>8.8000000000000007</v>
      </c>
      <c r="G151">
        <v>8</v>
      </c>
      <c r="H151">
        <v>1.1000000000000001</v>
      </c>
      <c r="I151">
        <v>-0.10000002400000001</v>
      </c>
      <c r="J151">
        <v>0.47619050000000002</v>
      </c>
    </row>
    <row r="152" spans="1:10" x14ac:dyDescent="0.3">
      <c r="A152">
        <v>150</v>
      </c>
      <c r="B152">
        <v>2381</v>
      </c>
      <c r="C152" t="b">
        <v>1</v>
      </c>
      <c r="D152">
        <v>8048</v>
      </c>
      <c r="E152">
        <v>8123</v>
      </c>
      <c r="F152">
        <v>8.4</v>
      </c>
      <c r="G152">
        <v>8</v>
      </c>
      <c r="H152">
        <v>1.05</v>
      </c>
      <c r="I152">
        <v>-4.9999952E-2</v>
      </c>
      <c r="J152">
        <v>0.48780489999999999</v>
      </c>
    </row>
    <row r="153" spans="1:10" x14ac:dyDescent="0.3">
      <c r="A153">
        <v>151</v>
      </c>
      <c r="B153">
        <v>2398</v>
      </c>
      <c r="C153" t="b">
        <v>1</v>
      </c>
      <c r="D153">
        <v>8048</v>
      </c>
      <c r="E153">
        <v>8123</v>
      </c>
      <c r="F153">
        <v>8</v>
      </c>
      <c r="G153">
        <v>8</v>
      </c>
      <c r="H153">
        <v>1</v>
      </c>
      <c r="I153">
        <v>0</v>
      </c>
      <c r="J153">
        <v>0.5</v>
      </c>
    </row>
    <row r="154" spans="1:10" x14ac:dyDescent="0.3">
      <c r="A154">
        <v>152</v>
      </c>
      <c r="B154">
        <v>2413</v>
      </c>
      <c r="C154" t="b">
        <v>1</v>
      </c>
      <c r="D154">
        <v>8048</v>
      </c>
      <c r="E154">
        <v>8123</v>
      </c>
      <c r="F154">
        <v>8</v>
      </c>
      <c r="G154">
        <v>8</v>
      </c>
      <c r="H154">
        <v>1</v>
      </c>
      <c r="I154">
        <v>0</v>
      </c>
      <c r="J154">
        <v>0.5</v>
      </c>
    </row>
    <row r="155" spans="1:10" x14ac:dyDescent="0.3">
      <c r="A155">
        <v>153</v>
      </c>
      <c r="B155">
        <v>2429</v>
      </c>
      <c r="C155" t="b">
        <v>1</v>
      </c>
      <c r="D155">
        <v>8048</v>
      </c>
      <c r="E155">
        <v>8123</v>
      </c>
      <c r="F155">
        <v>8</v>
      </c>
      <c r="G155">
        <v>8</v>
      </c>
      <c r="H155">
        <v>1</v>
      </c>
      <c r="I155">
        <v>0</v>
      </c>
      <c r="J155">
        <v>0.5</v>
      </c>
    </row>
    <row r="156" spans="1:10" x14ac:dyDescent="0.3">
      <c r="A156">
        <v>154</v>
      </c>
      <c r="B156">
        <v>2445</v>
      </c>
      <c r="C156" t="b">
        <v>1</v>
      </c>
      <c r="D156">
        <v>8048</v>
      </c>
      <c r="E156">
        <v>8123</v>
      </c>
      <c r="F156">
        <v>8</v>
      </c>
      <c r="G156">
        <v>8</v>
      </c>
      <c r="H156">
        <v>1</v>
      </c>
      <c r="I156">
        <v>0</v>
      </c>
      <c r="J156">
        <v>0.5</v>
      </c>
    </row>
    <row r="157" spans="1:10" x14ac:dyDescent="0.3">
      <c r="A157">
        <v>155</v>
      </c>
      <c r="B157">
        <v>2461</v>
      </c>
      <c r="C157" t="b">
        <v>1</v>
      </c>
      <c r="D157">
        <v>8054</v>
      </c>
      <c r="E157">
        <v>8123</v>
      </c>
      <c r="F157">
        <v>8</v>
      </c>
      <c r="G157">
        <v>8</v>
      </c>
      <c r="H157">
        <v>1</v>
      </c>
      <c r="I157">
        <v>0</v>
      </c>
      <c r="J157">
        <v>0.5</v>
      </c>
    </row>
    <row r="158" spans="1:10" x14ac:dyDescent="0.3">
      <c r="A158">
        <v>156</v>
      </c>
      <c r="B158">
        <v>2477</v>
      </c>
      <c r="C158" t="b">
        <v>1</v>
      </c>
      <c r="D158">
        <v>8048</v>
      </c>
      <c r="E158">
        <v>8123</v>
      </c>
      <c r="F158">
        <v>8</v>
      </c>
      <c r="G158">
        <v>8</v>
      </c>
      <c r="H158">
        <v>1</v>
      </c>
      <c r="I158">
        <v>0</v>
      </c>
      <c r="J158">
        <v>0.5</v>
      </c>
    </row>
    <row r="159" spans="1:10" x14ac:dyDescent="0.3">
      <c r="A159">
        <v>157</v>
      </c>
      <c r="B159">
        <v>2493</v>
      </c>
      <c r="C159" t="b">
        <v>1</v>
      </c>
      <c r="D159">
        <v>8048</v>
      </c>
      <c r="E159">
        <v>8117</v>
      </c>
      <c r="F159">
        <v>8</v>
      </c>
      <c r="G159">
        <v>8</v>
      </c>
      <c r="H159">
        <v>1</v>
      </c>
      <c r="I159">
        <v>0</v>
      </c>
      <c r="J159">
        <v>0.5</v>
      </c>
    </row>
    <row r="160" spans="1:10" x14ac:dyDescent="0.3">
      <c r="A160">
        <v>158</v>
      </c>
      <c r="B160">
        <v>2509</v>
      </c>
      <c r="C160" t="b">
        <v>1</v>
      </c>
      <c r="D160">
        <v>8048</v>
      </c>
      <c r="E160">
        <v>8111</v>
      </c>
      <c r="F160">
        <v>8</v>
      </c>
      <c r="G160">
        <v>8</v>
      </c>
      <c r="H160">
        <v>1</v>
      </c>
      <c r="I160">
        <v>0</v>
      </c>
      <c r="J160">
        <v>0.5</v>
      </c>
    </row>
    <row r="161" spans="1:10" x14ac:dyDescent="0.3">
      <c r="A161">
        <v>159</v>
      </c>
      <c r="B161">
        <v>2524</v>
      </c>
      <c r="C161" t="b">
        <v>1</v>
      </c>
      <c r="D161">
        <v>8048</v>
      </c>
      <c r="E161">
        <v>8117</v>
      </c>
      <c r="F161">
        <v>8</v>
      </c>
      <c r="G161">
        <v>7.6</v>
      </c>
      <c r="H161">
        <v>1.0526316</v>
      </c>
      <c r="I161">
        <v>-5.2631589999999999E-2</v>
      </c>
      <c r="J161">
        <v>0.48717946000000001</v>
      </c>
    </row>
    <row r="162" spans="1:10" x14ac:dyDescent="0.3">
      <c r="A162">
        <v>160</v>
      </c>
      <c r="B162">
        <v>2540</v>
      </c>
      <c r="C162" t="b">
        <v>1</v>
      </c>
      <c r="D162">
        <v>8048</v>
      </c>
      <c r="E162">
        <v>8117</v>
      </c>
      <c r="F162">
        <v>8</v>
      </c>
      <c r="G162">
        <v>7.2</v>
      </c>
      <c r="H162">
        <v>1.1111112000000001</v>
      </c>
      <c r="I162">
        <v>-0.11111114</v>
      </c>
      <c r="J162">
        <v>0.4736842</v>
      </c>
    </row>
    <row r="163" spans="1:10" x14ac:dyDescent="0.3">
      <c r="A163">
        <v>161</v>
      </c>
      <c r="B163">
        <v>2556</v>
      </c>
      <c r="C163" t="b">
        <v>1</v>
      </c>
      <c r="D163">
        <v>8048</v>
      </c>
      <c r="E163">
        <v>8117</v>
      </c>
      <c r="F163">
        <v>8</v>
      </c>
      <c r="G163">
        <v>6.8</v>
      </c>
      <c r="H163">
        <v>1.1764705</v>
      </c>
      <c r="I163">
        <v>-0.17647055</v>
      </c>
      <c r="J163">
        <v>0.45945944999999999</v>
      </c>
    </row>
    <row r="164" spans="1:10" x14ac:dyDescent="0.3">
      <c r="A164">
        <v>162</v>
      </c>
      <c r="B164">
        <v>2572</v>
      </c>
      <c r="C164" t="b">
        <v>1</v>
      </c>
      <c r="D164">
        <v>8048</v>
      </c>
      <c r="E164">
        <v>8117</v>
      </c>
      <c r="F164">
        <v>8</v>
      </c>
      <c r="G164">
        <v>6.4</v>
      </c>
      <c r="H164">
        <v>1.25</v>
      </c>
      <c r="I164">
        <v>-0.24999999000000001</v>
      </c>
      <c r="J164">
        <v>0.44444447999999998</v>
      </c>
    </row>
    <row r="165" spans="1:10" x14ac:dyDescent="0.3">
      <c r="A165">
        <v>163</v>
      </c>
      <c r="B165">
        <v>2588</v>
      </c>
      <c r="C165" t="b">
        <v>1</v>
      </c>
      <c r="D165">
        <v>8048</v>
      </c>
      <c r="E165">
        <v>8123</v>
      </c>
      <c r="F165">
        <v>8</v>
      </c>
      <c r="G165">
        <v>6</v>
      </c>
      <c r="H165">
        <v>1.3333333999999999</v>
      </c>
      <c r="I165">
        <v>-0.33333333999999998</v>
      </c>
      <c r="J165">
        <v>0.42857142999999998</v>
      </c>
    </row>
    <row r="166" spans="1:10" x14ac:dyDescent="0.3">
      <c r="A166">
        <v>164</v>
      </c>
      <c r="B166">
        <v>2604</v>
      </c>
      <c r="C166" t="b">
        <v>1</v>
      </c>
      <c r="D166">
        <v>8048</v>
      </c>
      <c r="E166">
        <v>8123</v>
      </c>
      <c r="F166">
        <v>8</v>
      </c>
      <c r="G166">
        <v>5.6</v>
      </c>
      <c r="H166">
        <v>1.4285715000000001</v>
      </c>
      <c r="I166">
        <v>-0.42857146000000002</v>
      </c>
      <c r="J166">
        <v>0.41176467999999999</v>
      </c>
    </row>
    <row r="167" spans="1:10" x14ac:dyDescent="0.3">
      <c r="A167">
        <v>165</v>
      </c>
      <c r="B167">
        <v>2620</v>
      </c>
      <c r="C167" t="b">
        <v>1</v>
      </c>
      <c r="D167">
        <v>8048</v>
      </c>
      <c r="E167">
        <v>8123</v>
      </c>
      <c r="F167">
        <v>8</v>
      </c>
      <c r="G167">
        <v>5.6</v>
      </c>
      <c r="H167">
        <v>1.4285715000000001</v>
      </c>
      <c r="I167">
        <v>-0.42857146000000002</v>
      </c>
      <c r="J167">
        <v>0.41176467999999999</v>
      </c>
    </row>
    <row r="168" spans="1:10" x14ac:dyDescent="0.3">
      <c r="A168">
        <v>166</v>
      </c>
      <c r="B168">
        <v>2636</v>
      </c>
      <c r="C168" t="b">
        <v>1</v>
      </c>
      <c r="D168">
        <v>8048</v>
      </c>
      <c r="E168">
        <v>8117</v>
      </c>
      <c r="F168">
        <v>8</v>
      </c>
      <c r="G168">
        <v>5.6</v>
      </c>
      <c r="H168">
        <v>1.4285715000000001</v>
      </c>
      <c r="I168">
        <v>-0.42857146000000002</v>
      </c>
      <c r="J168">
        <v>0.41176467999999999</v>
      </c>
    </row>
    <row r="169" spans="1:10" x14ac:dyDescent="0.3">
      <c r="A169">
        <v>167</v>
      </c>
      <c r="B169">
        <v>2652</v>
      </c>
      <c r="C169" t="b">
        <v>1</v>
      </c>
      <c r="D169">
        <v>8048</v>
      </c>
      <c r="E169">
        <v>8117</v>
      </c>
      <c r="F169">
        <v>8</v>
      </c>
      <c r="G169">
        <v>5.6</v>
      </c>
      <c r="H169">
        <v>1.4285715000000001</v>
      </c>
      <c r="I169">
        <v>-0.42857146000000002</v>
      </c>
      <c r="J169">
        <v>0.41176467999999999</v>
      </c>
    </row>
    <row r="170" spans="1:10" x14ac:dyDescent="0.3">
      <c r="A170">
        <v>168</v>
      </c>
      <c r="B170">
        <v>2668</v>
      </c>
      <c r="C170" t="b">
        <v>1</v>
      </c>
      <c r="D170">
        <v>8048</v>
      </c>
      <c r="E170">
        <v>8123</v>
      </c>
      <c r="F170">
        <v>8</v>
      </c>
      <c r="G170">
        <v>5.6</v>
      </c>
      <c r="H170">
        <v>1.4285715000000001</v>
      </c>
      <c r="I170">
        <v>-0.42857146000000002</v>
      </c>
      <c r="J170">
        <v>0.41176467999999999</v>
      </c>
    </row>
    <row r="171" spans="1:10" x14ac:dyDescent="0.3">
      <c r="A171">
        <v>169</v>
      </c>
      <c r="B171">
        <v>2684</v>
      </c>
      <c r="C171" t="b">
        <v>1</v>
      </c>
      <c r="D171">
        <v>8048</v>
      </c>
      <c r="E171">
        <v>8123</v>
      </c>
      <c r="F171">
        <v>8</v>
      </c>
      <c r="G171">
        <v>5.6</v>
      </c>
      <c r="H171">
        <v>1.4285715000000001</v>
      </c>
      <c r="I171">
        <v>-0.42857146000000002</v>
      </c>
      <c r="J171">
        <v>0.41176467999999999</v>
      </c>
    </row>
    <row r="172" spans="1:10" x14ac:dyDescent="0.3">
      <c r="A172">
        <v>170</v>
      </c>
      <c r="B172">
        <v>2700</v>
      </c>
      <c r="C172" t="b">
        <v>1</v>
      </c>
      <c r="D172">
        <v>8042</v>
      </c>
      <c r="E172">
        <v>8123</v>
      </c>
      <c r="F172">
        <v>8</v>
      </c>
      <c r="G172">
        <v>5.6</v>
      </c>
      <c r="H172">
        <v>1.4285715000000001</v>
      </c>
      <c r="I172">
        <v>-0.42857146000000002</v>
      </c>
      <c r="J172">
        <v>0.41176467999999999</v>
      </c>
    </row>
    <row r="173" spans="1:10" x14ac:dyDescent="0.3">
      <c r="A173">
        <v>171</v>
      </c>
      <c r="B173">
        <v>2716</v>
      </c>
      <c r="C173" t="b">
        <v>1</v>
      </c>
      <c r="D173">
        <v>8048</v>
      </c>
      <c r="E173">
        <v>8123</v>
      </c>
      <c r="F173">
        <v>8</v>
      </c>
      <c r="G173">
        <v>5.6</v>
      </c>
      <c r="H173">
        <v>1.4285715000000001</v>
      </c>
      <c r="I173">
        <v>-0.42857146000000002</v>
      </c>
      <c r="J173">
        <v>0.41176467999999999</v>
      </c>
    </row>
    <row r="174" spans="1:10" x14ac:dyDescent="0.3">
      <c r="A174">
        <v>172</v>
      </c>
      <c r="B174">
        <v>2732</v>
      </c>
      <c r="C174" t="b">
        <v>1</v>
      </c>
      <c r="D174">
        <v>8048</v>
      </c>
      <c r="E174">
        <v>8117</v>
      </c>
      <c r="F174">
        <v>8</v>
      </c>
      <c r="G174">
        <v>5.6</v>
      </c>
      <c r="H174">
        <v>1.4285715000000001</v>
      </c>
      <c r="I174">
        <v>-0.42857146000000002</v>
      </c>
      <c r="J174">
        <v>0.41176467999999999</v>
      </c>
    </row>
    <row r="175" spans="1:10" x14ac:dyDescent="0.3">
      <c r="A175">
        <v>173</v>
      </c>
      <c r="B175">
        <v>2748</v>
      </c>
      <c r="C175" t="b">
        <v>1</v>
      </c>
      <c r="D175">
        <v>8048</v>
      </c>
      <c r="E175">
        <v>8123</v>
      </c>
      <c r="F175">
        <v>8</v>
      </c>
      <c r="G175">
        <v>5.6</v>
      </c>
      <c r="H175">
        <v>1.4285715000000001</v>
      </c>
      <c r="I175">
        <v>-0.42857146000000002</v>
      </c>
      <c r="J175">
        <v>0.41176467999999999</v>
      </c>
    </row>
    <row r="176" spans="1:10" x14ac:dyDescent="0.3">
      <c r="A176">
        <v>174</v>
      </c>
      <c r="B176">
        <v>2763</v>
      </c>
      <c r="C176" t="b">
        <v>1</v>
      </c>
      <c r="D176">
        <v>8048</v>
      </c>
      <c r="E176">
        <v>8123</v>
      </c>
      <c r="F176">
        <v>8</v>
      </c>
      <c r="G176">
        <v>6</v>
      </c>
      <c r="H176">
        <v>1.3333333999999999</v>
      </c>
      <c r="I176">
        <v>-0.33333333999999998</v>
      </c>
      <c r="J176">
        <v>0.42857142999999998</v>
      </c>
    </row>
    <row r="177" spans="1:10" x14ac:dyDescent="0.3">
      <c r="A177">
        <v>175</v>
      </c>
      <c r="B177">
        <v>2779</v>
      </c>
      <c r="C177" t="b">
        <v>1</v>
      </c>
      <c r="D177">
        <v>8048</v>
      </c>
      <c r="E177">
        <v>8123</v>
      </c>
      <c r="F177">
        <v>8</v>
      </c>
      <c r="G177">
        <v>6.4</v>
      </c>
      <c r="H177">
        <v>1.25</v>
      </c>
      <c r="I177">
        <v>-0.24999999000000001</v>
      </c>
      <c r="J177">
        <v>0.44444447999999998</v>
      </c>
    </row>
    <row r="178" spans="1:10" x14ac:dyDescent="0.3">
      <c r="A178">
        <v>176</v>
      </c>
      <c r="B178">
        <v>2795</v>
      </c>
      <c r="C178" t="b">
        <v>1</v>
      </c>
      <c r="D178">
        <v>8048</v>
      </c>
      <c r="E178">
        <v>8117</v>
      </c>
      <c r="F178">
        <v>8</v>
      </c>
      <c r="G178">
        <v>6.8</v>
      </c>
      <c r="H178">
        <v>1.1764705</v>
      </c>
      <c r="I178">
        <v>-0.17647055</v>
      </c>
      <c r="J178">
        <v>0.45945944999999999</v>
      </c>
    </row>
    <row r="179" spans="1:10" x14ac:dyDescent="0.3">
      <c r="A179">
        <v>177</v>
      </c>
      <c r="B179">
        <v>2811</v>
      </c>
      <c r="C179" t="b">
        <v>1</v>
      </c>
      <c r="D179">
        <v>8048</v>
      </c>
      <c r="E179">
        <v>8117</v>
      </c>
      <c r="F179">
        <v>8</v>
      </c>
      <c r="G179">
        <v>7.2</v>
      </c>
      <c r="H179">
        <v>1.1111112000000001</v>
      </c>
      <c r="I179">
        <v>-0.11111114</v>
      </c>
      <c r="J179">
        <v>0.4736842</v>
      </c>
    </row>
    <row r="180" spans="1:10" x14ac:dyDescent="0.3">
      <c r="A180">
        <v>178</v>
      </c>
      <c r="B180">
        <v>2827</v>
      </c>
      <c r="C180" t="b">
        <v>1</v>
      </c>
      <c r="D180">
        <v>8048</v>
      </c>
      <c r="E180">
        <v>8123</v>
      </c>
      <c r="F180">
        <v>8</v>
      </c>
      <c r="G180">
        <v>7.6</v>
      </c>
      <c r="H180">
        <v>1.0526316</v>
      </c>
      <c r="I180">
        <v>-5.2631589999999999E-2</v>
      </c>
      <c r="J180">
        <v>0.48717946000000001</v>
      </c>
    </row>
    <row r="181" spans="1:10" x14ac:dyDescent="0.3">
      <c r="A181">
        <v>179</v>
      </c>
      <c r="B181">
        <v>2843</v>
      </c>
      <c r="C181" t="b">
        <v>1</v>
      </c>
      <c r="D181">
        <v>8048</v>
      </c>
      <c r="E181">
        <v>8123</v>
      </c>
      <c r="F181">
        <v>8</v>
      </c>
      <c r="G181">
        <v>8</v>
      </c>
      <c r="H181">
        <v>1</v>
      </c>
      <c r="I181">
        <v>0</v>
      </c>
      <c r="J181">
        <v>0.5</v>
      </c>
    </row>
    <row r="182" spans="1:10" x14ac:dyDescent="0.3">
      <c r="A182">
        <v>180</v>
      </c>
      <c r="B182">
        <v>2859</v>
      </c>
      <c r="C182" t="b">
        <v>1</v>
      </c>
      <c r="D182">
        <v>8054</v>
      </c>
      <c r="E182">
        <v>8117</v>
      </c>
      <c r="F182">
        <v>8</v>
      </c>
      <c r="G182">
        <v>7.6</v>
      </c>
      <c r="H182">
        <v>1.0526316</v>
      </c>
      <c r="I182">
        <v>-5.2631589999999999E-2</v>
      </c>
      <c r="J182">
        <v>0.48717946000000001</v>
      </c>
    </row>
    <row r="183" spans="1:10" x14ac:dyDescent="0.3">
      <c r="A183">
        <v>181</v>
      </c>
      <c r="B183">
        <v>2875</v>
      </c>
      <c r="C183" t="b">
        <v>1</v>
      </c>
      <c r="D183">
        <v>8048</v>
      </c>
      <c r="E183">
        <v>8123</v>
      </c>
      <c r="F183">
        <v>8</v>
      </c>
      <c r="G183">
        <v>7.6</v>
      </c>
      <c r="H183">
        <v>1.0526316</v>
      </c>
      <c r="I183">
        <v>-5.2631589999999999E-2</v>
      </c>
      <c r="J183">
        <v>0.48717946000000001</v>
      </c>
    </row>
    <row r="184" spans="1:10" x14ac:dyDescent="0.3">
      <c r="A184">
        <v>182</v>
      </c>
      <c r="B184">
        <v>2891</v>
      </c>
      <c r="C184" t="b">
        <v>1</v>
      </c>
      <c r="D184">
        <v>8042</v>
      </c>
      <c r="E184">
        <v>8123</v>
      </c>
      <c r="F184">
        <v>8</v>
      </c>
      <c r="G184">
        <v>7.6</v>
      </c>
      <c r="H184">
        <v>1.0526316</v>
      </c>
      <c r="I184">
        <v>-5.2631589999999999E-2</v>
      </c>
      <c r="J184">
        <v>0.48717946000000001</v>
      </c>
    </row>
    <row r="185" spans="1:10" x14ac:dyDescent="0.3">
      <c r="A185">
        <v>183</v>
      </c>
      <c r="B185">
        <v>2906</v>
      </c>
      <c r="C185" t="b">
        <v>1</v>
      </c>
      <c r="D185">
        <v>8054</v>
      </c>
      <c r="E185">
        <v>8117</v>
      </c>
      <c r="F185">
        <v>8</v>
      </c>
      <c r="G185">
        <v>7.6</v>
      </c>
      <c r="H185">
        <v>1.0526316</v>
      </c>
      <c r="I185">
        <v>-5.2631589999999999E-2</v>
      </c>
      <c r="J185">
        <v>0.48717946000000001</v>
      </c>
    </row>
    <row r="186" spans="1:10" x14ac:dyDescent="0.3">
      <c r="A186">
        <v>184</v>
      </c>
      <c r="B186">
        <v>2922</v>
      </c>
      <c r="C186" t="b">
        <v>1</v>
      </c>
      <c r="D186">
        <v>8054</v>
      </c>
      <c r="E186">
        <v>8123</v>
      </c>
      <c r="F186">
        <v>8.4</v>
      </c>
      <c r="G186">
        <v>7.6</v>
      </c>
      <c r="H186">
        <v>1.1052630999999999</v>
      </c>
      <c r="I186">
        <v>-0.10526312</v>
      </c>
      <c r="J186">
        <v>0.47499999999999998</v>
      </c>
    </row>
    <row r="187" spans="1:10" x14ac:dyDescent="0.3">
      <c r="A187">
        <v>185</v>
      </c>
      <c r="B187">
        <v>2938</v>
      </c>
      <c r="C187" t="b">
        <v>1</v>
      </c>
      <c r="D187">
        <v>8054</v>
      </c>
      <c r="E187">
        <v>8123</v>
      </c>
      <c r="F187">
        <v>8.8000000000000007</v>
      </c>
      <c r="G187">
        <v>7.6</v>
      </c>
      <c r="H187">
        <v>1.1578946999999999</v>
      </c>
      <c r="I187">
        <v>-0.15789478000000001</v>
      </c>
      <c r="J187">
        <v>0.46341463999999999</v>
      </c>
    </row>
    <row r="188" spans="1:10" x14ac:dyDescent="0.3">
      <c r="A188">
        <v>186</v>
      </c>
      <c r="B188">
        <v>2953</v>
      </c>
      <c r="C188" t="b">
        <v>1</v>
      </c>
      <c r="D188">
        <v>8054</v>
      </c>
      <c r="E188">
        <v>8123</v>
      </c>
      <c r="F188">
        <v>9.1999999999999993</v>
      </c>
      <c r="G188">
        <v>7.6</v>
      </c>
      <c r="H188">
        <v>1.2105262999999999</v>
      </c>
      <c r="I188">
        <v>-0.2105263</v>
      </c>
      <c r="J188">
        <v>0.45238096</v>
      </c>
    </row>
    <row r="189" spans="1:10" x14ac:dyDescent="0.3">
      <c r="A189">
        <v>187</v>
      </c>
      <c r="B189">
        <v>2969</v>
      </c>
      <c r="C189" t="b">
        <v>1</v>
      </c>
      <c r="D189">
        <v>8048</v>
      </c>
      <c r="E189">
        <v>8123</v>
      </c>
      <c r="F189">
        <v>9.6</v>
      </c>
      <c r="G189">
        <v>7.6</v>
      </c>
      <c r="H189">
        <v>1.263158</v>
      </c>
      <c r="I189">
        <v>-0.26315796000000002</v>
      </c>
      <c r="J189">
        <v>0.44186044000000002</v>
      </c>
    </row>
    <row r="190" spans="1:10" x14ac:dyDescent="0.3">
      <c r="A190">
        <v>188</v>
      </c>
      <c r="B190">
        <v>2985</v>
      </c>
      <c r="C190" t="b">
        <v>1</v>
      </c>
      <c r="D190">
        <v>8054</v>
      </c>
      <c r="E190">
        <v>8123</v>
      </c>
      <c r="F190">
        <v>10</v>
      </c>
      <c r="G190">
        <v>7.6</v>
      </c>
      <c r="H190">
        <v>1.3157894999999999</v>
      </c>
      <c r="I190">
        <v>-0.3157895</v>
      </c>
      <c r="J190">
        <v>0.43181816000000001</v>
      </c>
    </row>
    <row r="191" spans="1:10" x14ac:dyDescent="0.3">
      <c r="A191">
        <v>189</v>
      </c>
      <c r="B191">
        <v>3001</v>
      </c>
      <c r="C191" t="b">
        <v>1</v>
      </c>
      <c r="D191">
        <v>8048</v>
      </c>
      <c r="E191">
        <v>8123</v>
      </c>
      <c r="F191">
        <v>10.4</v>
      </c>
      <c r="G191">
        <v>7.6</v>
      </c>
      <c r="H191">
        <v>1.3684210999999999</v>
      </c>
      <c r="I191">
        <v>-0.36842101999999999</v>
      </c>
      <c r="J191">
        <v>0.42222222999999998</v>
      </c>
    </row>
    <row r="192" spans="1:10" x14ac:dyDescent="0.3">
      <c r="A192">
        <v>190</v>
      </c>
      <c r="B192">
        <v>3017</v>
      </c>
      <c r="C192" t="b">
        <v>1</v>
      </c>
      <c r="D192">
        <v>8048</v>
      </c>
      <c r="E192">
        <v>8123</v>
      </c>
      <c r="F192">
        <v>10.4</v>
      </c>
      <c r="G192">
        <v>7.6</v>
      </c>
      <c r="H192">
        <v>1.3684210999999999</v>
      </c>
      <c r="I192">
        <v>-0.36842101999999999</v>
      </c>
      <c r="J192">
        <v>0.42222222999999998</v>
      </c>
    </row>
    <row r="193" spans="1:10" x14ac:dyDescent="0.3">
      <c r="A193">
        <v>191</v>
      </c>
      <c r="B193">
        <v>3033</v>
      </c>
      <c r="C193" t="b">
        <v>1</v>
      </c>
      <c r="D193">
        <v>8048</v>
      </c>
      <c r="E193">
        <v>8123</v>
      </c>
      <c r="F193">
        <v>10.4</v>
      </c>
      <c r="G193">
        <v>7.6</v>
      </c>
      <c r="H193">
        <v>1.3684210999999999</v>
      </c>
      <c r="I193">
        <v>-0.36842101999999999</v>
      </c>
      <c r="J193">
        <v>0.42222222999999998</v>
      </c>
    </row>
    <row r="194" spans="1:10" x14ac:dyDescent="0.3">
      <c r="A194">
        <v>192</v>
      </c>
      <c r="B194">
        <v>3049</v>
      </c>
      <c r="C194" t="b">
        <v>1</v>
      </c>
      <c r="D194">
        <v>8048</v>
      </c>
      <c r="E194">
        <v>8123</v>
      </c>
      <c r="F194">
        <v>10.4</v>
      </c>
      <c r="G194">
        <v>7.6</v>
      </c>
      <c r="H194">
        <v>1.3684210999999999</v>
      </c>
      <c r="I194">
        <v>-0.36842101999999999</v>
      </c>
      <c r="J194">
        <v>0.42222222999999998</v>
      </c>
    </row>
    <row r="195" spans="1:10" x14ac:dyDescent="0.3">
      <c r="A195">
        <v>193</v>
      </c>
      <c r="B195">
        <v>3065</v>
      </c>
      <c r="C195" t="b">
        <v>1</v>
      </c>
      <c r="D195">
        <v>8048</v>
      </c>
      <c r="E195">
        <v>8123</v>
      </c>
      <c r="F195">
        <v>10.4</v>
      </c>
      <c r="G195">
        <v>7.6</v>
      </c>
      <c r="H195">
        <v>1.3684210999999999</v>
      </c>
      <c r="I195">
        <v>-0.36842101999999999</v>
      </c>
      <c r="J195">
        <v>0.42222222999999998</v>
      </c>
    </row>
    <row r="196" spans="1:10" x14ac:dyDescent="0.3">
      <c r="A196">
        <v>194</v>
      </c>
      <c r="B196">
        <v>3081</v>
      </c>
      <c r="C196" t="b">
        <v>1</v>
      </c>
      <c r="D196">
        <v>8048</v>
      </c>
      <c r="E196">
        <v>8117</v>
      </c>
      <c r="F196">
        <v>10.4</v>
      </c>
      <c r="G196">
        <v>7.6</v>
      </c>
      <c r="H196">
        <v>1.3684210999999999</v>
      </c>
      <c r="I196">
        <v>-0.36842101999999999</v>
      </c>
      <c r="J196">
        <v>0.42222222999999998</v>
      </c>
    </row>
    <row r="197" spans="1:10" x14ac:dyDescent="0.3">
      <c r="A197">
        <v>195</v>
      </c>
      <c r="B197">
        <v>3097</v>
      </c>
      <c r="C197" t="b">
        <v>1</v>
      </c>
      <c r="D197">
        <v>8054</v>
      </c>
      <c r="E197">
        <v>8117</v>
      </c>
      <c r="F197">
        <v>10.4</v>
      </c>
      <c r="G197">
        <v>8</v>
      </c>
      <c r="H197">
        <v>1.3</v>
      </c>
      <c r="I197">
        <v>-0.29999995000000002</v>
      </c>
      <c r="J197">
        <v>0.43478262000000001</v>
      </c>
    </row>
    <row r="198" spans="1:10" x14ac:dyDescent="0.3">
      <c r="A198">
        <v>196</v>
      </c>
      <c r="B198">
        <v>3113</v>
      </c>
      <c r="C198" t="b">
        <v>1</v>
      </c>
      <c r="D198">
        <v>8060</v>
      </c>
      <c r="E198">
        <v>8117</v>
      </c>
      <c r="F198">
        <v>10.4</v>
      </c>
      <c r="G198">
        <v>7.6</v>
      </c>
      <c r="H198">
        <v>1.3684210999999999</v>
      </c>
      <c r="I198">
        <v>-0.36842101999999999</v>
      </c>
      <c r="J198">
        <v>0.42222222999999998</v>
      </c>
    </row>
    <row r="199" spans="1:10" x14ac:dyDescent="0.3">
      <c r="A199">
        <v>197</v>
      </c>
      <c r="B199">
        <v>3129</v>
      </c>
      <c r="C199" t="b">
        <v>1</v>
      </c>
      <c r="D199">
        <v>8060</v>
      </c>
      <c r="E199">
        <v>8111</v>
      </c>
      <c r="F199">
        <v>10.8</v>
      </c>
      <c r="G199">
        <v>7.2</v>
      </c>
      <c r="H199">
        <v>1.5000001000000001</v>
      </c>
      <c r="I199">
        <v>-0.50000005999999997</v>
      </c>
      <c r="J199">
        <v>0.39999997999999998</v>
      </c>
    </row>
    <row r="200" spans="1:10" x14ac:dyDescent="0.3">
      <c r="A200">
        <v>198</v>
      </c>
      <c r="B200">
        <v>3145</v>
      </c>
      <c r="C200" t="b">
        <v>1</v>
      </c>
      <c r="D200">
        <v>8054</v>
      </c>
      <c r="E200">
        <v>8111</v>
      </c>
      <c r="F200">
        <v>11.2</v>
      </c>
      <c r="G200">
        <v>6.8</v>
      </c>
      <c r="H200">
        <v>1.6470587000000001</v>
      </c>
      <c r="I200">
        <v>-0.64705869999999999</v>
      </c>
      <c r="J200">
        <v>0.37777779</v>
      </c>
    </row>
    <row r="201" spans="1:10" x14ac:dyDescent="0.3">
      <c r="A201">
        <v>199</v>
      </c>
      <c r="B201">
        <v>3161</v>
      </c>
      <c r="C201" t="b">
        <v>1</v>
      </c>
      <c r="D201">
        <v>8054</v>
      </c>
      <c r="E201">
        <v>8117</v>
      </c>
      <c r="F201">
        <v>11.2</v>
      </c>
      <c r="G201">
        <v>6.4</v>
      </c>
      <c r="H201">
        <v>1.75</v>
      </c>
      <c r="I201">
        <v>-0.74999994000000003</v>
      </c>
      <c r="J201">
        <v>0.36363636999999999</v>
      </c>
    </row>
    <row r="202" spans="1:10" x14ac:dyDescent="0.3">
      <c r="A202">
        <v>200</v>
      </c>
      <c r="B202">
        <v>3177</v>
      </c>
      <c r="C202" t="b">
        <v>1</v>
      </c>
      <c r="D202">
        <v>8054</v>
      </c>
      <c r="E202">
        <v>8123</v>
      </c>
      <c r="F202">
        <v>11.2</v>
      </c>
      <c r="G202">
        <v>6</v>
      </c>
      <c r="H202">
        <v>1.8666666999999999</v>
      </c>
      <c r="I202">
        <v>-0.86666659999999995</v>
      </c>
      <c r="J202">
        <v>0.34883720000000001</v>
      </c>
    </row>
    <row r="203" spans="1:10" x14ac:dyDescent="0.3">
      <c r="A203">
        <v>201</v>
      </c>
      <c r="B203">
        <v>3193</v>
      </c>
      <c r="C203" t="b">
        <v>1</v>
      </c>
      <c r="D203">
        <v>8054</v>
      </c>
      <c r="E203">
        <v>8123</v>
      </c>
      <c r="F203">
        <v>11.2</v>
      </c>
      <c r="G203">
        <v>5.6</v>
      </c>
      <c r="H203">
        <v>2</v>
      </c>
      <c r="I203">
        <v>-1</v>
      </c>
      <c r="J203">
        <v>0.33333333999999998</v>
      </c>
    </row>
    <row r="204" spans="1:10" x14ac:dyDescent="0.3">
      <c r="A204">
        <v>202</v>
      </c>
      <c r="B204">
        <v>3209</v>
      </c>
      <c r="C204" t="b">
        <v>1</v>
      </c>
      <c r="D204">
        <v>8048</v>
      </c>
      <c r="E204">
        <v>8123</v>
      </c>
      <c r="F204">
        <v>11.2</v>
      </c>
      <c r="G204">
        <v>5.6</v>
      </c>
      <c r="H204">
        <v>2</v>
      </c>
      <c r="I204">
        <v>-1</v>
      </c>
      <c r="J204">
        <v>0.33333333999999998</v>
      </c>
    </row>
    <row r="205" spans="1:10" x14ac:dyDescent="0.3">
      <c r="A205">
        <v>203</v>
      </c>
      <c r="B205">
        <v>3224</v>
      </c>
      <c r="C205" t="b">
        <v>1</v>
      </c>
      <c r="D205">
        <v>8048</v>
      </c>
      <c r="E205">
        <v>8123</v>
      </c>
      <c r="F205">
        <v>11.2</v>
      </c>
      <c r="G205">
        <v>5.6</v>
      </c>
      <c r="H205">
        <v>2</v>
      </c>
      <c r="I205">
        <v>-1</v>
      </c>
      <c r="J205">
        <v>0.33333333999999998</v>
      </c>
    </row>
    <row r="206" spans="1:10" x14ac:dyDescent="0.3">
      <c r="A206">
        <v>204</v>
      </c>
      <c r="B206">
        <v>3240</v>
      </c>
      <c r="C206" t="b">
        <v>1</v>
      </c>
      <c r="D206">
        <v>8048</v>
      </c>
      <c r="E206">
        <v>8123</v>
      </c>
      <c r="F206">
        <v>10.8</v>
      </c>
      <c r="G206">
        <v>5.6</v>
      </c>
      <c r="H206">
        <v>1.9285715000000001</v>
      </c>
      <c r="I206">
        <v>-0.92857149999999999</v>
      </c>
      <c r="J206">
        <v>0.34146342000000002</v>
      </c>
    </row>
    <row r="207" spans="1:10" x14ac:dyDescent="0.3">
      <c r="A207">
        <v>205</v>
      </c>
      <c r="B207">
        <v>3256</v>
      </c>
      <c r="C207" t="b">
        <v>1</v>
      </c>
      <c r="D207">
        <v>8048</v>
      </c>
      <c r="E207">
        <v>8123</v>
      </c>
      <c r="F207">
        <v>10.8</v>
      </c>
      <c r="G207">
        <v>5.6</v>
      </c>
      <c r="H207">
        <v>1.9285715000000001</v>
      </c>
      <c r="I207">
        <v>-0.92857149999999999</v>
      </c>
      <c r="J207">
        <v>0.34146342000000002</v>
      </c>
    </row>
    <row r="208" spans="1:10" x14ac:dyDescent="0.3">
      <c r="A208">
        <v>206</v>
      </c>
      <c r="B208">
        <v>3272</v>
      </c>
      <c r="C208" t="b">
        <v>1</v>
      </c>
      <c r="D208">
        <v>8048</v>
      </c>
      <c r="E208">
        <v>8123</v>
      </c>
      <c r="F208">
        <v>10.8</v>
      </c>
      <c r="G208">
        <v>5.6</v>
      </c>
      <c r="H208">
        <v>1.9285715000000001</v>
      </c>
      <c r="I208">
        <v>-0.92857149999999999</v>
      </c>
      <c r="J208">
        <v>0.34146342000000002</v>
      </c>
    </row>
    <row r="209" spans="1:10" x14ac:dyDescent="0.3">
      <c r="A209">
        <v>207</v>
      </c>
      <c r="B209">
        <v>3288</v>
      </c>
      <c r="C209" t="b">
        <v>1</v>
      </c>
      <c r="D209">
        <v>8048</v>
      </c>
      <c r="E209">
        <v>8123</v>
      </c>
      <c r="F209">
        <v>10.8</v>
      </c>
      <c r="G209">
        <v>5.6</v>
      </c>
      <c r="H209">
        <v>1.9285715000000001</v>
      </c>
      <c r="I209">
        <v>-0.92857149999999999</v>
      </c>
      <c r="J209">
        <v>0.34146342000000002</v>
      </c>
    </row>
    <row r="210" spans="1:10" x14ac:dyDescent="0.3">
      <c r="A210">
        <v>208</v>
      </c>
      <c r="B210">
        <v>3304</v>
      </c>
      <c r="C210" t="b">
        <v>1</v>
      </c>
      <c r="D210">
        <v>8054</v>
      </c>
      <c r="E210">
        <v>8123</v>
      </c>
      <c r="F210">
        <v>10.8</v>
      </c>
      <c r="G210">
        <v>5.6</v>
      </c>
      <c r="H210">
        <v>1.9285715000000001</v>
      </c>
      <c r="I210">
        <v>-0.92857149999999999</v>
      </c>
      <c r="J210">
        <v>0.34146342000000002</v>
      </c>
    </row>
    <row r="211" spans="1:10" x14ac:dyDescent="0.3">
      <c r="A211">
        <v>209</v>
      </c>
      <c r="B211">
        <v>3320</v>
      </c>
      <c r="C211" t="b">
        <v>1</v>
      </c>
      <c r="D211">
        <v>8054</v>
      </c>
      <c r="E211">
        <v>8123</v>
      </c>
      <c r="F211">
        <v>10.8</v>
      </c>
      <c r="G211">
        <v>5.6</v>
      </c>
      <c r="H211">
        <v>1.9285715000000001</v>
      </c>
      <c r="I211">
        <v>-0.92857149999999999</v>
      </c>
      <c r="J211">
        <v>0.34146342000000002</v>
      </c>
    </row>
    <row r="212" spans="1:10" x14ac:dyDescent="0.3">
      <c r="A212">
        <v>210</v>
      </c>
      <c r="B212">
        <v>3336</v>
      </c>
      <c r="C212" t="b">
        <v>1</v>
      </c>
      <c r="D212">
        <v>8048</v>
      </c>
      <c r="E212">
        <v>8123</v>
      </c>
      <c r="F212">
        <v>10.8</v>
      </c>
      <c r="G212">
        <v>5.6</v>
      </c>
      <c r="H212">
        <v>1.9285715000000001</v>
      </c>
      <c r="I212">
        <v>-0.92857149999999999</v>
      </c>
      <c r="J212">
        <v>0.34146342000000002</v>
      </c>
    </row>
    <row r="213" spans="1:10" x14ac:dyDescent="0.3">
      <c r="A213">
        <v>211</v>
      </c>
      <c r="B213">
        <v>3352</v>
      </c>
      <c r="C213" t="b">
        <v>1</v>
      </c>
      <c r="D213">
        <v>8054</v>
      </c>
      <c r="E213">
        <v>8123</v>
      </c>
      <c r="F213">
        <v>11.2</v>
      </c>
      <c r="G213">
        <v>6</v>
      </c>
      <c r="H213">
        <v>1.8666666999999999</v>
      </c>
      <c r="I213">
        <v>-0.86666659999999995</v>
      </c>
      <c r="J213">
        <v>0.34883720000000001</v>
      </c>
    </row>
    <row r="214" spans="1:10" x14ac:dyDescent="0.3">
      <c r="A214">
        <v>212</v>
      </c>
      <c r="B214">
        <v>3368</v>
      </c>
      <c r="C214" t="b">
        <v>1</v>
      </c>
      <c r="D214">
        <v>8054</v>
      </c>
      <c r="E214">
        <v>8123</v>
      </c>
      <c r="F214">
        <v>11.2</v>
      </c>
      <c r="G214">
        <v>6.4</v>
      </c>
      <c r="H214">
        <v>1.75</v>
      </c>
      <c r="I214">
        <v>-0.74999994000000003</v>
      </c>
      <c r="J214">
        <v>0.36363636999999999</v>
      </c>
    </row>
    <row r="215" spans="1:10" x14ac:dyDescent="0.3">
      <c r="A215">
        <v>213</v>
      </c>
      <c r="B215">
        <v>3384</v>
      </c>
      <c r="C215" t="b">
        <v>1</v>
      </c>
      <c r="D215">
        <v>8048</v>
      </c>
      <c r="E215">
        <v>8123</v>
      </c>
      <c r="F215">
        <v>11.2</v>
      </c>
      <c r="G215">
        <v>6.8</v>
      </c>
      <c r="H215">
        <v>1.6470587000000001</v>
      </c>
      <c r="I215">
        <v>-0.64705869999999999</v>
      </c>
      <c r="J215">
        <v>0.37777779</v>
      </c>
    </row>
    <row r="216" spans="1:10" x14ac:dyDescent="0.3">
      <c r="A216">
        <v>214</v>
      </c>
      <c r="B216">
        <v>3400</v>
      </c>
      <c r="C216" t="b">
        <v>1</v>
      </c>
      <c r="D216">
        <v>8048</v>
      </c>
      <c r="E216">
        <v>8129</v>
      </c>
      <c r="F216">
        <v>10.8</v>
      </c>
      <c r="G216">
        <v>7.2</v>
      </c>
      <c r="H216">
        <v>1.5000001000000001</v>
      </c>
      <c r="I216">
        <v>-0.50000005999999997</v>
      </c>
      <c r="J216">
        <v>0.39999997999999998</v>
      </c>
    </row>
    <row r="217" spans="1:10" x14ac:dyDescent="0.3">
      <c r="A217">
        <v>215</v>
      </c>
      <c r="B217">
        <v>3416</v>
      </c>
      <c r="C217" t="b">
        <v>1</v>
      </c>
      <c r="D217">
        <v>8048</v>
      </c>
      <c r="E217">
        <v>8123</v>
      </c>
      <c r="F217">
        <v>10.4</v>
      </c>
      <c r="G217">
        <v>7.6</v>
      </c>
      <c r="H217">
        <v>1.3684210999999999</v>
      </c>
      <c r="I217">
        <v>-0.36842101999999999</v>
      </c>
      <c r="J217">
        <v>0.42222222999999998</v>
      </c>
    </row>
    <row r="218" spans="1:10" x14ac:dyDescent="0.3">
      <c r="A218">
        <v>216</v>
      </c>
      <c r="B218">
        <v>3432</v>
      </c>
      <c r="C218" t="b">
        <v>1</v>
      </c>
      <c r="D218">
        <v>8042</v>
      </c>
      <c r="E218">
        <v>8123</v>
      </c>
      <c r="F218">
        <v>10</v>
      </c>
      <c r="G218">
        <v>8</v>
      </c>
      <c r="H218">
        <v>1.25</v>
      </c>
      <c r="I218">
        <v>-0.25</v>
      </c>
      <c r="J218">
        <v>0.44444444999999999</v>
      </c>
    </row>
    <row r="219" spans="1:10" x14ac:dyDescent="0.3">
      <c r="A219">
        <v>217</v>
      </c>
      <c r="B219">
        <v>3448</v>
      </c>
      <c r="C219" t="b">
        <v>1</v>
      </c>
      <c r="D219">
        <v>8048</v>
      </c>
      <c r="E219">
        <v>8123</v>
      </c>
      <c r="F219">
        <v>9.6</v>
      </c>
      <c r="G219">
        <v>8</v>
      </c>
      <c r="H219">
        <v>1.2</v>
      </c>
      <c r="I219">
        <v>-0.20000005000000001</v>
      </c>
      <c r="J219">
        <v>0.45454544000000002</v>
      </c>
    </row>
    <row r="220" spans="1:10" x14ac:dyDescent="0.3">
      <c r="A220">
        <v>218</v>
      </c>
      <c r="B220">
        <v>3464</v>
      </c>
      <c r="C220" t="b">
        <v>1</v>
      </c>
      <c r="D220">
        <v>8048</v>
      </c>
      <c r="E220">
        <v>8123</v>
      </c>
      <c r="F220">
        <v>9.1999999999999993</v>
      </c>
      <c r="G220">
        <v>8</v>
      </c>
      <c r="H220">
        <v>1.1499999999999999</v>
      </c>
      <c r="I220">
        <v>-0.14999998</v>
      </c>
      <c r="J220">
        <v>0.46511626</v>
      </c>
    </row>
    <row r="221" spans="1:10" x14ac:dyDescent="0.3">
      <c r="A221">
        <v>219</v>
      </c>
      <c r="B221">
        <v>3480</v>
      </c>
      <c r="C221" t="b">
        <v>1</v>
      </c>
      <c r="D221">
        <v>8048</v>
      </c>
      <c r="E221">
        <v>8117</v>
      </c>
      <c r="F221">
        <v>9.1999999999999993</v>
      </c>
      <c r="G221">
        <v>8</v>
      </c>
      <c r="H221">
        <v>1.1499999999999999</v>
      </c>
      <c r="I221">
        <v>-0.14999998</v>
      </c>
      <c r="J221">
        <v>0.46511626</v>
      </c>
    </row>
    <row r="222" spans="1:10" x14ac:dyDescent="0.3">
      <c r="A222">
        <v>220</v>
      </c>
      <c r="B222">
        <v>3495</v>
      </c>
      <c r="C222" t="b">
        <v>1</v>
      </c>
      <c r="D222">
        <v>8048</v>
      </c>
      <c r="E222">
        <v>8117</v>
      </c>
      <c r="F222">
        <v>9.1999999999999993</v>
      </c>
      <c r="G222">
        <v>8</v>
      </c>
      <c r="H222">
        <v>1.1499999999999999</v>
      </c>
      <c r="I222">
        <v>-0.14999998</v>
      </c>
      <c r="J222">
        <v>0.46511626</v>
      </c>
    </row>
    <row r="223" spans="1:10" x14ac:dyDescent="0.3">
      <c r="A223">
        <v>221</v>
      </c>
      <c r="B223">
        <v>3511</v>
      </c>
      <c r="C223" t="b">
        <v>1</v>
      </c>
      <c r="D223">
        <v>8048</v>
      </c>
      <c r="E223">
        <v>8123</v>
      </c>
      <c r="F223">
        <v>9.1999999999999993</v>
      </c>
      <c r="G223">
        <v>8</v>
      </c>
      <c r="H223">
        <v>1.1499999999999999</v>
      </c>
      <c r="I223">
        <v>-0.14999998</v>
      </c>
      <c r="J223">
        <v>0.46511626</v>
      </c>
    </row>
    <row r="224" spans="1:10" x14ac:dyDescent="0.3">
      <c r="A224">
        <v>222</v>
      </c>
      <c r="B224">
        <v>3527</v>
      </c>
      <c r="C224" t="b">
        <v>1</v>
      </c>
      <c r="D224">
        <v>8054</v>
      </c>
      <c r="E224">
        <v>8123</v>
      </c>
      <c r="F224">
        <v>9.1999999999999993</v>
      </c>
      <c r="G224">
        <v>8</v>
      </c>
      <c r="H224">
        <v>1.1499999999999999</v>
      </c>
      <c r="I224">
        <v>-0.14999998</v>
      </c>
      <c r="J224">
        <v>0.46511626</v>
      </c>
    </row>
    <row r="225" spans="1:10" x14ac:dyDescent="0.3">
      <c r="A225">
        <v>223</v>
      </c>
      <c r="B225">
        <v>3543</v>
      </c>
      <c r="C225" t="b">
        <v>1</v>
      </c>
      <c r="D225">
        <v>8054</v>
      </c>
      <c r="E225">
        <v>8123</v>
      </c>
      <c r="F225">
        <v>9.1999999999999993</v>
      </c>
      <c r="G225">
        <v>8</v>
      </c>
      <c r="H225">
        <v>1.1499999999999999</v>
      </c>
      <c r="I225">
        <v>-0.14999998</v>
      </c>
      <c r="J225">
        <v>0.46511626</v>
      </c>
    </row>
    <row r="226" spans="1:10" x14ac:dyDescent="0.3">
      <c r="A226">
        <v>224</v>
      </c>
      <c r="B226">
        <v>3559</v>
      </c>
      <c r="C226" t="b">
        <v>1</v>
      </c>
      <c r="D226">
        <v>8048</v>
      </c>
      <c r="E226">
        <v>8123</v>
      </c>
      <c r="F226">
        <v>9.1999999999999993</v>
      </c>
      <c r="G226">
        <v>8</v>
      </c>
      <c r="H226">
        <v>1.1499999999999999</v>
      </c>
      <c r="I226">
        <v>-0.14999998</v>
      </c>
      <c r="J226">
        <v>0.46511626</v>
      </c>
    </row>
    <row r="227" spans="1:10" x14ac:dyDescent="0.3">
      <c r="A227">
        <v>225</v>
      </c>
      <c r="B227">
        <v>3575</v>
      </c>
      <c r="C227" t="b">
        <v>1</v>
      </c>
      <c r="D227">
        <v>8048</v>
      </c>
      <c r="E227">
        <v>8117</v>
      </c>
      <c r="F227">
        <v>9.1999999999999993</v>
      </c>
      <c r="G227">
        <v>8</v>
      </c>
      <c r="H227">
        <v>1.1499999999999999</v>
      </c>
      <c r="I227">
        <v>-0.14999998</v>
      </c>
      <c r="J227">
        <v>0.46511626</v>
      </c>
    </row>
    <row r="228" spans="1:10" x14ac:dyDescent="0.3">
      <c r="A228">
        <v>226</v>
      </c>
      <c r="B228">
        <v>3590</v>
      </c>
      <c r="C228" t="b">
        <v>1</v>
      </c>
      <c r="D228">
        <v>8048</v>
      </c>
      <c r="E228">
        <v>8117</v>
      </c>
      <c r="F228">
        <v>8.8000000000000007</v>
      </c>
      <c r="G228">
        <v>8</v>
      </c>
      <c r="H228">
        <v>1.1000000000000001</v>
      </c>
      <c r="I228">
        <v>-0.10000002400000001</v>
      </c>
      <c r="J228">
        <v>0.47619050000000002</v>
      </c>
    </row>
    <row r="229" spans="1:10" x14ac:dyDescent="0.3">
      <c r="A229">
        <v>227</v>
      </c>
      <c r="B229">
        <v>3606</v>
      </c>
      <c r="C229" t="b">
        <v>1</v>
      </c>
      <c r="D229">
        <v>8054</v>
      </c>
      <c r="E229">
        <v>8123</v>
      </c>
      <c r="F229">
        <v>8.4</v>
      </c>
      <c r="G229">
        <v>8</v>
      </c>
      <c r="H229">
        <v>1.05</v>
      </c>
      <c r="I229">
        <v>-4.9999952E-2</v>
      </c>
      <c r="J229">
        <v>0.48780489999999999</v>
      </c>
    </row>
    <row r="230" spans="1:10" x14ac:dyDescent="0.3">
      <c r="A230">
        <v>228</v>
      </c>
      <c r="B230">
        <v>3622</v>
      </c>
      <c r="C230" t="b">
        <v>1</v>
      </c>
      <c r="D230">
        <v>8054</v>
      </c>
      <c r="E230">
        <v>8123</v>
      </c>
      <c r="F230">
        <v>8</v>
      </c>
      <c r="G230">
        <v>8</v>
      </c>
      <c r="H230">
        <v>1</v>
      </c>
      <c r="I230">
        <v>0</v>
      </c>
      <c r="J230">
        <v>0.5</v>
      </c>
    </row>
    <row r="231" spans="1:10" x14ac:dyDescent="0.3">
      <c r="A231">
        <v>229</v>
      </c>
      <c r="B231">
        <v>3638</v>
      </c>
      <c r="C231" t="b">
        <v>1</v>
      </c>
      <c r="D231">
        <v>8048</v>
      </c>
      <c r="E231">
        <v>8123</v>
      </c>
      <c r="F231">
        <v>8</v>
      </c>
      <c r="G231">
        <v>8</v>
      </c>
      <c r="H231">
        <v>1</v>
      </c>
      <c r="I231">
        <v>0</v>
      </c>
      <c r="J231">
        <v>0.5</v>
      </c>
    </row>
    <row r="232" spans="1:10" x14ac:dyDescent="0.3">
      <c r="A232">
        <v>230</v>
      </c>
      <c r="B232">
        <v>3654</v>
      </c>
      <c r="C232" t="b">
        <v>1</v>
      </c>
      <c r="D232">
        <v>8054</v>
      </c>
      <c r="E232">
        <v>8117</v>
      </c>
      <c r="F232">
        <v>8.4</v>
      </c>
      <c r="G232">
        <v>8</v>
      </c>
      <c r="H232">
        <v>1.05</v>
      </c>
      <c r="I232">
        <v>-4.9999952E-2</v>
      </c>
      <c r="J232">
        <v>0.48780489999999999</v>
      </c>
    </row>
    <row r="233" spans="1:10" x14ac:dyDescent="0.3">
      <c r="A233">
        <v>231</v>
      </c>
      <c r="B233">
        <v>3670</v>
      </c>
      <c r="C233" t="b">
        <v>1</v>
      </c>
      <c r="D233">
        <v>8042</v>
      </c>
      <c r="E233">
        <v>8123</v>
      </c>
      <c r="F233">
        <v>8.8000000000000007</v>
      </c>
      <c r="G233">
        <v>8</v>
      </c>
      <c r="H233">
        <v>1.1000000000000001</v>
      </c>
      <c r="I233">
        <v>-0.10000002400000001</v>
      </c>
      <c r="J233">
        <v>0.47619050000000002</v>
      </c>
    </row>
    <row r="234" spans="1:10" x14ac:dyDescent="0.3">
      <c r="A234">
        <v>232</v>
      </c>
      <c r="B234">
        <v>3686</v>
      </c>
      <c r="C234" t="b">
        <v>1</v>
      </c>
      <c r="D234">
        <v>8048</v>
      </c>
      <c r="E234">
        <v>8123</v>
      </c>
      <c r="F234">
        <v>8.8000000000000007</v>
      </c>
      <c r="G234">
        <v>8</v>
      </c>
      <c r="H234">
        <v>1.1000000000000001</v>
      </c>
      <c r="I234">
        <v>-0.10000002400000001</v>
      </c>
      <c r="J234">
        <v>0.47619050000000002</v>
      </c>
    </row>
    <row r="235" spans="1:10" x14ac:dyDescent="0.3">
      <c r="A235">
        <v>233</v>
      </c>
      <c r="B235">
        <v>3702</v>
      </c>
      <c r="C235" t="b">
        <v>1</v>
      </c>
      <c r="D235">
        <v>8048</v>
      </c>
      <c r="E235">
        <v>8123</v>
      </c>
      <c r="F235">
        <v>8.8000000000000007</v>
      </c>
      <c r="G235">
        <v>8</v>
      </c>
      <c r="H235">
        <v>1.1000000000000001</v>
      </c>
      <c r="I235">
        <v>-0.10000002400000001</v>
      </c>
      <c r="J235">
        <v>0.47619050000000002</v>
      </c>
    </row>
    <row r="236" spans="1:10" x14ac:dyDescent="0.3">
      <c r="A236">
        <v>234</v>
      </c>
      <c r="B236">
        <v>3718</v>
      </c>
      <c r="C236" t="b">
        <v>1</v>
      </c>
      <c r="D236">
        <v>8048</v>
      </c>
      <c r="E236">
        <v>8123</v>
      </c>
      <c r="F236">
        <v>8.8000000000000007</v>
      </c>
      <c r="G236">
        <v>8</v>
      </c>
      <c r="H236">
        <v>1.1000000000000001</v>
      </c>
      <c r="I236">
        <v>-0.10000002400000001</v>
      </c>
      <c r="J236">
        <v>0.47619050000000002</v>
      </c>
    </row>
    <row r="237" spans="1:10" x14ac:dyDescent="0.3">
      <c r="A237">
        <v>235</v>
      </c>
      <c r="B237">
        <v>3734</v>
      </c>
      <c r="C237" t="b">
        <v>1</v>
      </c>
      <c r="D237">
        <v>8048</v>
      </c>
      <c r="E237">
        <v>8123</v>
      </c>
      <c r="F237">
        <v>8.8000000000000007</v>
      </c>
      <c r="G237">
        <v>8</v>
      </c>
      <c r="H237">
        <v>1.1000000000000001</v>
      </c>
      <c r="I237">
        <v>-0.10000002400000001</v>
      </c>
      <c r="J237">
        <v>0.47619050000000002</v>
      </c>
    </row>
    <row r="238" spans="1:10" x14ac:dyDescent="0.3">
      <c r="A238">
        <v>236</v>
      </c>
      <c r="B238">
        <v>3750</v>
      </c>
      <c r="C238" t="b">
        <v>1</v>
      </c>
      <c r="D238">
        <v>8048</v>
      </c>
      <c r="E238">
        <v>8123</v>
      </c>
      <c r="F238">
        <v>8.8000000000000007</v>
      </c>
      <c r="G238">
        <v>8</v>
      </c>
      <c r="H238">
        <v>1.1000000000000001</v>
      </c>
      <c r="I238">
        <v>-0.10000002400000001</v>
      </c>
      <c r="J238">
        <v>0.47619050000000002</v>
      </c>
    </row>
    <row r="239" spans="1:10" x14ac:dyDescent="0.3">
      <c r="A239">
        <v>237</v>
      </c>
      <c r="B239">
        <v>3766</v>
      </c>
      <c r="C239" t="b">
        <v>1</v>
      </c>
      <c r="D239">
        <v>8048</v>
      </c>
      <c r="E239">
        <v>8129</v>
      </c>
      <c r="F239">
        <v>8.8000000000000007</v>
      </c>
      <c r="G239">
        <v>8</v>
      </c>
      <c r="H239">
        <v>1.1000000000000001</v>
      </c>
      <c r="I239">
        <v>-0.10000002400000001</v>
      </c>
      <c r="J239">
        <v>0.47619050000000002</v>
      </c>
    </row>
    <row r="240" spans="1:10" x14ac:dyDescent="0.3">
      <c r="A240">
        <v>238</v>
      </c>
      <c r="B240">
        <v>3782</v>
      </c>
      <c r="C240" t="b">
        <v>1</v>
      </c>
      <c r="D240">
        <v>8054</v>
      </c>
      <c r="E240">
        <v>8123</v>
      </c>
      <c r="F240">
        <v>8.8000000000000007</v>
      </c>
      <c r="G240">
        <v>8</v>
      </c>
      <c r="H240">
        <v>1.1000000000000001</v>
      </c>
      <c r="I240">
        <v>-0.10000002400000001</v>
      </c>
      <c r="J240">
        <v>0.47619050000000002</v>
      </c>
    </row>
    <row r="241" spans="1:10" x14ac:dyDescent="0.3">
      <c r="A241">
        <v>239</v>
      </c>
      <c r="B241">
        <v>3798</v>
      </c>
      <c r="C241" t="b">
        <v>1</v>
      </c>
      <c r="D241">
        <v>8048</v>
      </c>
      <c r="E241">
        <v>8117</v>
      </c>
      <c r="F241">
        <v>8.8000000000000007</v>
      </c>
      <c r="G241">
        <v>8</v>
      </c>
      <c r="H241">
        <v>1.1000000000000001</v>
      </c>
      <c r="I241">
        <v>-0.10000002400000001</v>
      </c>
      <c r="J241">
        <v>0.47619050000000002</v>
      </c>
    </row>
    <row r="242" spans="1:10" x14ac:dyDescent="0.3">
      <c r="A242">
        <v>240</v>
      </c>
      <c r="B242">
        <v>3814</v>
      </c>
      <c r="C242" t="b">
        <v>1</v>
      </c>
      <c r="D242">
        <v>8048</v>
      </c>
      <c r="E242">
        <v>8129</v>
      </c>
      <c r="F242">
        <v>8.8000000000000007</v>
      </c>
      <c r="G242">
        <v>8</v>
      </c>
      <c r="H242">
        <v>1.1000000000000001</v>
      </c>
      <c r="I242">
        <v>-0.10000002400000001</v>
      </c>
      <c r="J242">
        <v>0.47619050000000002</v>
      </c>
    </row>
    <row r="243" spans="1:10" x14ac:dyDescent="0.3">
      <c r="A243">
        <v>241</v>
      </c>
      <c r="B243">
        <v>3830</v>
      </c>
      <c r="C243" t="b">
        <v>1</v>
      </c>
      <c r="D243">
        <v>8048</v>
      </c>
      <c r="E243">
        <v>8123</v>
      </c>
      <c r="F243">
        <v>8.8000000000000007</v>
      </c>
      <c r="G243">
        <v>8</v>
      </c>
      <c r="H243">
        <v>1.1000000000000001</v>
      </c>
      <c r="I243">
        <v>-0.10000002400000001</v>
      </c>
      <c r="J243">
        <v>0.47619050000000002</v>
      </c>
    </row>
    <row r="244" spans="1:10" x14ac:dyDescent="0.3">
      <c r="A244">
        <v>242</v>
      </c>
      <c r="B244">
        <v>3846</v>
      </c>
      <c r="C244" t="b">
        <v>1</v>
      </c>
      <c r="D244">
        <v>8048</v>
      </c>
      <c r="E244">
        <v>8123</v>
      </c>
      <c r="F244">
        <v>8.8000000000000007</v>
      </c>
      <c r="G244">
        <v>8</v>
      </c>
      <c r="H244">
        <v>1.1000000000000001</v>
      </c>
      <c r="I244">
        <v>-0.10000002400000001</v>
      </c>
      <c r="J244">
        <v>0.47619050000000002</v>
      </c>
    </row>
    <row r="245" spans="1:10" x14ac:dyDescent="0.3">
      <c r="A245">
        <v>243</v>
      </c>
      <c r="B245">
        <v>3861</v>
      </c>
      <c r="C245" t="b">
        <v>1</v>
      </c>
      <c r="D245">
        <v>8048</v>
      </c>
      <c r="E245">
        <v>8123</v>
      </c>
      <c r="F245">
        <v>8.8000000000000007</v>
      </c>
      <c r="G245">
        <v>8</v>
      </c>
      <c r="H245">
        <v>1.1000000000000001</v>
      </c>
      <c r="I245">
        <v>-0.10000002400000001</v>
      </c>
      <c r="J245">
        <v>0.47619050000000002</v>
      </c>
    </row>
    <row r="246" spans="1:10" x14ac:dyDescent="0.3">
      <c r="A246">
        <v>244</v>
      </c>
      <c r="B246">
        <v>3877</v>
      </c>
      <c r="C246" t="b">
        <v>1</v>
      </c>
      <c r="D246">
        <v>8054</v>
      </c>
      <c r="E246">
        <v>8123</v>
      </c>
      <c r="F246">
        <v>8.8000000000000007</v>
      </c>
      <c r="G246">
        <v>8</v>
      </c>
      <c r="H246">
        <v>1.1000000000000001</v>
      </c>
      <c r="I246">
        <v>-0.10000002400000001</v>
      </c>
      <c r="J246">
        <v>0.47619050000000002</v>
      </c>
    </row>
    <row r="247" spans="1:10" x14ac:dyDescent="0.3">
      <c r="A247">
        <v>245</v>
      </c>
      <c r="B247">
        <v>3893</v>
      </c>
      <c r="C247" t="b">
        <v>1</v>
      </c>
      <c r="D247">
        <v>8048</v>
      </c>
      <c r="E247">
        <v>8123</v>
      </c>
      <c r="F247">
        <v>8.4</v>
      </c>
      <c r="G247">
        <v>8</v>
      </c>
      <c r="H247">
        <v>1.05</v>
      </c>
      <c r="I247">
        <v>-4.9999952E-2</v>
      </c>
      <c r="J247">
        <v>0.48780489999999999</v>
      </c>
    </row>
    <row r="248" spans="1:10" x14ac:dyDescent="0.3">
      <c r="A248">
        <v>246</v>
      </c>
      <c r="B248">
        <v>3909</v>
      </c>
      <c r="C248" t="b">
        <v>1</v>
      </c>
      <c r="D248">
        <v>8054</v>
      </c>
      <c r="E248">
        <v>8123</v>
      </c>
      <c r="F248">
        <v>8</v>
      </c>
      <c r="G248">
        <v>8</v>
      </c>
      <c r="H248">
        <v>1</v>
      </c>
      <c r="I248">
        <v>0</v>
      </c>
      <c r="J248">
        <v>0.5</v>
      </c>
    </row>
    <row r="249" spans="1:10" x14ac:dyDescent="0.3">
      <c r="A249">
        <v>247</v>
      </c>
      <c r="B249">
        <v>3925</v>
      </c>
      <c r="C249" t="b">
        <v>1</v>
      </c>
      <c r="D249">
        <v>8048</v>
      </c>
      <c r="E249">
        <v>8129</v>
      </c>
      <c r="F249">
        <v>8</v>
      </c>
      <c r="G249">
        <v>8</v>
      </c>
      <c r="H249">
        <v>1</v>
      </c>
      <c r="I249">
        <v>0</v>
      </c>
      <c r="J249">
        <v>0.5</v>
      </c>
    </row>
    <row r="250" spans="1:10" x14ac:dyDescent="0.3">
      <c r="A250">
        <v>248</v>
      </c>
      <c r="B250">
        <v>3941</v>
      </c>
      <c r="C250" t="b">
        <v>1</v>
      </c>
      <c r="D250">
        <v>8054</v>
      </c>
      <c r="E250">
        <v>8123</v>
      </c>
      <c r="F250">
        <v>8.4</v>
      </c>
      <c r="G250">
        <v>8</v>
      </c>
      <c r="H250">
        <v>1.05</v>
      </c>
      <c r="I250">
        <v>-4.9999952E-2</v>
      </c>
      <c r="J250">
        <v>0.48780489999999999</v>
      </c>
    </row>
    <row r="251" spans="1:10" x14ac:dyDescent="0.3">
      <c r="A251">
        <v>249</v>
      </c>
      <c r="B251">
        <v>3957</v>
      </c>
      <c r="C251" t="b">
        <v>1</v>
      </c>
      <c r="D251">
        <v>8054</v>
      </c>
      <c r="E251">
        <v>8123</v>
      </c>
      <c r="F251">
        <v>8.8000000000000007</v>
      </c>
      <c r="G251">
        <v>8</v>
      </c>
      <c r="H251">
        <v>1.1000000000000001</v>
      </c>
      <c r="I251">
        <v>-0.10000002400000001</v>
      </c>
      <c r="J251">
        <v>0.47619050000000002</v>
      </c>
    </row>
    <row r="252" spans="1:10" x14ac:dyDescent="0.3">
      <c r="A252">
        <v>250</v>
      </c>
      <c r="B252">
        <v>3972</v>
      </c>
      <c r="C252" t="b">
        <v>1</v>
      </c>
      <c r="D252">
        <v>8054</v>
      </c>
      <c r="E252">
        <v>8123</v>
      </c>
      <c r="F252">
        <v>9.1999999999999993</v>
      </c>
      <c r="G252">
        <v>8</v>
      </c>
      <c r="H252">
        <v>1.1499999999999999</v>
      </c>
      <c r="I252">
        <v>-0.14999998</v>
      </c>
      <c r="J252">
        <v>0.46511626</v>
      </c>
    </row>
    <row r="253" spans="1:10" x14ac:dyDescent="0.3">
      <c r="A253">
        <v>251</v>
      </c>
      <c r="B253">
        <v>3988</v>
      </c>
      <c r="C253" t="b">
        <v>1</v>
      </c>
      <c r="D253">
        <v>8048</v>
      </c>
      <c r="E253">
        <v>8129</v>
      </c>
      <c r="F253">
        <v>9.6</v>
      </c>
      <c r="G253">
        <v>8</v>
      </c>
      <c r="H253">
        <v>1.2</v>
      </c>
      <c r="I253">
        <v>-0.20000005000000001</v>
      </c>
      <c r="J253">
        <v>0.45454544000000002</v>
      </c>
    </row>
    <row r="254" spans="1:10" x14ac:dyDescent="0.3">
      <c r="A254">
        <v>252</v>
      </c>
      <c r="B254">
        <v>4004</v>
      </c>
      <c r="C254" t="b">
        <v>1</v>
      </c>
      <c r="D254">
        <v>8054</v>
      </c>
      <c r="E254">
        <v>8123</v>
      </c>
      <c r="F254">
        <v>10</v>
      </c>
      <c r="G254">
        <v>8</v>
      </c>
      <c r="H254">
        <v>1.25</v>
      </c>
      <c r="I254">
        <v>-0.25</v>
      </c>
      <c r="J254">
        <v>0.44444444999999999</v>
      </c>
    </row>
    <row r="255" spans="1:10" x14ac:dyDescent="0.3">
      <c r="A255">
        <v>253</v>
      </c>
      <c r="B255">
        <v>4019</v>
      </c>
      <c r="C255" t="b">
        <v>1</v>
      </c>
      <c r="D255">
        <v>8048</v>
      </c>
      <c r="E255">
        <v>8123</v>
      </c>
      <c r="F255">
        <v>10.4</v>
      </c>
      <c r="G255">
        <v>8</v>
      </c>
      <c r="H255">
        <v>1.3</v>
      </c>
      <c r="I255">
        <v>-0.29999995000000002</v>
      </c>
      <c r="J255">
        <v>0.43478262000000001</v>
      </c>
    </row>
    <row r="256" spans="1:10" x14ac:dyDescent="0.3">
      <c r="A256">
        <v>254</v>
      </c>
      <c r="B256">
        <v>4035</v>
      </c>
      <c r="C256" t="b">
        <v>1</v>
      </c>
      <c r="D256">
        <v>8042</v>
      </c>
      <c r="E256">
        <v>8123</v>
      </c>
      <c r="F256">
        <v>10.4</v>
      </c>
      <c r="G256">
        <v>8</v>
      </c>
      <c r="H256">
        <v>1.3</v>
      </c>
      <c r="I256">
        <v>-0.29999995000000002</v>
      </c>
      <c r="J256">
        <v>0.43478262000000001</v>
      </c>
    </row>
    <row r="257" spans="1:10" x14ac:dyDescent="0.3">
      <c r="A257">
        <v>255</v>
      </c>
      <c r="B257">
        <v>4051</v>
      </c>
      <c r="C257" t="b">
        <v>1</v>
      </c>
      <c r="D257">
        <v>8048</v>
      </c>
      <c r="E257">
        <v>8123</v>
      </c>
      <c r="F257">
        <v>10.4</v>
      </c>
      <c r="G257">
        <v>8</v>
      </c>
      <c r="H257">
        <v>1.3</v>
      </c>
      <c r="I257">
        <v>-0.29999995000000002</v>
      </c>
      <c r="J257">
        <v>0.43478262000000001</v>
      </c>
    </row>
    <row r="258" spans="1:10" x14ac:dyDescent="0.3">
      <c r="A258">
        <v>256</v>
      </c>
      <c r="B258">
        <v>4067</v>
      </c>
      <c r="C258" t="b">
        <v>1</v>
      </c>
      <c r="D258">
        <v>8048</v>
      </c>
      <c r="E258">
        <v>8129</v>
      </c>
      <c r="F258">
        <v>10.4</v>
      </c>
      <c r="G258">
        <v>8</v>
      </c>
      <c r="H258">
        <v>1.3</v>
      </c>
      <c r="I258">
        <v>-0.29999995000000002</v>
      </c>
      <c r="J258">
        <v>0.43478262000000001</v>
      </c>
    </row>
    <row r="259" spans="1:10" x14ac:dyDescent="0.3">
      <c r="A259">
        <v>257</v>
      </c>
      <c r="B259">
        <v>4083</v>
      </c>
      <c r="C259" t="b">
        <v>1</v>
      </c>
      <c r="D259">
        <v>8048</v>
      </c>
      <c r="E259">
        <v>8123</v>
      </c>
      <c r="F259">
        <v>10.4</v>
      </c>
      <c r="G259">
        <v>8</v>
      </c>
      <c r="H259">
        <v>1.3</v>
      </c>
      <c r="I259">
        <v>-0.29999995000000002</v>
      </c>
      <c r="J259">
        <v>0.43478262000000001</v>
      </c>
    </row>
    <row r="260" spans="1:10" x14ac:dyDescent="0.3">
      <c r="A260">
        <v>258</v>
      </c>
      <c r="B260">
        <v>4099</v>
      </c>
      <c r="C260" t="b">
        <v>1</v>
      </c>
      <c r="D260">
        <v>8048</v>
      </c>
      <c r="E260">
        <v>8123</v>
      </c>
      <c r="F260">
        <v>10.4</v>
      </c>
      <c r="G260">
        <v>8</v>
      </c>
      <c r="H260">
        <v>1.3</v>
      </c>
      <c r="I260">
        <v>-0.29999995000000002</v>
      </c>
      <c r="J260">
        <v>0.43478262000000001</v>
      </c>
    </row>
    <row r="261" spans="1:10" x14ac:dyDescent="0.3">
      <c r="A261">
        <v>259</v>
      </c>
      <c r="B261">
        <v>4115</v>
      </c>
      <c r="C261" t="b">
        <v>1</v>
      </c>
      <c r="D261">
        <v>8054</v>
      </c>
      <c r="E261">
        <v>8123</v>
      </c>
      <c r="F261">
        <v>10.4</v>
      </c>
      <c r="G261">
        <v>8</v>
      </c>
      <c r="H261">
        <v>1.3</v>
      </c>
      <c r="I261">
        <v>-0.29999995000000002</v>
      </c>
      <c r="J261">
        <v>0.43478262000000001</v>
      </c>
    </row>
    <row r="262" spans="1:10" x14ac:dyDescent="0.3">
      <c r="A262">
        <v>260</v>
      </c>
      <c r="B262">
        <v>4131</v>
      </c>
      <c r="C262" t="b">
        <v>1</v>
      </c>
      <c r="D262">
        <v>8054</v>
      </c>
      <c r="E262">
        <v>8123</v>
      </c>
      <c r="F262">
        <v>10.4</v>
      </c>
      <c r="G262">
        <v>8</v>
      </c>
      <c r="H262">
        <v>1.3</v>
      </c>
      <c r="I262">
        <v>-0.29999995000000002</v>
      </c>
      <c r="J262">
        <v>0.43478262000000001</v>
      </c>
    </row>
    <row r="263" spans="1:10" x14ac:dyDescent="0.3">
      <c r="A263">
        <v>261</v>
      </c>
      <c r="B263">
        <v>4147</v>
      </c>
      <c r="C263" t="b">
        <v>1</v>
      </c>
      <c r="D263">
        <v>8054</v>
      </c>
      <c r="E263">
        <v>8123</v>
      </c>
      <c r="F263">
        <v>10.8</v>
      </c>
      <c r="G263">
        <v>8</v>
      </c>
      <c r="H263">
        <v>1.35</v>
      </c>
      <c r="I263">
        <v>-0.35000002000000002</v>
      </c>
      <c r="J263">
        <v>0.42553192000000001</v>
      </c>
    </row>
    <row r="264" spans="1:10" x14ac:dyDescent="0.3">
      <c r="A264">
        <v>262</v>
      </c>
      <c r="B264">
        <v>4162</v>
      </c>
      <c r="C264" t="b">
        <v>1</v>
      </c>
      <c r="D264">
        <v>8054</v>
      </c>
      <c r="E264">
        <v>8123</v>
      </c>
      <c r="F264">
        <v>11.2</v>
      </c>
      <c r="G264">
        <v>8</v>
      </c>
      <c r="H264">
        <v>1.4</v>
      </c>
      <c r="I264">
        <v>-0.39999997999999998</v>
      </c>
      <c r="J264">
        <v>0.41666666000000002</v>
      </c>
    </row>
    <row r="265" spans="1:10" x14ac:dyDescent="0.3">
      <c r="A265">
        <v>263</v>
      </c>
      <c r="B265">
        <v>4178</v>
      </c>
      <c r="C265" t="b">
        <v>1</v>
      </c>
      <c r="D265">
        <v>8054</v>
      </c>
      <c r="E265">
        <v>8123</v>
      </c>
      <c r="F265">
        <v>11.2</v>
      </c>
      <c r="G265">
        <v>8</v>
      </c>
      <c r="H265">
        <v>1.4</v>
      </c>
      <c r="I265">
        <v>-0.39999997999999998</v>
      </c>
      <c r="J265">
        <v>0.41666666000000002</v>
      </c>
    </row>
    <row r="266" spans="1:10" x14ac:dyDescent="0.3">
      <c r="A266">
        <v>264</v>
      </c>
      <c r="B266">
        <v>4194</v>
      </c>
      <c r="C266" t="b">
        <v>1</v>
      </c>
      <c r="D266">
        <v>8054</v>
      </c>
      <c r="E266">
        <v>8123</v>
      </c>
      <c r="F266">
        <v>11.2</v>
      </c>
      <c r="G266">
        <v>8</v>
      </c>
      <c r="H266">
        <v>1.4</v>
      </c>
      <c r="I266">
        <v>-0.39999997999999998</v>
      </c>
      <c r="J266">
        <v>0.41666666000000002</v>
      </c>
    </row>
    <row r="267" spans="1:10" x14ac:dyDescent="0.3">
      <c r="A267">
        <v>265</v>
      </c>
      <c r="B267">
        <v>4210</v>
      </c>
      <c r="C267" t="b">
        <v>1</v>
      </c>
      <c r="D267">
        <v>8054</v>
      </c>
      <c r="E267">
        <v>8123</v>
      </c>
      <c r="F267">
        <v>11.2</v>
      </c>
      <c r="G267">
        <v>8</v>
      </c>
      <c r="H267">
        <v>1.4</v>
      </c>
      <c r="I267">
        <v>-0.39999997999999998</v>
      </c>
      <c r="J267">
        <v>0.41666666000000002</v>
      </c>
    </row>
    <row r="268" spans="1:10" x14ac:dyDescent="0.3">
      <c r="A268">
        <v>266</v>
      </c>
      <c r="B268">
        <v>4226</v>
      </c>
      <c r="C268" t="b">
        <v>1</v>
      </c>
      <c r="D268">
        <v>8048</v>
      </c>
      <c r="E268">
        <v>8123</v>
      </c>
      <c r="F268">
        <v>11.2</v>
      </c>
      <c r="G268">
        <v>8</v>
      </c>
      <c r="H268">
        <v>1.4</v>
      </c>
      <c r="I268">
        <v>-0.39999997999999998</v>
      </c>
      <c r="J268">
        <v>0.41666666000000002</v>
      </c>
    </row>
    <row r="269" spans="1:10" x14ac:dyDescent="0.3">
      <c r="A269">
        <v>267</v>
      </c>
      <c r="B269">
        <v>4242</v>
      </c>
      <c r="C269" t="b">
        <v>1</v>
      </c>
      <c r="D269">
        <v>8048</v>
      </c>
      <c r="E269">
        <v>8123</v>
      </c>
      <c r="F269">
        <v>11.2</v>
      </c>
      <c r="G269">
        <v>8</v>
      </c>
      <c r="H269">
        <v>1.4</v>
      </c>
      <c r="I269">
        <v>-0.39999997999999998</v>
      </c>
      <c r="J269">
        <v>0.41666666000000002</v>
      </c>
    </row>
    <row r="270" spans="1:10" x14ac:dyDescent="0.3">
      <c r="A270">
        <v>268</v>
      </c>
      <c r="B270">
        <v>4258</v>
      </c>
      <c r="C270" t="b">
        <v>1</v>
      </c>
      <c r="D270">
        <v>8048</v>
      </c>
      <c r="E270">
        <v>8123</v>
      </c>
      <c r="F270">
        <v>10.8</v>
      </c>
      <c r="G270">
        <v>8</v>
      </c>
      <c r="H270">
        <v>1.35</v>
      </c>
      <c r="I270">
        <v>-0.35000002000000002</v>
      </c>
      <c r="J270">
        <v>0.42553192000000001</v>
      </c>
    </row>
    <row r="271" spans="1:10" x14ac:dyDescent="0.3">
      <c r="A271">
        <v>269</v>
      </c>
      <c r="B271">
        <v>4273</v>
      </c>
      <c r="C271" t="b">
        <v>1</v>
      </c>
      <c r="D271">
        <v>8054</v>
      </c>
      <c r="E271">
        <v>8123</v>
      </c>
      <c r="F271">
        <v>10.8</v>
      </c>
      <c r="G271">
        <v>8</v>
      </c>
      <c r="H271">
        <v>1.35</v>
      </c>
      <c r="I271">
        <v>-0.35000002000000002</v>
      </c>
      <c r="J271">
        <v>0.42553192000000001</v>
      </c>
    </row>
    <row r="272" spans="1:10" x14ac:dyDescent="0.3">
      <c r="A272">
        <v>270</v>
      </c>
      <c r="B272">
        <v>4289</v>
      </c>
      <c r="C272" t="b">
        <v>1</v>
      </c>
      <c r="D272">
        <v>8048</v>
      </c>
      <c r="E272">
        <v>8123</v>
      </c>
      <c r="F272">
        <v>10.8</v>
      </c>
      <c r="G272">
        <v>8</v>
      </c>
      <c r="H272">
        <v>1.35</v>
      </c>
      <c r="I272">
        <v>-0.35000002000000002</v>
      </c>
      <c r="J272">
        <v>0.42553192000000001</v>
      </c>
    </row>
    <row r="273" spans="1:10" x14ac:dyDescent="0.3">
      <c r="A273">
        <v>271</v>
      </c>
      <c r="B273">
        <v>4305</v>
      </c>
      <c r="C273" t="b">
        <v>1</v>
      </c>
      <c r="D273">
        <v>8048</v>
      </c>
      <c r="E273">
        <v>8123</v>
      </c>
      <c r="F273">
        <v>10.8</v>
      </c>
      <c r="G273">
        <v>8</v>
      </c>
      <c r="H273">
        <v>1.35</v>
      </c>
      <c r="I273">
        <v>-0.35000002000000002</v>
      </c>
      <c r="J273">
        <v>0.42553192000000001</v>
      </c>
    </row>
    <row r="274" spans="1:10" x14ac:dyDescent="0.3">
      <c r="A274">
        <v>272</v>
      </c>
      <c r="B274">
        <v>4321</v>
      </c>
      <c r="C274" t="b">
        <v>1</v>
      </c>
      <c r="D274">
        <v>8048</v>
      </c>
      <c r="E274">
        <v>8123</v>
      </c>
      <c r="F274">
        <v>10.8</v>
      </c>
      <c r="G274">
        <v>8</v>
      </c>
      <c r="H274">
        <v>1.35</v>
      </c>
      <c r="I274">
        <v>-0.35000002000000002</v>
      </c>
      <c r="J274">
        <v>0.42553192000000001</v>
      </c>
    </row>
    <row r="275" spans="1:10" x14ac:dyDescent="0.3">
      <c r="A275">
        <v>273</v>
      </c>
      <c r="B275">
        <v>4337</v>
      </c>
      <c r="C275" t="b">
        <v>1</v>
      </c>
      <c r="D275">
        <v>8048</v>
      </c>
      <c r="E275">
        <v>8123</v>
      </c>
      <c r="F275">
        <v>10.8</v>
      </c>
      <c r="G275">
        <v>8</v>
      </c>
      <c r="H275">
        <v>1.35</v>
      </c>
      <c r="I275">
        <v>-0.35000002000000002</v>
      </c>
      <c r="J275">
        <v>0.42553192000000001</v>
      </c>
    </row>
    <row r="276" spans="1:10" x14ac:dyDescent="0.3">
      <c r="A276">
        <v>274</v>
      </c>
      <c r="B276">
        <v>4353</v>
      </c>
      <c r="C276" t="b">
        <v>1</v>
      </c>
      <c r="D276">
        <v>8048</v>
      </c>
      <c r="E276">
        <v>8123</v>
      </c>
      <c r="F276">
        <v>10.8</v>
      </c>
      <c r="G276">
        <v>8</v>
      </c>
      <c r="H276">
        <v>1.35</v>
      </c>
      <c r="I276">
        <v>-0.35000002000000002</v>
      </c>
      <c r="J276">
        <v>0.42553192000000001</v>
      </c>
    </row>
    <row r="277" spans="1:10" x14ac:dyDescent="0.3">
      <c r="A277">
        <v>275</v>
      </c>
      <c r="B277">
        <v>4369</v>
      </c>
      <c r="C277" t="b">
        <v>1</v>
      </c>
      <c r="D277">
        <v>8048</v>
      </c>
      <c r="E277">
        <v>8117</v>
      </c>
      <c r="F277">
        <v>10.8</v>
      </c>
      <c r="G277">
        <v>8</v>
      </c>
      <c r="H277">
        <v>1.35</v>
      </c>
      <c r="I277">
        <v>-0.35000002000000002</v>
      </c>
      <c r="J277">
        <v>0.42553192000000001</v>
      </c>
    </row>
    <row r="278" spans="1:10" x14ac:dyDescent="0.3">
      <c r="A278">
        <v>276</v>
      </c>
      <c r="B278">
        <v>4384</v>
      </c>
      <c r="C278" t="b">
        <v>1</v>
      </c>
      <c r="D278">
        <v>8048</v>
      </c>
      <c r="E278">
        <v>8123</v>
      </c>
      <c r="F278">
        <v>10.4</v>
      </c>
      <c r="G278">
        <v>8</v>
      </c>
      <c r="H278">
        <v>1.3</v>
      </c>
      <c r="I278">
        <v>-0.29999995000000002</v>
      </c>
      <c r="J278">
        <v>0.43478262000000001</v>
      </c>
    </row>
    <row r="279" spans="1:10" x14ac:dyDescent="0.3">
      <c r="A279">
        <v>277</v>
      </c>
      <c r="B279">
        <v>4401</v>
      </c>
      <c r="C279" t="b">
        <v>1</v>
      </c>
      <c r="D279">
        <v>8054</v>
      </c>
      <c r="E279">
        <v>8123</v>
      </c>
      <c r="F279">
        <v>10</v>
      </c>
      <c r="G279">
        <v>8</v>
      </c>
      <c r="H279">
        <v>1.25</v>
      </c>
      <c r="I279">
        <v>-0.25</v>
      </c>
      <c r="J279">
        <v>0.44444444999999999</v>
      </c>
    </row>
    <row r="280" spans="1:10" x14ac:dyDescent="0.3">
      <c r="A280">
        <v>278</v>
      </c>
      <c r="B280">
        <v>4416</v>
      </c>
      <c r="C280" t="b">
        <v>1</v>
      </c>
      <c r="D280">
        <v>8054</v>
      </c>
      <c r="E280">
        <v>8117</v>
      </c>
      <c r="F280">
        <v>9.6</v>
      </c>
      <c r="G280">
        <v>8</v>
      </c>
      <c r="H280">
        <v>1.2</v>
      </c>
      <c r="I280">
        <v>-0.20000005000000001</v>
      </c>
      <c r="J280">
        <v>0.45454544000000002</v>
      </c>
    </row>
    <row r="281" spans="1:10" x14ac:dyDescent="0.3">
      <c r="A281">
        <v>279</v>
      </c>
      <c r="B281">
        <v>4433</v>
      </c>
      <c r="C281" t="b">
        <v>1</v>
      </c>
      <c r="D281">
        <v>8054</v>
      </c>
      <c r="E281">
        <v>8117</v>
      </c>
      <c r="F281">
        <v>9.6</v>
      </c>
      <c r="G281">
        <v>7.6</v>
      </c>
      <c r="H281">
        <v>1.263158</v>
      </c>
      <c r="I281">
        <v>-0.26315796000000002</v>
      </c>
      <c r="J281">
        <v>0.44186044000000002</v>
      </c>
    </row>
    <row r="282" spans="1:10" x14ac:dyDescent="0.3">
      <c r="A282">
        <v>280</v>
      </c>
      <c r="B282">
        <v>4449</v>
      </c>
      <c r="C282" t="b">
        <v>1</v>
      </c>
      <c r="D282">
        <v>8048</v>
      </c>
      <c r="E282">
        <v>8117</v>
      </c>
      <c r="F282">
        <v>9.6</v>
      </c>
      <c r="G282">
        <v>7.2</v>
      </c>
      <c r="H282">
        <v>1.3333333999999999</v>
      </c>
      <c r="I282">
        <v>-0.33333342999999999</v>
      </c>
      <c r="J282">
        <v>0.42857142999999998</v>
      </c>
    </row>
    <row r="283" spans="1:10" x14ac:dyDescent="0.3">
      <c r="A283">
        <v>281</v>
      </c>
      <c r="B283">
        <v>4464</v>
      </c>
      <c r="C283" t="b">
        <v>1</v>
      </c>
      <c r="D283">
        <v>8048</v>
      </c>
      <c r="E283">
        <v>8123</v>
      </c>
      <c r="F283">
        <v>9.6</v>
      </c>
      <c r="G283">
        <v>6.8</v>
      </c>
      <c r="H283">
        <v>1.4117647</v>
      </c>
      <c r="I283">
        <v>-0.41176469999999998</v>
      </c>
      <c r="J283">
        <v>0.41463410000000001</v>
      </c>
    </row>
    <row r="284" spans="1:10" x14ac:dyDescent="0.3">
      <c r="A284">
        <v>282</v>
      </c>
      <c r="B284">
        <v>4480</v>
      </c>
      <c r="C284" t="b">
        <v>1</v>
      </c>
      <c r="D284">
        <v>8054</v>
      </c>
      <c r="E284">
        <v>8123</v>
      </c>
      <c r="F284">
        <v>9.6</v>
      </c>
      <c r="G284">
        <v>6.4</v>
      </c>
      <c r="H284">
        <v>1.5</v>
      </c>
      <c r="I284">
        <v>-0.50000005999999997</v>
      </c>
      <c r="J284">
        <v>0.4</v>
      </c>
    </row>
    <row r="285" spans="1:10" x14ac:dyDescent="0.3">
      <c r="A285">
        <v>283</v>
      </c>
      <c r="B285">
        <v>4496</v>
      </c>
      <c r="C285" t="b">
        <v>1</v>
      </c>
      <c r="D285">
        <v>8048</v>
      </c>
      <c r="E285">
        <v>8123</v>
      </c>
      <c r="F285">
        <v>9.6</v>
      </c>
      <c r="G285">
        <v>6.4</v>
      </c>
      <c r="H285">
        <v>1.5</v>
      </c>
      <c r="I285">
        <v>-0.50000005999999997</v>
      </c>
      <c r="J285">
        <v>0.4</v>
      </c>
    </row>
    <row r="286" spans="1:10" x14ac:dyDescent="0.3">
      <c r="A286">
        <v>284</v>
      </c>
      <c r="B286">
        <v>4512</v>
      </c>
      <c r="C286" t="b">
        <v>1</v>
      </c>
      <c r="D286">
        <v>8048</v>
      </c>
      <c r="E286">
        <v>8123</v>
      </c>
      <c r="F286">
        <v>9.6</v>
      </c>
      <c r="G286">
        <v>6.4</v>
      </c>
      <c r="H286">
        <v>1.5</v>
      </c>
      <c r="I286">
        <v>-0.50000005999999997</v>
      </c>
      <c r="J286">
        <v>0.4</v>
      </c>
    </row>
    <row r="287" spans="1:10" x14ac:dyDescent="0.3">
      <c r="A287">
        <v>285</v>
      </c>
      <c r="B287">
        <v>4527</v>
      </c>
      <c r="C287" t="b">
        <v>1</v>
      </c>
      <c r="D287">
        <v>8054</v>
      </c>
      <c r="E287">
        <v>8123</v>
      </c>
      <c r="F287">
        <v>9.6</v>
      </c>
      <c r="G287">
        <v>6.4</v>
      </c>
      <c r="H287">
        <v>1.5</v>
      </c>
      <c r="I287">
        <v>-0.50000005999999997</v>
      </c>
      <c r="J287">
        <v>0.4</v>
      </c>
    </row>
    <row r="288" spans="1:10" x14ac:dyDescent="0.3">
      <c r="A288">
        <v>286</v>
      </c>
      <c r="B288">
        <v>4543</v>
      </c>
      <c r="C288" t="b">
        <v>1</v>
      </c>
      <c r="D288">
        <v>8048</v>
      </c>
      <c r="E288">
        <v>8123</v>
      </c>
      <c r="F288">
        <v>9.6</v>
      </c>
      <c r="G288">
        <v>6.4</v>
      </c>
      <c r="H288">
        <v>1.5</v>
      </c>
      <c r="I288">
        <v>-0.50000005999999997</v>
      </c>
      <c r="J288">
        <v>0.4</v>
      </c>
    </row>
    <row r="289" spans="1:10" x14ac:dyDescent="0.3">
      <c r="A289">
        <v>287</v>
      </c>
      <c r="B289">
        <v>4559</v>
      </c>
      <c r="C289" t="b">
        <v>1</v>
      </c>
      <c r="D289">
        <v>8048</v>
      </c>
      <c r="E289">
        <v>8117</v>
      </c>
      <c r="F289">
        <v>9.6</v>
      </c>
      <c r="G289">
        <v>6.4</v>
      </c>
      <c r="H289">
        <v>1.5</v>
      </c>
      <c r="I289">
        <v>-0.50000005999999997</v>
      </c>
      <c r="J289">
        <v>0.4</v>
      </c>
    </row>
    <row r="290" spans="1:10" x14ac:dyDescent="0.3">
      <c r="A290">
        <v>288</v>
      </c>
      <c r="B290">
        <v>4575</v>
      </c>
      <c r="C290" t="b">
        <v>1</v>
      </c>
      <c r="D290">
        <v>8048</v>
      </c>
      <c r="E290">
        <v>8123</v>
      </c>
      <c r="F290">
        <v>9.6</v>
      </c>
      <c r="G290">
        <v>6.4</v>
      </c>
      <c r="H290">
        <v>1.5</v>
      </c>
      <c r="I290">
        <v>-0.50000005999999997</v>
      </c>
      <c r="J290">
        <v>0.4</v>
      </c>
    </row>
    <row r="291" spans="1:10" x14ac:dyDescent="0.3">
      <c r="A291">
        <v>289</v>
      </c>
      <c r="B291">
        <v>4591</v>
      </c>
      <c r="C291" t="b">
        <v>1</v>
      </c>
      <c r="D291">
        <v>8048</v>
      </c>
      <c r="E291">
        <v>8117</v>
      </c>
      <c r="F291">
        <v>9.6</v>
      </c>
      <c r="G291">
        <v>6.4</v>
      </c>
      <c r="H291">
        <v>1.5</v>
      </c>
      <c r="I291">
        <v>-0.50000005999999997</v>
      </c>
      <c r="J291">
        <v>0.4</v>
      </c>
    </row>
    <row r="292" spans="1:10" x14ac:dyDescent="0.3">
      <c r="A292">
        <v>290</v>
      </c>
      <c r="B292">
        <v>4607</v>
      </c>
      <c r="C292" t="b">
        <v>1</v>
      </c>
      <c r="D292">
        <v>8048</v>
      </c>
      <c r="E292">
        <v>8123</v>
      </c>
      <c r="F292">
        <v>9.6</v>
      </c>
      <c r="G292">
        <v>6.4</v>
      </c>
      <c r="H292">
        <v>1.5</v>
      </c>
      <c r="I292">
        <v>-0.50000005999999997</v>
      </c>
      <c r="J292">
        <v>0.4</v>
      </c>
    </row>
    <row r="293" spans="1:10" x14ac:dyDescent="0.3">
      <c r="A293">
        <v>291</v>
      </c>
      <c r="B293">
        <v>4622</v>
      </c>
      <c r="C293" t="b">
        <v>1</v>
      </c>
      <c r="D293">
        <v>8048</v>
      </c>
      <c r="E293">
        <v>8123</v>
      </c>
      <c r="F293">
        <v>9.6</v>
      </c>
      <c r="G293">
        <v>6.4</v>
      </c>
      <c r="H293">
        <v>1.5</v>
      </c>
      <c r="I293">
        <v>-0.50000005999999997</v>
      </c>
      <c r="J293">
        <v>0.4</v>
      </c>
    </row>
    <row r="294" spans="1:10" x14ac:dyDescent="0.3">
      <c r="A294">
        <v>292</v>
      </c>
      <c r="B294">
        <v>4638</v>
      </c>
      <c r="C294" t="b">
        <v>1</v>
      </c>
      <c r="D294">
        <v>8048</v>
      </c>
      <c r="E294">
        <v>8123</v>
      </c>
      <c r="F294">
        <v>9.6</v>
      </c>
      <c r="G294">
        <v>6.4</v>
      </c>
      <c r="H294">
        <v>1.5</v>
      </c>
      <c r="I294">
        <v>-0.50000005999999997</v>
      </c>
      <c r="J294">
        <v>0.4</v>
      </c>
    </row>
    <row r="295" spans="1:10" x14ac:dyDescent="0.3">
      <c r="A295">
        <v>293</v>
      </c>
      <c r="B295">
        <v>4654</v>
      </c>
      <c r="C295" t="b">
        <v>1</v>
      </c>
      <c r="D295">
        <v>8054</v>
      </c>
      <c r="E295">
        <v>8123</v>
      </c>
      <c r="F295">
        <v>9.6</v>
      </c>
      <c r="G295">
        <v>6.4</v>
      </c>
      <c r="H295">
        <v>1.5</v>
      </c>
      <c r="I295">
        <v>-0.50000005999999997</v>
      </c>
      <c r="J295">
        <v>0.4</v>
      </c>
    </row>
    <row r="296" spans="1:10" x14ac:dyDescent="0.3">
      <c r="A296">
        <v>294</v>
      </c>
      <c r="B296">
        <v>4670</v>
      </c>
      <c r="C296" t="b">
        <v>1</v>
      </c>
      <c r="D296">
        <v>8048</v>
      </c>
      <c r="E296">
        <v>8123</v>
      </c>
      <c r="F296">
        <v>9.1999999999999993</v>
      </c>
      <c r="G296">
        <v>6.8</v>
      </c>
      <c r="H296">
        <v>1.3529412000000001</v>
      </c>
      <c r="I296">
        <v>-0.35294110000000001</v>
      </c>
      <c r="J296">
        <v>0.42499999999999999</v>
      </c>
    </row>
    <row r="297" spans="1:10" x14ac:dyDescent="0.3">
      <c r="A297">
        <v>295</v>
      </c>
      <c r="B297">
        <v>4686</v>
      </c>
      <c r="C297" t="b">
        <v>1</v>
      </c>
      <c r="D297">
        <v>8054</v>
      </c>
      <c r="E297">
        <v>8123</v>
      </c>
      <c r="F297">
        <v>8.8000000000000007</v>
      </c>
      <c r="G297">
        <v>7.2</v>
      </c>
      <c r="H297">
        <v>1.2222223000000001</v>
      </c>
      <c r="I297">
        <v>-0.22222227999999999</v>
      </c>
      <c r="J297">
        <v>0.45</v>
      </c>
    </row>
    <row r="298" spans="1:10" x14ac:dyDescent="0.3">
      <c r="A298">
        <v>296</v>
      </c>
      <c r="B298">
        <v>4702</v>
      </c>
      <c r="C298" t="b">
        <v>1</v>
      </c>
      <c r="D298">
        <v>8048</v>
      </c>
      <c r="E298">
        <v>8123</v>
      </c>
      <c r="F298">
        <v>8.4</v>
      </c>
      <c r="G298">
        <v>7.6</v>
      </c>
      <c r="H298">
        <v>1.1052630999999999</v>
      </c>
      <c r="I298">
        <v>-0.10526312</v>
      </c>
      <c r="J298">
        <v>0.47499999999999998</v>
      </c>
    </row>
    <row r="299" spans="1:10" x14ac:dyDescent="0.3">
      <c r="A299">
        <v>297</v>
      </c>
      <c r="B299">
        <v>4718</v>
      </c>
      <c r="C299" t="b">
        <v>1</v>
      </c>
      <c r="D299">
        <v>8054</v>
      </c>
      <c r="E299">
        <v>8123</v>
      </c>
      <c r="F299">
        <v>8.4</v>
      </c>
      <c r="G299">
        <v>8</v>
      </c>
      <c r="H299">
        <v>1.05</v>
      </c>
      <c r="I299">
        <v>-4.9999952E-2</v>
      </c>
      <c r="J299">
        <v>0.48780489999999999</v>
      </c>
    </row>
    <row r="300" spans="1:10" x14ac:dyDescent="0.3">
      <c r="A300">
        <v>298</v>
      </c>
      <c r="B300">
        <v>4734</v>
      </c>
      <c r="C300" t="b">
        <v>1</v>
      </c>
      <c r="D300">
        <v>8048</v>
      </c>
      <c r="E300">
        <v>8123</v>
      </c>
      <c r="F300">
        <v>8.4</v>
      </c>
      <c r="G300">
        <v>8</v>
      </c>
      <c r="H300">
        <v>1.05</v>
      </c>
      <c r="I300">
        <v>-4.9999952E-2</v>
      </c>
      <c r="J300">
        <v>0.48780489999999999</v>
      </c>
    </row>
    <row r="301" spans="1:10" x14ac:dyDescent="0.3">
      <c r="A301">
        <v>299</v>
      </c>
      <c r="B301">
        <v>4750</v>
      </c>
      <c r="C301" t="b">
        <v>1</v>
      </c>
      <c r="D301">
        <v>8042</v>
      </c>
      <c r="E301">
        <v>8123</v>
      </c>
      <c r="F301">
        <v>8.4</v>
      </c>
      <c r="G301">
        <v>8</v>
      </c>
      <c r="H301">
        <v>1.05</v>
      </c>
      <c r="I301">
        <v>-4.9999952E-2</v>
      </c>
      <c r="J301">
        <v>0.48780489999999999</v>
      </c>
    </row>
    <row r="302" spans="1:10" x14ac:dyDescent="0.3">
      <c r="A302">
        <v>300</v>
      </c>
      <c r="B302">
        <v>4766</v>
      </c>
      <c r="C302" t="b">
        <v>1</v>
      </c>
      <c r="D302">
        <v>8048</v>
      </c>
      <c r="E302">
        <v>8123</v>
      </c>
      <c r="F302">
        <v>8.4</v>
      </c>
      <c r="G302">
        <v>8</v>
      </c>
      <c r="H302">
        <v>1.05</v>
      </c>
      <c r="I302">
        <v>-4.9999952E-2</v>
      </c>
      <c r="J302">
        <v>0.48780489999999999</v>
      </c>
    </row>
    <row r="303" spans="1:10" x14ac:dyDescent="0.3">
      <c r="A303">
        <v>301</v>
      </c>
      <c r="B303">
        <v>4782</v>
      </c>
      <c r="C303" t="b">
        <v>1</v>
      </c>
      <c r="D303">
        <v>8048</v>
      </c>
      <c r="E303">
        <v>8123</v>
      </c>
      <c r="F303">
        <v>8.4</v>
      </c>
      <c r="G303">
        <v>8</v>
      </c>
      <c r="H303">
        <v>1.05</v>
      </c>
      <c r="I303">
        <v>-4.9999952E-2</v>
      </c>
      <c r="J303">
        <v>0.48780489999999999</v>
      </c>
    </row>
    <row r="304" spans="1:10" x14ac:dyDescent="0.3">
      <c r="A304">
        <v>302</v>
      </c>
      <c r="B304">
        <v>4798</v>
      </c>
      <c r="C304" t="b">
        <v>1</v>
      </c>
      <c r="D304">
        <v>8048</v>
      </c>
      <c r="E304">
        <v>8123</v>
      </c>
      <c r="F304">
        <v>8.4</v>
      </c>
      <c r="G304">
        <v>8</v>
      </c>
      <c r="H304">
        <v>1.05</v>
      </c>
      <c r="I304">
        <v>-4.9999952E-2</v>
      </c>
      <c r="J304">
        <v>0.48780489999999999</v>
      </c>
    </row>
    <row r="305" spans="1:10" x14ac:dyDescent="0.3">
      <c r="A305">
        <v>303</v>
      </c>
      <c r="B305">
        <v>4814</v>
      </c>
      <c r="C305" t="b">
        <v>1</v>
      </c>
      <c r="D305">
        <v>8048</v>
      </c>
      <c r="E305">
        <v>8123</v>
      </c>
      <c r="F305">
        <v>8.4</v>
      </c>
      <c r="G305">
        <v>8</v>
      </c>
      <c r="H305">
        <v>1.05</v>
      </c>
      <c r="I305">
        <v>-4.9999952E-2</v>
      </c>
      <c r="J305">
        <v>0.48780489999999999</v>
      </c>
    </row>
    <row r="306" spans="1:10" x14ac:dyDescent="0.3">
      <c r="A306">
        <v>304</v>
      </c>
      <c r="B306">
        <v>4830</v>
      </c>
      <c r="C306" t="b">
        <v>1</v>
      </c>
      <c r="D306">
        <v>8048</v>
      </c>
      <c r="E306">
        <v>8123</v>
      </c>
      <c r="F306">
        <v>8.4</v>
      </c>
      <c r="G306">
        <v>8</v>
      </c>
      <c r="H306">
        <v>1.05</v>
      </c>
      <c r="I306">
        <v>-4.9999952E-2</v>
      </c>
      <c r="J306">
        <v>0.48780489999999999</v>
      </c>
    </row>
    <row r="307" spans="1:10" x14ac:dyDescent="0.3">
      <c r="A307">
        <v>305</v>
      </c>
      <c r="B307">
        <v>4846</v>
      </c>
      <c r="C307" t="b">
        <v>1</v>
      </c>
      <c r="D307">
        <v>8054</v>
      </c>
      <c r="E307">
        <v>8123</v>
      </c>
      <c r="F307">
        <v>8.4</v>
      </c>
      <c r="G307">
        <v>8</v>
      </c>
      <c r="H307">
        <v>1.05</v>
      </c>
      <c r="I307">
        <v>-4.9999952E-2</v>
      </c>
      <c r="J307">
        <v>0.48780489999999999</v>
      </c>
    </row>
    <row r="308" spans="1:10" x14ac:dyDescent="0.3">
      <c r="A308">
        <v>306</v>
      </c>
      <c r="B308">
        <v>4862</v>
      </c>
      <c r="C308" t="b">
        <v>1</v>
      </c>
      <c r="D308">
        <v>8054</v>
      </c>
      <c r="E308">
        <v>8123</v>
      </c>
      <c r="F308">
        <v>8.4</v>
      </c>
      <c r="G308">
        <v>8</v>
      </c>
      <c r="H308">
        <v>1.05</v>
      </c>
      <c r="I308">
        <v>-4.9999952E-2</v>
      </c>
      <c r="J308">
        <v>0.48780489999999999</v>
      </c>
    </row>
    <row r="309" spans="1:10" x14ac:dyDescent="0.3">
      <c r="A309">
        <v>307</v>
      </c>
      <c r="B309">
        <v>4878</v>
      </c>
      <c r="C309" t="b">
        <v>1</v>
      </c>
      <c r="D309">
        <v>8054</v>
      </c>
      <c r="E309">
        <v>8117</v>
      </c>
      <c r="F309">
        <v>8.8000000000000007</v>
      </c>
      <c r="G309">
        <v>8</v>
      </c>
      <c r="H309">
        <v>1.1000000000000001</v>
      </c>
      <c r="I309">
        <v>-0.10000002400000001</v>
      </c>
      <c r="J309">
        <v>0.47619050000000002</v>
      </c>
    </row>
    <row r="310" spans="1:10" x14ac:dyDescent="0.3">
      <c r="A310">
        <v>308</v>
      </c>
      <c r="B310">
        <v>4894</v>
      </c>
      <c r="C310" t="b">
        <v>1</v>
      </c>
      <c r="D310">
        <v>8048</v>
      </c>
      <c r="E310">
        <v>8123</v>
      </c>
      <c r="F310">
        <v>9.1999999999999993</v>
      </c>
      <c r="G310">
        <v>8</v>
      </c>
      <c r="H310">
        <v>1.1499999999999999</v>
      </c>
      <c r="I310">
        <v>-0.14999998</v>
      </c>
      <c r="J310">
        <v>0.46511626</v>
      </c>
    </row>
    <row r="311" spans="1:10" x14ac:dyDescent="0.3">
      <c r="A311">
        <v>309</v>
      </c>
      <c r="B311">
        <v>4910</v>
      </c>
      <c r="C311" t="b">
        <v>1</v>
      </c>
      <c r="D311">
        <v>8048</v>
      </c>
      <c r="E311">
        <v>8117</v>
      </c>
      <c r="F311">
        <v>9.6</v>
      </c>
      <c r="G311">
        <v>8</v>
      </c>
      <c r="H311">
        <v>1.2</v>
      </c>
      <c r="I311">
        <v>-0.20000005000000001</v>
      </c>
      <c r="J311">
        <v>0.45454544000000002</v>
      </c>
    </row>
    <row r="312" spans="1:10" x14ac:dyDescent="0.3">
      <c r="A312">
        <v>310</v>
      </c>
      <c r="B312">
        <v>4925</v>
      </c>
      <c r="C312" t="b">
        <v>1</v>
      </c>
      <c r="D312">
        <v>8048</v>
      </c>
      <c r="E312">
        <v>8117</v>
      </c>
      <c r="F312">
        <v>9.6</v>
      </c>
      <c r="G312">
        <v>7.6</v>
      </c>
      <c r="H312">
        <v>1.263158</v>
      </c>
      <c r="I312">
        <v>-0.26315796000000002</v>
      </c>
      <c r="J312">
        <v>0.44186044000000002</v>
      </c>
    </row>
    <row r="313" spans="1:10" x14ac:dyDescent="0.3">
      <c r="A313">
        <v>311</v>
      </c>
      <c r="B313">
        <v>4941</v>
      </c>
      <c r="C313" t="b">
        <v>1</v>
      </c>
      <c r="D313">
        <v>8048</v>
      </c>
      <c r="E313">
        <v>8129</v>
      </c>
      <c r="F313">
        <v>9.6</v>
      </c>
      <c r="G313">
        <v>7.2</v>
      </c>
      <c r="H313">
        <v>1.3333333999999999</v>
      </c>
      <c r="I313">
        <v>-0.33333342999999999</v>
      </c>
      <c r="J313">
        <v>0.42857142999999998</v>
      </c>
    </row>
    <row r="314" spans="1:10" x14ac:dyDescent="0.3">
      <c r="A314">
        <v>312</v>
      </c>
      <c r="B314">
        <v>4957</v>
      </c>
      <c r="C314" t="b">
        <v>1</v>
      </c>
      <c r="D314">
        <v>8048</v>
      </c>
      <c r="E314">
        <v>8123</v>
      </c>
      <c r="F314">
        <v>9.1999999999999993</v>
      </c>
      <c r="G314">
        <v>7.2</v>
      </c>
      <c r="H314">
        <v>1.2777778</v>
      </c>
      <c r="I314">
        <v>-0.27777780000000002</v>
      </c>
      <c r="J314">
        <v>0.43902439999999998</v>
      </c>
    </row>
    <row r="315" spans="1:10" x14ac:dyDescent="0.3">
      <c r="A315">
        <v>313</v>
      </c>
      <c r="B315">
        <v>4973</v>
      </c>
      <c r="C315" t="b">
        <v>1</v>
      </c>
      <c r="D315">
        <v>8042</v>
      </c>
      <c r="E315">
        <v>8123</v>
      </c>
      <c r="F315">
        <v>9.1999999999999993</v>
      </c>
      <c r="G315">
        <v>7.2</v>
      </c>
      <c r="H315">
        <v>1.2777778</v>
      </c>
      <c r="I315">
        <v>-0.27777780000000002</v>
      </c>
      <c r="J315">
        <v>0.43902439999999998</v>
      </c>
    </row>
    <row r="316" spans="1:10" x14ac:dyDescent="0.3">
      <c r="A316">
        <v>314</v>
      </c>
      <c r="B316">
        <v>4989</v>
      </c>
      <c r="C316" t="b">
        <v>1</v>
      </c>
      <c r="D316">
        <v>8048</v>
      </c>
      <c r="E316">
        <v>8123</v>
      </c>
      <c r="F316">
        <v>9.1999999999999993</v>
      </c>
      <c r="G316">
        <v>7.2</v>
      </c>
      <c r="H316">
        <v>1.2777778</v>
      </c>
      <c r="I316">
        <v>-0.27777780000000002</v>
      </c>
      <c r="J316">
        <v>0.43902439999999998</v>
      </c>
    </row>
    <row r="317" spans="1:10" x14ac:dyDescent="0.3">
      <c r="A317">
        <v>315</v>
      </c>
      <c r="B317">
        <v>5005</v>
      </c>
      <c r="C317" t="b">
        <v>1</v>
      </c>
      <c r="D317">
        <v>8048</v>
      </c>
      <c r="E317">
        <v>8123</v>
      </c>
      <c r="F317">
        <v>9.1999999999999993</v>
      </c>
      <c r="G317">
        <v>7.2</v>
      </c>
      <c r="H317">
        <v>1.2777778</v>
      </c>
      <c r="I317">
        <v>-0.27777780000000002</v>
      </c>
      <c r="J317">
        <v>0.43902439999999998</v>
      </c>
    </row>
    <row r="318" spans="1:10" x14ac:dyDescent="0.3">
      <c r="A318">
        <v>316</v>
      </c>
      <c r="B318">
        <v>5021</v>
      </c>
      <c r="C318" t="b">
        <v>1</v>
      </c>
      <c r="D318">
        <v>8048</v>
      </c>
      <c r="E318">
        <v>8117</v>
      </c>
      <c r="F318">
        <v>9.1999999999999993</v>
      </c>
      <c r="G318">
        <v>7.2</v>
      </c>
      <c r="H318">
        <v>1.2777778</v>
      </c>
      <c r="I318">
        <v>-0.27777780000000002</v>
      </c>
      <c r="J318">
        <v>0.43902439999999998</v>
      </c>
    </row>
    <row r="319" spans="1:10" x14ac:dyDescent="0.3">
      <c r="A319">
        <v>317</v>
      </c>
      <c r="B319">
        <v>5036</v>
      </c>
      <c r="C319" t="b">
        <v>1</v>
      </c>
      <c r="D319">
        <v>8048</v>
      </c>
      <c r="E319">
        <v>8117</v>
      </c>
      <c r="F319">
        <v>9.1999999999999993</v>
      </c>
      <c r="G319">
        <v>7.2</v>
      </c>
      <c r="H319">
        <v>1.2777778</v>
      </c>
      <c r="I319">
        <v>-0.27777780000000002</v>
      </c>
      <c r="J319">
        <v>0.43902439999999998</v>
      </c>
    </row>
    <row r="320" spans="1:10" x14ac:dyDescent="0.3">
      <c r="A320">
        <v>318</v>
      </c>
      <c r="B320">
        <v>5052</v>
      </c>
      <c r="C320" t="b">
        <v>1</v>
      </c>
      <c r="D320">
        <v>8048</v>
      </c>
      <c r="E320">
        <v>8117</v>
      </c>
      <c r="F320">
        <v>9.1999999999999993</v>
      </c>
      <c r="G320">
        <v>6.8</v>
      </c>
      <c r="H320">
        <v>1.3529412000000001</v>
      </c>
      <c r="I320">
        <v>-0.35294110000000001</v>
      </c>
      <c r="J320">
        <v>0.42499999999999999</v>
      </c>
    </row>
    <row r="321" spans="1:10" x14ac:dyDescent="0.3">
      <c r="A321">
        <v>319</v>
      </c>
      <c r="B321">
        <v>5068</v>
      </c>
      <c r="C321" t="b">
        <v>1</v>
      </c>
      <c r="D321">
        <v>8048</v>
      </c>
      <c r="E321">
        <v>8117</v>
      </c>
      <c r="F321">
        <v>9.1999999999999993</v>
      </c>
      <c r="G321">
        <v>6.4</v>
      </c>
      <c r="H321">
        <v>1.4375</v>
      </c>
      <c r="I321">
        <v>-0.43749993999999998</v>
      </c>
      <c r="J321">
        <v>0.41025642000000001</v>
      </c>
    </row>
    <row r="322" spans="1:10" x14ac:dyDescent="0.3">
      <c r="A322">
        <v>320</v>
      </c>
      <c r="B322">
        <v>5084</v>
      </c>
      <c r="C322" t="b">
        <v>1</v>
      </c>
      <c r="D322">
        <v>8048</v>
      </c>
      <c r="E322">
        <v>8123</v>
      </c>
      <c r="F322">
        <v>9.1999999999999993</v>
      </c>
      <c r="G322">
        <v>6</v>
      </c>
      <c r="H322">
        <v>1.5333333</v>
      </c>
      <c r="I322">
        <v>-0.53333330000000001</v>
      </c>
      <c r="J322">
        <v>0.39473686000000002</v>
      </c>
    </row>
    <row r="323" spans="1:10" x14ac:dyDescent="0.3">
      <c r="A323">
        <v>321</v>
      </c>
      <c r="B323">
        <v>5100</v>
      </c>
      <c r="C323" t="b">
        <v>1</v>
      </c>
      <c r="D323">
        <v>8048</v>
      </c>
      <c r="E323">
        <v>8123</v>
      </c>
      <c r="F323">
        <v>9.1999999999999993</v>
      </c>
      <c r="G323">
        <v>5.6</v>
      </c>
      <c r="H323">
        <v>1.6428571999999999</v>
      </c>
      <c r="I323">
        <v>-0.64285713</v>
      </c>
      <c r="J323">
        <v>0.3783784</v>
      </c>
    </row>
    <row r="324" spans="1:10" x14ac:dyDescent="0.3">
      <c r="A324">
        <v>322</v>
      </c>
      <c r="B324">
        <v>5116</v>
      </c>
      <c r="C324" t="b">
        <v>1</v>
      </c>
      <c r="D324">
        <v>8048</v>
      </c>
      <c r="E324">
        <v>8123</v>
      </c>
      <c r="F324">
        <v>8.8000000000000007</v>
      </c>
      <c r="G324">
        <v>5.6</v>
      </c>
      <c r="H324">
        <v>1.5714287</v>
      </c>
      <c r="I324">
        <v>-0.57142866000000003</v>
      </c>
      <c r="J324">
        <v>0.38888889999999998</v>
      </c>
    </row>
    <row r="325" spans="1:10" x14ac:dyDescent="0.3">
      <c r="A325">
        <v>323</v>
      </c>
      <c r="B325">
        <v>5132</v>
      </c>
      <c r="C325" t="b">
        <v>1</v>
      </c>
      <c r="D325">
        <v>8054</v>
      </c>
      <c r="E325">
        <v>8123</v>
      </c>
      <c r="F325">
        <v>8.4</v>
      </c>
      <c r="G325">
        <v>5.6</v>
      </c>
      <c r="H325">
        <v>1.5</v>
      </c>
      <c r="I325">
        <v>-0.49999997000000002</v>
      </c>
      <c r="J325">
        <v>0.4</v>
      </c>
    </row>
    <row r="326" spans="1:10" x14ac:dyDescent="0.3">
      <c r="A326">
        <v>324</v>
      </c>
      <c r="B326">
        <v>5148</v>
      </c>
      <c r="C326" t="b">
        <v>1</v>
      </c>
      <c r="D326">
        <v>8054</v>
      </c>
      <c r="E326">
        <v>8123</v>
      </c>
      <c r="F326">
        <v>8</v>
      </c>
      <c r="G326">
        <v>5.6</v>
      </c>
      <c r="H326">
        <v>1.4285715000000001</v>
      </c>
      <c r="I326">
        <v>-0.42857146000000002</v>
      </c>
      <c r="J326">
        <v>0.41176467999999999</v>
      </c>
    </row>
    <row r="327" spans="1:10" x14ac:dyDescent="0.3">
      <c r="A327">
        <v>325</v>
      </c>
      <c r="B327">
        <v>5163</v>
      </c>
      <c r="C327" t="b">
        <v>1</v>
      </c>
      <c r="D327">
        <v>8054</v>
      </c>
      <c r="E327">
        <v>8123</v>
      </c>
      <c r="F327">
        <v>8.4</v>
      </c>
      <c r="G327">
        <v>6</v>
      </c>
      <c r="H327">
        <v>1.4</v>
      </c>
      <c r="I327">
        <v>-0.39999994999999999</v>
      </c>
      <c r="J327">
        <v>0.4166667</v>
      </c>
    </row>
    <row r="328" spans="1:10" x14ac:dyDescent="0.3">
      <c r="A328">
        <v>326</v>
      </c>
      <c r="B328">
        <v>5179</v>
      </c>
      <c r="C328" t="b">
        <v>1</v>
      </c>
      <c r="D328">
        <v>8054</v>
      </c>
      <c r="E328">
        <v>8123</v>
      </c>
      <c r="F328">
        <v>8.8000000000000007</v>
      </c>
      <c r="G328">
        <v>6.4</v>
      </c>
      <c r="H328">
        <v>1.375</v>
      </c>
      <c r="I328">
        <v>-0.375</v>
      </c>
      <c r="J328">
        <v>0.4210526</v>
      </c>
    </row>
    <row r="329" spans="1:10" x14ac:dyDescent="0.3">
      <c r="A329">
        <v>327</v>
      </c>
      <c r="B329">
        <v>5195</v>
      </c>
      <c r="C329" t="b">
        <v>1</v>
      </c>
      <c r="D329">
        <v>8048</v>
      </c>
      <c r="E329">
        <v>8123</v>
      </c>
      <c r="F329">
        <v>9.1999999999999993</v>
      </c>
      <c r="G329">
        <v>6.4</v>
      </c>
      <c r="H329">
        <v>1.4375</v>
      </c>
      <c r="I329">
        <v>-0.43749993999999998</v>
      </c>
      <c r="J329">
        <v>0.41025642000000001</v>
      </c>
    </row>
    <row r="330" spans="1:10" x14ac:dyDescent="0.3">
      <c r="A330">
        <v>328</v>
      </c>
      <c r="B330">
        <v>5211</v>
      </c>
      <c r="C330" t="b">
        <v>1</v>
      </c>
      <c r="D330">
        <v>8054</v>
      </c>
      <c r="E330">
        <v>8123</v>
      </c>
      <c r="F330">
        <v>9.6</v>
      </c>
      <c r="G330">
        <v>6.4</v>
      </c>
      <c r="H330">
        <v>1.5</v>
      </c>
      <c r="I330">
        <v>-0.50000005999999997</v>
      </c>
      <c r="J330">
        <v>0.4</v>
      </c>
    </row>
    <row r="331" spans="1:10" x14ac:dyDescent="0.3">
      <c r="A331">
        <v>329</v>
      </c>
      <c r="B331">
        <v>5227</v>
      </c>
      <c r="C331" t="b">
        <v>1</v>
      </c>
      <c r="D331">
        <v>8048</v>
      </c>
      <c r="E331">
        <v>8123</v>
      </c>
      <c r="F331">
        <v>10</v>
      </c>
      <c r="G331">
        <v>6.4</v>
      </c>
      <c r="H331">
        <v>1.5625</v>
      </c>
      <c r="I331">
        <v>-0.5625</v>
      </c>
      <c r="J331">
        <v>0.39024392000000002</v>
      </c>
    </row>
    <row r="332" spans="1:10" x14ac:dyDescent="0.3">
      <c r="A332">
        <v>330</v>
      </c>
      <c r="B332">
        <v>5242</v>
      </c>
      <c r="C332" t="b">
        <v>1</v>
      </c>
      <c r="D332">
        <v>8048</v>
      </c>
      <c r="E332">
        <v>8123</v>
      </c>
      <c r="F332">
        <v>10</v>
      </c>
      <c r="G332">
        <v>6.4</v>
      </c>
      <c r="H332">
        <v>1.5625</v>
      </c>
      <c r="I332">
        <v>-0.5625</v>
      </c>
      <c r="J332">
        <v>0.39024392000000002</v>
      </c>
    </row>
    <row r="333" spans="1:10" x14ac:dyDescent="0.3">
      <c r="A333">
        <v>331</v>
      </c>
      <c r="B333">
        <v>5258</v>
      </c>
      <c r="C333" t="b">
        <v>1</v>
      </c>
      <c r="D333">
        <v>8048</v>
      </c>
      <c r="E333">
        <v>8123</v>
      </c>
      <c r="F333">
        <v>10</v>
      </c>
      <c r="G333">
        <v>6.4</v>
      </c>
      <c r="H333">
        <v>1.5625</v>
      </c>
      <c r="I333">
        <v>-0.5625</v>
      </c>
      <c r="J333">
        <v>0.39024392000000002</v>
      </c>
    </row>
    <row r="334" spans="1:10" x14ac:dyDescent="0.3">
      <c r="A334">
        <v>332</v>
      </c>
      <c r="B334">
        <v>5274</v>
      </c>
      <c r="C334" t="b">
        <v>1</v>
      </c>
      <c r="D334">
        <v>8048</v>
      </c>
      <c r="E334">
        <v>8123</v>
      </c>
      <c r="F334">
        <v>10</v>
      </c>
      <c r="G334">
        <v>6.4</v>
      </c>
      <c r="H334">
        <v>1.5625</v>
      </c>
      <c r="I334">
        <v>-0.5625</v>
      </c>
      <c r="J334">
        <v>0.39024392000000002</v>
      </c>
    </row>
    <row r="335" spans="1:10" x14ac:dyDescent="0.3">
      <c r="A335">
        <v>333</v>
      </c>
      <c r="B335">
        <v>5290</v>
      </c>
      <c r="C335" t="b">
        <v>1</v>
      </c>
      <c r="D335">
        <v>8048</v>
      </c>
      <c r="E335">
        <v>8134</v>
      </c>
      <c r="F335">
        <v>10</v>
      </c>
      <c r="G335">
        <v>6.8</v>
      </c>
      <c r="H335">
        <v>1.4705881999999999</v>
      </c>
      <c r="I335">
        <v>-0.47058820000000001</v>
      </c>
      <c r="J335">
        <v>0.40476193999999999</v>
      </c>
    </row>
    <row r="336" spans="1:10" x14ac:dyDescent="0.3">
      <c r="A336">
        <v>334</v>
      </c>
      <c r="B336">
        <v>5306</v>
      </c>
      <c r="C336" t="b">
        <v>1</v>
      </c>
      <c r="D336">
        <v>8048</v>
      </c>
      <c r="E336">
        <v>8117</v>
      </c>
      <c r="F336">
        <v>10</v>
      </c>
      <c r="G336">
        <v>7.2</v>
      </c>
      <c r="H336">
        <v>1.388889</v>
      </c>
      <c r="I336">
        <v>-0.38888893000000002</v>
      </c>
      <c r="J336">
        <v>0.41860459999999999</v>
      </c>
    </row>
    <row r="337" spans="1:10" x14ac:dyDescent="0.3">
      <c r="A337">
        <v>335</v>
      </c>
      <c r="B337">
        <v>5322</v>
      </c>
      <c r="C337" t="b">
        <v>1</v>
      </c>
      <c r="D337">
        <v>8048</v>
      </c>
      <c r="E337">
        <v>8123</v>
      </c>
      <c r="F337">
        <v>10</v>
      </c>
      <c r="G337">
        <v>7.6</v>
      </c>
      <c r="H337">
        <v>1.3157894999999999</v>
      </c>
      <c r="I337">
        <v>-0.3157895</v>
      </c>
      <c r="J337">
        <v>0.43181816000000001</v>
      </c>
    </row>
    <row r="338" spans="1:10" x14ac:dyDescent="0.3">
      <c r="A338">
        <v>336</v>
      </c>
      <c r="B338">
        <v>5338</v>
      </c>
      <c r="C338" t="b">
        <v>1</v>
      </c>
      <c r="D338">
        <v>8048</v>
      </c>
      <c r="E338">
        <v>8123</v>
      </c>
      <c r="F338">
        <v>10</v>
      </c>
      <c r="G338">
        <v>8</v>
      </c>
      <c r="H338">
        <v>1.25</v>
      </c>
      <c r="I338">
        <v>-0.25</v>
      </c>
      <c r="J338">
        <v>0.44444444999999999</v>
      </c>
    </row>
    <row r="339" spans="1:10" x14ac:dyDescent="0.3">
      <c r="A339">
        <v>337</v>
      </c>
      <c r="B339">
        <v>5353</v>
      </c>
      <c r="C339" t="b">
        <v>1</v>
      </c>
      <c r="D339">
        <v>8048</v>
      </c>
      <c r="E339">
        <v>8123</v>
      </c>
      <c r="F339">
        <v>10</v>
      </c>
      <c r="G339">
        <v>8</v>
      </c>
      <c r="H339">
        <v>1.25</v>
      </c>
      <c r="I339">
        <v>-0.25</v>
      </c>
      <c r="J339">
        <v>0.44444444999999999</v>
      </c>
    </row>
    <row r="340" spans="1:10" x14ac:dyDescent="0.3">
      <c r="A340">
        <v>338</v>
      </c>
      <c r="B340">
        <v>5369</v>
      </c>
      <c r="C340" t="b">
        <v>1</v>
      </c>
      <c r="D340">
        <v>8048</v>
      </c>
      <c r="E340">
        <v>8123</v>
      </c>
      <c r="F340">
        <v>10</v>
      </c>
      <c r="G340">
        <v>8</v>
      </c>
      <c r="H340">
        <v>1.25</v>
      </c>
      <c r="I340">
        <v>-0.25</v>
      </c>
      <c r="J340">
        <v>0.44444444999999999</v>
      </c>
    </row>
    <row r="341" spans="1:10" x14ac:dyDescent="0.3">
      <c r="A341">
        <v>339</v>
      </c>
      <c r="B341">
        <v>5386</v>
      </c>
      <c r="C341" t="b">
        <v>1</v>
      </c>
      <c r="D341">
        <v>8042</v>
      </c>
      <c r="E341">
        <v>8123</v>
      </c>
      <c r="F341">
        <v>10</v>
      </c>
      <c r="G341">
        <v>8</v>
      </c>
      <c r="H341">
        <v>1.25</v>
      </c>
      <c r="I341">
        <v>-0.25</v>
      </c>
      <c r="J341">
        <v>0.44444444999999999</v>
      </c>
    </row>
    <row r="342" spans="1:10" x14ac:dyDescent="0.3">
      <c r="A342">
        <v>340</v>
      </c>
      <c r="B342">
        <v>5402</v>
      </c>
      <c r="C342" t="b">
        <v>1</v>
      </c>
      <c r="D342">
        <v>8048</v>
      </c>
      <c r="E342">
        <v>8123</v>
      </c>
      <c r="F342">
        <v>9.6</v>
      </c>
      <c r="G342">
        <v>8</v>
      </c>
      <c r="H342">
        <v>1.2</v>
      </c>
      <c r="I342">
        <v>-0.20000005000000001</v>
      </c>
      <c r="J342">
        <v>0.45454544000000002</v>
      </c>
    </row>
    <row r="343" spans="1:10" x14ac:dyDescent="0.3">
      <c r="A343">
        <v>341</v>
      </c>
      <c r="B343">
        <v>5418</v>
      </c>
      <c r="C343" t="b">
        <v>1</v>
      </c>
      <c r="D343">
        <v>8048</v>
      </c>
      <c r="E343">
        <v>8123</v>
      </c>
      <c r="F343">
        <v>9.1999999999999993</v>
      </c>
      <c r="G343">
        <v>8</v>
      </c>
      <c r="H343">
        <v>1.1499999999999999</v>
      </c>
      <c r="I343">
        <v>-0.14999998</v>
      </c>
      <c r="J343">
        <v>0.46511626</v>
      </c>
    </row>
    <row r="344" spans="1:10" x14ac:dyDescent="0.3">
      <c r="A344">
        <v>342</v>
      </c>
      <c r="B344">
        <v>5433</v>
      </c>
      <c r="C344" t="b">
        <v>1</v>
      </c>
      <c r="D344">
        <v>8048</v>
      </c>
      <c r="E344">
        <v>8134</v>
      </c>
      <c r="F344">
        <v>8.8000000000000007</v>
      </c>
      <c r="G344">
        <v>8</v>
      </c>
      <c r="H344">
        <v>1.1000000000000001</v>
      </c>
      <c r="I344">
        <v>-0.10000002400000001</v>
      </c>
      <c r="J344">
        <v>0.47619050000000002</v>
      </c>
    </row>
    <row r="345" spans="1:10" x14ac:dyDescent="0.3">
      <c r="A345">
        <v>343</v>
      </c>
      <c r="B345">
        <v>5449</v>
      </c>
      <c r="C345" t="b">
        <v>1</v>
      </c>
      <c r="D345">
        <v>8048</v>
      </c>
      <c r="E345">
        <v>8123</v>
      </c>
      <c r="F345">
        <v>8.4</v>
      </c>
      <c r="G345">
        <v>8</v>
      </c>
      <c r="H345">
        <v>1.05</v>
      </c>
      <c r="I345">
        <v>-4.9999952E-2</v>
      </c>
      <c r="J345">
        <v>0.48780489999999999</v>
      </c>
    </row>
    <row r="346" spans="1:10" x14ac:dyDescent="0.3">
      <c r="A346">
        <v>344</v>
      </c>
      <c r="B346">
        <v>5465</v>
      </c>
      <c r="C346" t="b">
        <v>1</v>
      </c>
      <c r="D346">
        <v>8048</v>
      </c>
      <c r="E346">
        <v>8123</v>
      </c>
      <c r="F346">
        <v>8</v>
      </c>
      <c r="G346">
        <v>8</v>
      </c>
      <c r="H346">
        <v>1</v>
      </c>
      <c r="I346">
        <v>0</v>
      </c>
      <c r="J346">
        <v>0.5</v>
      </c>
    </row>
    <row r="347" spans="1:10" x14ac:dyDescent="0.3">
      <c r="A347">
        <v>345</v>
      </c>
      <c r="B347">
        <v>5481</v>
      </c>
      <c r="C347" t="b">
        <v>1</v>
      </c>
      <c r="D347">
        <v>8048</v>
      </c>
      <c r="E347">
        <v>8123</v>
      </c>
      <c r="F347">
        <v>8</v>
      </c>
      <c r="G347">
        <v>8</v>
      </c>
      <c r="H347">
        <v>1</v>
      </c>
      <c r="I347">
        <v>0</v>
      </c>
      <c r="J347">
        <v>0.5</v>
      </c>
    </row>
    <row r="348" spans="1:10" x14ac:dyDescent="0.3">
      <c r="A348">
        <v>346</v>
      </c>
      <c r="B348">
        <v>5497</v>
      </c>
      <c r="C348" t="b">
        <v>1</v>
      </c>
      <c r="D348">
        <v>8054</v>
      </c>
      <c r="E348">
        <v>8123</v>
      </c>
      <c r="F348">
        <v>8</v>
      </c>
      <c r="G348">
        <v>8</v>
      </c>
      <c r="H348">
        <v>1</v>
      </c>
      <c r="I348">
        <v>0</v>
      </c>
      <c r="J348">
        <v>0.5</v>
      </c>
    </row>
    <row r="349" spans="1:10" x14ac:dyDescent="0.3">
      <c r="A349">
        <v>347</v>
      </c>
      <c r="B349">
        <v>5513</v>
      </c>
      <c r="C349" t="b">
        <v>1</v>
      </c>
      <c r="D349">
        <v>8048</v>
      </c>
      <c r="E349">
        <v>8123</v>
      </c>
      <c r="F349">
        <v>8</v>
      </c>
      <c r="G349">
        <v>8</v>
      </c>
      <c r="H349">
        <v>1</v>
      </c>
      <c r="I349">
        <v>0</v>
      </c>
      <c r="J349">
        <v>0.5</v>
      </c>
    </row>
    <row r="350" spans="1:10" x14ac:dyDescent="0.3">
      <c r="A350">
        <v>348</v>
      </c>
      <c r="B350">
        <v>5528</v>
      </c>
      <c r="C350" t="b">
        <v>1</v>
      </c>
      <c r="D350">
        <v>8048</v>
      </c>
      <c r="E350">
        <v>8123</v>
      </c>
      <c r="F350">
        <v>8</v>
      </c>
      <c r="G350">
        <v>8</v>
      </c>
      <c r="H350">
        <v>1</v>
      </c>
      <c r="I350">
        <v>0</v>
      </c>
      <c r="J350">
        <v>0.5</v>
      </c>
    </row>
    <row r="351" spans="1:10" x14ac:dyDescent="0.3">
      <c r="A351">
        <v>349</v>
      </c>
      <c r="B351">
        <v>5544</v>
      </c>
      <c r="C351" t="b">
        <v>1</v>
      </c>
      <c r="D351">
        <v>8048</v>
      </c>
      <c r="E351">
        <v>8117</v>
      </c>
      <c r="F351">
        <v>8</v>
      </c>
      <c r="G351">
        <v>8</v>
      </c>
      <c r="H351">
        <v>1</v>
      </c>
      <c r="I351">
        <v>0</v>
      </c>
      <c r="J351">
        <v>0.5</v>
      </c>
    </row>
    <row r="352" spans="1:10" x14ac:dyDescent="0.3">
      <c r="A352">
        <v>350</v>
      </c>
      <c r="B352">
        <v>5560</v>
      </c>
      <c r="C352" t="b">
        <v>1</v>
      </c>
      <c r="D352">
        <v>8048</v>
      </c>
      <c r="E352">
        <v>8117</v>
      </c>
      <c r="F352">
        <v>8</v>
      </c>
      <c r="G352">
        <v>8</v>
      </c>
      <c r="H352">
        <v>1</v>
      </c>
      <c r="I352">
        <v>0</v>
      </c>
      <c r="J352">
        <v>0.5</v>
      </c>
    </row>
    <row r="353" spans="1:10" x14ac:dyDescent="0.3">
      <c r="A353">
        <v>351</v>
      </c>
      <c r="B353">
        <v>5576</v>
      </c>
      <c r="C353" t="b">
        <v>1</v>
      </c>
      <c r="D353">
        <v>8048</v>
      </c>
      <c r="E353">
        <v>8123</v>
      </c>
      <c r="F353">
        <v>8</v>
      </c>
      <c r="G353">
        <v>8</v>
      </c>
      <c r="H353">
        <v>1</v>
      </c>
      <c r="I353">
        <v>0</v>
      </c>
      <c r="J353">
        <v>0.5</v>
      </c>
    </row>
    <row r="354" spans="1:10" x14ac:dyDescent="0.3">
      <c r="A354">
        <v>352</v>
      </c>
      <c r="B354">
        <v>5592</v>
      </c>
      <c r="C354" t="b">
        <v>1</v>
      </c>
      <c r="D354">
        <v>8048</v>
      </c>
      <c r="E354">
        <v>8117</v>
      </c>
      <c r="F354">
        <v>8</v>
      </c>
      <c r="G354">
        <v>7.6</v>
      </c>
      <c r="H354">
        <v>1.0526316</v>
      </c>
      <c r="I354">
        <v>-5.2631589999999999E-2</v>
      </c>
      <c r="J354">
        <v>0.48717946000000001</v>
      </c>
    </row>
    <row r="355" spans="1:10" x14ac:dyDescent="0.3">
      <c r="A355">
        <v>353</v>
      </c>
      <c r="B355">
        <v>5608</v>
      </c>
      <c r="C355" t="b">
        <v>1</v>
      </c>
      <c r="D355">
        <v>8042</v>
      </c>
      <c r="E355">
        <v>8117</v>
      </c>
      <c r="F355">
        <v>8</v>
      </c>
      <c r="G355">
        <v>7.2</v>
      </c>
      <c r="H355">
        <v>1.1111112000000001</v>
      </c>
      <c r="I355">
        <v>-0.11111114</v>
      </c>
      <c r="J355">
        <v>0.4736842</v>
      </c>
    </row>
    <row r="356" spans="1:10" x14ac:dyDescent="0.3">
      <c r="A356">
        <v>354</v>
      </c>
      <c r="B356">
        <v>5624</v>
      </c>
      <c r="C356" t="b">
        <v>1</v>
      </c>
      <c r="D356">
        <v>8048</v>
      </c>
      <c r="E356">
        <v>8117</v>
      </c>
      <c r="F356">
        <v>8</v>
      </c>
      <c r="G356">
        <v>6.8</v>
      </c>
      <c r="H356">
        <v>1.1764705</v>
      </c>
      <c r="I356">
        <v>-0.17647055</v>
      </c>
      <c r="J356">
        <v>0.45945944999999999</v>
      </c>
    </row>
    <row r="357" spans="1:10" x14ac:dyDescent="0.3">
      <c r="A357">
        <v>355</v>
      </c>
      <c r="B357">
        <v>5639</v>
      </c>
      <c r="C357" t="b">
        <v>1</v>
      </c>
      <c r="D357">
        <v>8054</v>
      </c>
      <c r="E357">
        <v>8123</v>
      </c>
      <c r="F357">
        <v>8</v>
      </c>
      <c r="G357">
        <v>6.4</v>
      </c>
      <c r="H357">
        <v>1.25</v>
      </c>
      <c r="I357">
        <v>-0.24999999000000001</v>
      </c>
      <c r="J357">
        <v>0.44444447999999998</v>
      </c>
    </row>
    <row r="358" spans="1:10" x14ac:dyDescent="0.3">
      <c r="A358">
        <v>356</v>
      </c>
      <c r="B358">
        <v>5656</v>
      </c>
      <c r="C358" t="b">
        <v>1</v>
      </c>
      <c r="D358">
        <v>8054</v>
      </c>
      <c r="E358">
        <v>8123</v>
      </c>
      <c r="F358">
        <v>8</v>
      </c>
      <c r="G358">
        <v>6</v>
      </c>
      <c r="H358">
        <v>1.3333333999999999</v>
      </c>
      <c r="I358">
        <v>-0.33333333999999998</v>
      </c>
      <c r="J358">
        <v>0.42857142999999998</v>
      </c>
    </row>
    <row r="359" spans="1:10" x14ac:dyDescent="0.3">
      <c r="A359">
        <v>357</v>
      </c>
      <c r="B359">
        <v>5672</v>
      </c>
      <c r="C359" t="b">
        <v>1</v>
      </c>
      <c r="D359">
        <v>8054</v>
      </c>
      <c r="E359">
        <v>8123</v>
      </c>
      <c r="F359">
        <v>8.4</v>
      </c>
      <c r="G359">
        <v>6</v>
      </c>
      <c r="H359">
        <v>1.4</v>
      </c>
      <c r="I359">
        <v>-0.39999994999999999</v>
      </c>
      <c r="J359">
        <v>0.4166667</v>
      </c>
    </row>
    <row r="360" spans="1:10" x14ac:dyDescent="0.3">
      <c r="A360">
        <v>358</v>
      </c>
      <c r="B360">
        <v>5688</v>
      </c>
      <c r="C360" t="b">
        <v>1</v>
      </c>
      <c r="D360">
        <v>8054</v>
      </c>
      <c r="E360">
        <v>8123</v>
      </c>
      <c r="F360">
        <v>8.8000000000000007</v>
      </c>
      <c r="G360">
        <v>6</v>
      </c>
      <c r="H360">
        <v>1.4666667</v>
      </c>
      <c r="I360">
        <v>-0.46666669999999999</v>
      </c>
      <c r="J360">
        <v>0.40540540000000003</v>
      </c>
    </row>
    <row r="361" spans="1:10" x14ac:dyDescent="0.3">
      <c r="A361">
        <v>359</v>
      </c>
      <c r="B361">
        <v>5704</v>
      </c>
      <c r="C361" t="b">
        <v>1</v>
      </c>
      <c r="D361">
        <v>8054</v>
      </c>
      <c r="E361">
        <v>8123</v>
      </c>
      <c r="F361">
        <v>9.1999999999999993</v>
      </c>
      <c r="G361">
        <v>6</v>
      </c>
      <c r="H361">
        <v>1.5333333</v>
      </c>
      <c r="I361">
        <v>-0.53333330000000001</v>
      </c>
      <c r="J361">
        <v>0.39473686000000002</v>
      </c>
    </row>
    <row r="362" spans="1:10" x14ac:dyDescent="0.3">
      <c r="A362">
        <v>360</v>
      </c>
      <c r="B362">
        <v>5720</v>
      </c>
      <c r="C362" t="b">
        <v>1</v>
      </c>
      <c r="D362">
        <v>8048</v>
      </c>
      <c r="E362">
        <v>8123</v>
      </c>
      <c r="F362">
        <v>9.6</v>
      </c>
      <c r="G362">
        <v>6</v>
      </c>
      <c r="H362">
        <v>1.6</v>
      </c>
      <c r="I362">
        <v>-0.60000010000000004</v>
      </c>
      <c r="J362">
        <v>0.38461536000000002</v>
      </c>
    </row>
    <row r="363" spans="1:10" x14ac:dyDescent="0.3">
      <c r="A363">
        <v>361</v>
      </c>
      <c r="B363">
        <v>5735</v>
      </c>
      <c r="C363" t="b">
        <v>1</v>
      </c>
      <c r="D363">
        <v>8042</v>
      </c>
      <c r="E363">
        <v>8123</v>
      </c>
      <c r="F363">
        <v>10</v>
      </c>
      <c r="G363">
        <v>6</v>
      </c>
      <c r="H363">
        <v>1.6666666000000001</v>
      </c>
      <c r="I363">
        <v>-0.66666669999999995</v>
      </c>
      <c r="J363">
        <v>0.375</v>
      </c>
    </row>
    <row r="364" spans="1:10" x14ac:dyDescent="0.3">
      <c r="A364">
        <v>362</v>
      </c>
      <c r="B364">
        <v>5751</v>
      </c>
      <c r="C364" t="b">
        <v>1</v>
      </c>
      <c r="D364">
        <v>8042</v>
      </c>
      <c r="E364">
        <v>8117</v>
      </c>
      <c r="F364">
        <v>10</v>
      </c>
      <c r="G364">
        <v>6</v>
      </c>
      <c r="H364">
        <v>1.6666666000000001</v>
      </c>
      <c r="I364">
        <v>-0.66666669999999995</v>
      </c>
      <c r="J364">
        <v>0.375</v>
      </c>
    </row>
    <row r="365" spans="1:10" x14ac:dyDescent="0.3">
      <c r="A365">
        <v>363</v>
      </c>
      <c r="B365">
        <v>5768</v>
      </c>
      <c r="C365" t="b">
        <v>1</v>
      </c>
      <c r="D365">
        <v>8048</v>
      </c>
      <c r="E365">
        <v>8123</v>
      </c>
      <c r="F365">
        <v>10</v>
      </c>
      <c r="G365">
        <v>6</v>
      </c>
      <c r="H365">
        <v>1.6666666000000001</v>
      </c>
      <c r="I365">
        <v>-0.66666669999999995</v>
      </c>
      <c r="J365">
        <v>0.375</v>
      </c>
    </row>
    <row r="366" spans="1:10" x14ac:dyDescent="0.3">
      <c r="A366">
        <v>364</v>
      </c>
      <c r="B366">
        <v>5784</v>
      </c>
      <c r="C366" t="b">
        <v>1</v>
      </c>
      <c r="D366">
        <v>8054</v>
      </c>
      <c r="E366">
        <v>8117</v>
      </c>
      <c r="F366">
        <v>10</v>
      </c>
      <c r="G366">
        <v>6</v>
      </c>
      <c r="H366">
        <v>1.6666666000000001</v>
      </c>
      <c r="I366">
        <v>-0.66666669999999995</v>
      </c>
      <c r="J366">
        <v>0.375</v>
      </c>
    </row>
    <row r="367" spans="1:10" x14ac:dyDescent="0.3">
      <c r="A367">
        <v>365</v>
      </c>
      <c r="B367">
        <v>5799</v>
      </c>
      <c r="C367" t="b">
        <v>1</v>
      </c>
      <c r="D367">
        <v>8042</v>
      </c>
      <c r="E367">
        <v>8111</v>
      </c>
      <c r="F367">
        <v>9.6</v>
      </c>
      <c r="G367">
        <v>5.6</v>
      </c>
      <c r="H367">
        <v>1.7142858999999999</v>
      </c>
      <c r="I367">
        <v>-0.71428579999999997</v>
      </c>
      <c r="J367">
        <v>0.36842101999999999</v>
      </c>
    </row>
    <row r="368" spans="1:10" x14ac:dyDescent="0.3">
      <c r="A368">
        <v>366</v>
      </c>
      <c r="B368">
        <v>5816</v>
      </c>
      <c r="C368" t="b">
        <v>1</v>
      </c>
      <c r="D368">
        <v>8048</v>
      </c>
      <c r="E368">
        <v>8117</v>
      </c>
      <c r="F368">
        <v>9.6</v>
      </c>
      <c r="G368">
        <v>5.2</v>
      </c>
      <c r="H368">
        <v>1.8461540000000001</v>
      </c>
      <c r="I368">
        <v>-0.84615399999999996</v>
      </c>
      <c r="J368">
        <v>0.35135132000000002</v>
      </c>
    </row>
    <row r="369" spans="1:10" x14ac:dyDescent="0.3">
      <c r="A369">
        <v>367</v>
      </c>
      <c r="B369">
        <v>5831</v>
      </c>
      <c r="C369" t="b">
        <v>1</v>
      </c>
      <c r="D369">
        <v>8048</v>
      </c>
      <c r="E369">
        <v>8117</v>
      </c>
      <c r="F369">
        <v>9.6</v>
      </c>
      <c r="G369">
        <v>5.2</v>
      </c>
      <c r="H369">
        <v>1.8461540000000001</v>
      </c>
      <c r="I369">
        <v>-0.84615399999999996</v>
      </c>
      <c r="J369">
        <v>0.35135132000000002</v>
      </c>
    </row>
    <row r="370" spans="1:10" x14ac:dyDescent="0.3">
      <c r="A370">
        <v>368</v>
      </c>
      <c r="B370">
        <v>5847</v>
      </c>
      <c r="C370" t="b">
        <v>1</v>
      </c>
      <c r="D370">
        <v>8054</v>
      </c>
      <c r="E370">
        <v>8117</v>
      </c>
      <c r="F370">
        <v>9.6</v>
      </c>
      <c r="G370">
        <v>5.2</v>
      </c>
      <c r="H370">
        <v>1.8461540000000001</v>
      </c>
      <c r="I370">
        <v>-0.84615399999999996</v>
      </c>
      <c r="J370">
        <v>0.35135132000000002</v>
      </c>
    </row>
    <row r="371" spans="1:10" x14ac:dyDescent="0.3">
      <c r="A371">
        <v>369</v>
      </c>
      <c r="B371">
        <v>5863</v>
      </c>
      <c r="C371" t="b">
        <v>1</v>
      </c>
      <c r="D371">
        <v>8048</v>
      </c>
      <c r="E371">
        <v>8117</v>
      </c>
      <c r="F371">
        <v>9.6</v>
      </c>
      <c r="G371">
        <v>5.2</v>
      </c>
      <c r="H371">
        <v>1.8461540000000001</v>
      </c>
      <c r="I371">
        <v>-0.84615399999999996</v>
      </c>
      <c r="J371">
        <v>0.35135132000000002</v>
      </c>
    </row>
    <row r="372" spans="1:10" x14ac:dyDescent="0.3">
      <c r="A372">
        <v>370</v>
      </c>
      <c r="B372">
        <v>5879</v>
      </c>
      <c r="C372" t="b">
        <v>1</v>
      </c>
      <c r="D372">
        <v>8048</v>
      </c>
      <c r="E372">
        <v>8117</v>
      </c>
      <c r="F372">
        <v>9.6</v>
      </c>
      <c r="G372">
        <v>5.2</v>
      </c>
      <c r="H372">
        <v>1.8461540000000001</v>
      </c>
      <c r="I372">
        <v>-0.84615399999999996</v>
      </c>
      <c r="J372">
        <v>0.35135132000000002</v>
      </c>
    </row>
    <row r="373" spans="1:10" x14ac:dyDescent="0.3">
      <c r="A373">
        <v>371</v>
      </c>
      <c r="B373">
        <v>5895</v>
      </c>
      <c r="C373" t="b">
        <v>1</v>
      </c>
      <c r="D373">
        <v>8048</v>
      </c>
      <c r="E373">
        <v>8111</v>
      </c>
      <c r="F373">
        <v>9.6</v>
      </c>
      <c r="G373">
        <v>5.2</v>
      </c>
      <c r="H373">
        <v>1.8461540000000001</v>
      </c>
      <c r="I373">
        <v>-0.84615399999999996</v>
      </c>
      <c r="J373">
        <v>0.35135132000000002</v>
      </c>
    </row>
    <row r="374" spans="1:10" x14ac:dyDescent="0.3">
      <c r="A374">
        <v>372</v>
      </c>
      <c r="B374">
        <v>5911</v>
      </c>
      <c r="C374" t="b">
        <v>1</v>
      </c>
      <c r="D374">
        <v>8048</v>
      </c>
      <c r="E374">
        <v>8117</v>
      </c>
      <c r="F374">
        <v>9.1999999999999993</v>
      </c>
      <c r="G374">
        <v>4.8</v>
      </c>
      <c r="H374">
        <v>1.9166665000000001</v>
      </c>
      <c r="I374">
        <v>-0.91666656999999996</v>
      </c>
      <c r="J374">
        <v>0.34285715</v>
      </c>
    </row>
    <row r="375" spans="1:10" x14ac:dyDescent="0.3">
      <c r="A375">
        <v>373</v>
      </c>
      <c r="B375">
        <v>5927</v>
      </c>
      <c r="C375" t="b">
        <v>1</v>
      </c>
      <c r="D375">
        <v>8054</v>
      </c>
      <c r="E375">
        <v>8117</v>
      </c>
      <c r="F375">
        <v>8.8000000000000007</v>
      </c>
      <c r="G375">
        <v>4.4000000000000004</v>
      </c>
      <c r="H375">
        <v>2</v>
      </c>
      <c r="I375">
        <v>-1</v>
      </c>
      <c r="J375">
        <v>0.3333333</v>
      </c>
    </row>
    <row r="376" spans="1:10" x14ac:dyDescent="0.3">
      <c r="A376">
        <v>374</v>
      </c>
      <c r="B376">
        <v>5942</v>
      </c>
      <c r="C376" t="b">
        <v>1</v>
      </c>
      <c r="D376">
        <v>8042</v>
      </c>
      <c r="E376">
        <v>8129</v>
      </c>
      <c r="F376">
        <v>8.4</v>
      </c>
      <c r="G376">
        <v>4</v>
      </c>
      <c r="H376">
        <v>2.1</v>
      </c>
      <c r="I376">
        <v>-1.0999999</v>
      </c>
      <c r="J376">
        <v>0.32258067000000001</v>
      </c>
    </row>
    <row r="377" spans="1:10" x14ac:dyDescent="0.3">
      <c r="A377">
        <v>375</v>
      </c>
      <c r="B377">
        <v>5958</v>
      </c>
      <c r="C377" t="b">
        <v>1</v>
      </c>
      <c r="D377">
        <v>8042</v>
      </c>
      <c r="E377">
        <v>8123</v>
      </c>
      <c r="F377">
        <v>8</v>
      </c>
      <c r="G377">
        <v>3.6</v>
      </c>
      <c r="H377">
        <v>2.2222222999999999</v>
      </c>
      <c r="I377">
        <v>-1.2222223000000001</v>
      </c>
      <c r="J377">
        <v>0.31034482000000002</v>
      </c>
    </row>
    <row r="378" spans="1:10" x14ac:dyDescent="0.3">
      <c r="A378">
        <v>376</v>
      </c>
      <c r="B378">
        <v>5974</v>
      </c>
      <c r="C378" t="b">
        <v>1</v>
      </c>
      <c r="D378">
        <v>8048</v>
      </c>
      <c r="E378">
        <v>8123</v>
      </c>
      <c r="F378">
        <v>7.6</v>
      </c>
      <c r="G378">
        <v>3.6</v>
      </c>
      <c r="H378">
        <v>2.1111111999999999</v>
      </c>
      <c r="I378">
        <v>-1.1111112000000001</v>
      </c>
      <c r="J378">
        <v>0.32142857000000002</v>
      </c>
    </row>
    <row r="379" spans="1:10" x14ac:dyDescent="0.3">
      <c r="A379">
        <v>377</v>
      </c>
      <c r="B379">
        <v>5990</v>
      </c>
      <c r="C379" t="b">
        <v>1</v>
      </c>
      <c r="D379">
        <v>8048</v>
      </c>
      <c r="E379">
        <v>8123</v>
      </c>
      <c r="F379">
        <v>7.6</v>
      </c>
      <c r="G379">
        <v>3.6</v>
      </c>
      <c r="H379">
        <v>2.1111111999999999</v>
      </c>
      <c r="I379">
        <v>-1.1111112000000001</v>
      </c>
      <c r="J379">
        <v>0.32142857000000002</v>
      </c>
    </row>
    <row r="380" spans="1:10" x14ac:dyDescent="0.3">
      <c r="A380">
        <v>378</v>
      </c>
      <c r="B380">
        <v>6006</v>
      </c>
      <c r="C380" t="b">
        <v>1</v>
      </c>
      <c r="D380">
        <v>8048</v>
      </c>
      <c r="E380">
        <v>8123</v>
      </c>
      <c r="F380">
        <v>7.6</v>
      </c>
      <c r="G380">
        <v>3.6</v>
      </c>
      <c r="H380">
        <v>2.1111111999999999</v>
      </c>
      <c r="I380">
        <v>-1.1111112000000001</v>
      </c>
      <c r="J380">
        <v>0.32142857000000002</v>
      </c>
    </row>
    <row r="381" spans="1:10" x14ac:dyDescent="0.3">
      <c r="A381">
        <v>379</v>
      </c>
      <c r="B381">
        <v>6022</v>
      </c>
      <c r="C381" t="b">
        <v>1</v>
      </c>
      <c r="D381">
        <v>8048</v>
      </c>
      <c r="E381">
        <v>8123</v>
      </c>
      <c r="F381">
        <v>7.6</v>
      </c>
      <c r="G381">
        <v>3.6</v>
      </c>
      <c r="H381">
        <v>2.1111111999999999</v>
      </c>
      <c r="I381">
        <v>-1.1111112000000001</v>
      </c>
      <c r="J381">
        <v>0.32142857000000002</v>
      </c>
    </row>
    <row r="382" spans="1:10" x14ac:dyDescent="0.3">
      <c r="A382">
        <v>380</v>
      </c>
      <c r="B382">
        <v>6038</v>
      </c>
      <c r="C382" t="b">
        <v>1</v>
      </c>
      <c r="D382">
        <v>8048</v>
      </c>
      <c r="E382">
        <v>8123</v>
      </c>
      <c r="F382">
        <v>8</v>
      </c>
      <c r="G382">
        <v>4</v>
      </c>
      <c r="H382">
        <v>2</v>
      </c>
      <c r="I382">
        <v>-1</v>
      </c>
      <c r="J382">
        <v>0.33333333999999998</v>
      </c>
    </row>
    <row r="383" spans="1:10" x14ac:dyDescent="0.3">
      <c r="A383">
        <v>381</v>
      </c>
      <c r="B383">
        <v>6054</v>
      </c>
      <c r="C383" t="b">
        <v>1</v>
      </c>
      <c r="D383">
        <v>8048</v>
      </c>
      <c r="E383">
        <v>8123</v>
      </c>
      <c r="F383">
        <v>8</v>
      </c>
      <c r="G383">
        <v>4.4000000000000004</v>
      </c>
      <c r="H383">
        <v>1.8181818000000001</v>
      </c>
      <c r="I383">
        <v>-0.81818175000000004</v>
      </c>
      <c r="J383">
        <v>0.35483872999999999</v>
      </c>
    </row>
    <row r="384" spans="1:10" x14ac:dyDescent="0.3">
      <c r="A384">
        <v>382</v>
      </c>
      <c r="B384">
        <v>6070</v>
      </c>
      <c r="C384" t="b">
        <v>1</v>
      </c>
      <c r="D384">
        <v>8042</v>
      </c>
      <c r="E384">
        <v>8123</v>
      </c>
      <c r="F384">
        <v>8</v>
      </c>
      <c r="G384">
        <v>4.8</v>
      </c>
      <c r="H384">
        <v>1.6666666000000001</v>
      </c>
      <c r="I384">
        <v>-0.6666666</v>
      </c>
      <c r="J384">
        <v>0.375</v>
      </c>
    </row>
    <row r="385" spans="1:10" x14ac:dyDescent="0.3">
      <c r="A385">
        <v>383</v>
      </c>
      <c r="B385">
        <v>6085</v>
      </c>
      <c r="C385" t="b">
        <v>1</v>
      </c>
      <c r="D385">
        <v>8048</v>
      </c>
      <c r="E385">
        <v>8117</v>
      </c>
      <c r="F385">
        <v>8</v>
      </c>
      <c r="G385">
        <v>5.2</v>
      </c>
      <c r="H385">
        <v>1.5384616</v>
      </c>
      <c r="I385">
        <v>-0.53846156999999994</v>
      </c>
      <c r="J385">
        <v>0.39393938000000001</v>
      </c>
    </row>
    <row r="386" spans="1:10" x14ac:dyDescent="0.3">
      <c r="A386">
        <v>384</v>
      </c>
      <c r="B386">
        <v>6102</v>
      </c>
      <c r="C386" t="b">
        <v>1</v>
      </c>
      <c r="D386">
        <v>8054</v>
      </c>
      <c r="E386">
        <v>8129</v>
      </c>
      <c r="F386">
        <v>8</v>
      </c>
      <c r="G386">
        <v>5.6</v>
      </c>
      <c r="H386">
        <v>1.4285715000000001</v>
      </c>
      <c r="I386">
        <v>-0.42857146000000002</v>
      </c>
      <c r="J386">
        <v>0.41176467999999999</v>
      </c>
    </row>
    <row r="387" spans="1:10" x14ac:dyDescent="0.3">
      <c r="A387">
        <v>385</v>
      </c>
      <c r="B387">
        <v>6118</v>
      </c>
      <c r="C387" t="b">
        <v>1</v>
      </c>
      <c r="D387">
        <v>8054</v>
      </c>
      <c r="E387">
        <v>8123</v>
      </c>
      <c r="F387">
        <v>8</v>
      </c>
      <c r="G387">
        <v>6</v>
      </c>
      <c r="H387">
        <v>1.3333333999999999</v>
      </c>
      <c r="I387">
        <v>-0.33333333999999998</v>
      </c>
      <c r="J387">
        <v>0.42857142999999998</v>
      </c>
    </row>
    <row r="388" spans="1:10" x14ac:dyDescent="0.3">
      <c r="A388">
        <v>386</v>
      </c>
      <c r="B388">
        <v>6134</v>
      </c>
      <c r="C388" t="b">
        <v>1</v>
      </c>
      <c r="D388">
        <v>8048</v>
      </c>
      <c r="E388">
        <v>8117</v>
      </c>
      <c r="F388">
        <v>8</v>
      </c>
      <c r="G388">
        <v>6.4</v>
      </c>
      <c r="H388">
        <v>1.25</v>
      </c>
      <c r="I388">
        <v>-0.24999999000000001</v>
      </c>
      <c r="J388">
        <v>0.44444447999999998</v>
      </c>
    </row>
    <row r="389" spans="1:10" x14ac:dyDescent="0.3">
      <c r="A389">
        <v>387</v>
      </c>
      <c r="B389">
        <v>6149</v>
      </c>
      <c r="C389" t="b">
        <v>1</v>
      </c>
      <c r="D389">
        <v>8042</v>
      </c>
      <c r="E389">
        <v>8117</v>
      </c>
      <c r="F389">
        <v>8</v>
      </c>
      <c r="G389">
        <v>6.4</v>
      </c>
      <c r="H389">
        <v>1.25</v>
      </c>
      <c r="I389">
        <v>-0.24999999000000001</v>
      </c>
      <c r="J389">
        <v>0.44444447999999998</v>
      </c>
    </row>
    <row r="390" spans="1:10" x14ac:dyDescent="0.3">
      <c r="A390">
        <v>388</v>
      </c>
      <c r="B390">
        <v>6165</v>
      </c>
      <c r="C390" t="b">
        <v>1</v>
      </c>
      <c r="D390">
        <v>8048</v>
      </c>
      <c r="E390">
        <v>8117</v>
      </c>
      <c r="F390">
        <v>8</v>
      </c>
      <c r="G390">
        <v>6.4</v>
      </c>
      <c r="H390">
        <v>1.25</v>
      </c>
      <c r="I390">
        <v>-0.24999999000000001</v>
      </c>
      <c r="J390">
        <v>0.44444447999999998</v>
      </c>
    </row>
    <row r="391" spans="1:10" x14ac:dyDescent="0.3">
      <c r="A391">
        <v>389</v>
      </c>
      <c r="B391">
        <v>6181</v>
      </c>
      <c r="C391" t="b">
        <v>1</v>
      </c>
      <c r="D391">
        <v>8048</v>
      </c>
      <c r="E391">
        <v>8123</v>
      </c>
      <c r="F391">
        <v>8</v>
      </c>
      <c r="G391">
        <v>6.4</v>
      </c>
      <c r="H391">
        <v>1.25</v>
      </c>
      <c r="I391">
        <v>-0.24999999000000001</v>
      </c>
      <c r="J391">
        <v>0.44444447999999998</v>
      </c>
    </row>
    <row r="392" spans="1:10" x14ac:dyDescent="0.3">
      <c r="A392">
        <v>390</v>
      </c>
      <c r="B392">
        <v>6197</v>
      </c>
      <c r="C392" t="b">
        <v>1</v>
      </c>
      <c r="D392">
        <v>8054</v>
      </c>
      <c r="E392">
        <v>8117</v>
      </c>
      <c r="F392">
        <v>8</v>
      </c>
      <c r="G392">
        <v>6.4</v>
      </c>
      <c r="H392">
        <v>1.25</v>
      </c>
      <c r="I392">
        <v>-0.24999999000000001</v>
      </c>
      <c r="J392">
        <v>0.44444447999999998</v>
      </c>
    </row>
    <row r="393" spans="1:10" x14ac:dyDescent="0.3">
      <c r="A393">
        <v>391</v>
      </c>
      <c r="B393">
        <v>6213</v>
      </c>
      <c r="C393" t="b">
        <v>1</v>
      </c>
      <c r="D393">
        <v>8048</v>
      </c>
      <c r="E393">
        <v>8117</v>
      </c>
      <c r="F393">
        <v>8</v>
      </c>
      <c r="G393">
        <v>6</v>
      </c>
      <c r="H393">
        <v>1.3333333999999999</v>
      </c>
      <c r="I393">
        <v>-0.33333333999999998</v>
      </c>
      <c r="J393">
        <v>0.42857142999999998</v>
      </c>
    </row>
    <row r="394" spans="1:10" x14ac:dyDescent="0.3">
      <c r="A394">
        <v>392</v>
      </c>
      <c r="B394">
        <v>6229</v>
      </c>
      <c r="C394" t="b">
        <v>1</v>
      </c>
      <c r="D394">
        <v>8048</v>
      </c>
      <c r="E394">
        <v>8123</v>
      </c>
      <c r="F394">
        <v>8</v>
      </c>
      <c r="G394">
        <v>5.6</v>
      </c>
      <c r="H394">
        <v>1.4285715000000001</v>
      </c>
      <c r="I394">
        <v>-0.42857146000000002</v>
      </c>
      <c r="J394">
        <v>0.41176467999999999</v>
      </c>
    </row>
    <row r="395" spans="1:10" x14ac:dyDescent="0.3">
      <c r="A395">
        <v>393</v>
      </c>
      <c r="B395">
        <v>6245</v>
      </c>
      <c r="C395" t="b">
        <v>1</v>
      </c>
      <c r="D395">
        <v>8048</v>
      </c>
      <c r="E395">
        <v>8123</v>
      </c>
      <c r="F395">
        <v>8</v>
      </c>
      <c r="G395">
        <v>5.6</v>
      </c>
      <c r="H395">
        <v>1.4285715000000001</v>
      </c>
      <c r="I395">
        <v>-0.42857146000000002</v>
      </c>
      <c r="J395">
        <v>0.41176467999999999</v>
      </c>
    </row>
    <row r="396" spans="1:10" x14ac:dyDescent="0.3">
      <c r="A396">
        <v>394</v>
      </c>
      <c r="B396">
        <v>6261</v>
      </c>
      <c r="C396" t="b">
        <v>1</v>
      </c>
      <c r="D396">
        <v>8048</v>
      </c>
      <c r="E396">
        <v>8123</v>
      </c>
      <c r="F396">
        <v>8</v>
      </c>
      <c r="G396">
        <v>5.6</v>
      </c>
      <c r="H396">
        <v>1.4285715000000001</v>
      </c>
      <c r="I396">
        <v>-0.42857146000000002</v>
      </c>
      <c r="J396">
        <v>0.41176467999999999</v>
      </c>
    </row>
    <row r="397" spans="1:10" x14ac:dyDescent="0.3">
      <c r="A397">
        <v>395</v>
      </c>
      <c r="B397">
        <v>6277</v>
      </c>
      <c r="C397" t="b">
        <v>1</v>
      </c>
      <c r="D397">
        <v>8048</v>
      </c>
      <c r="E397">
        <v>8123</v>
      </c>
      <c r="F397">
        <v>8</v>
      </c>
      <c r="G397">
        <v>5.6</v>
      </c>
      <c r="H397">
        <v>1.4285715000000001</v>
      </c>
      <c r="I397">
        <v>-0.42857146000000002</v>
      </c>
      <c r="J397">
        <v>0.41176467999999999</v>
      </c>
    </row>
    <row r="398" spans="1:10" x14ac:dyDescent="0.3">
      <c r="A398">
        <v>396</v>
      </c>
      <c r="B398">
        <v>6292</v>
      </c>
      <c r="C398" t="b">
        <v>1</v>
      </c>
      <c r="D398">
        <v>8048</v>
      </c>
      <c r="E398">
        <v>8123</v>
      </c>
      <c r="F398">
        <v>8</v>
      </c>
      <c r="G398">
        <v>5.6</v>
      </c>
      <c r="H398">
        <v>1.4285715000000001</v>
      </c>
      <c r="I398">
        <v>-0.42857146000000002</v>
      </c>
      <c r="J398">
        <v>0.41176467999999999</v>
      </c>
    </row>
    <row r="399" spans="1:10" x14ac:dyDescent="0.3">
      <c r="A399">
        <v>397</v>
      </c>
      <c r="B399">
        <v>6308</v>
      </c>
      <c r="C399" t="b">
        <v>1</v>
      </c>
      <c r="D399">
        <v>8048</v>
      </c>
      <c r="E399">
        <v>8117</v>
      </c>
      <c r="F399">
        <v>8</v>
      </c>
      <c r="G399">
        <v>5.6</v>
      </c>
      <c r="H399">
        <v>1.4285715000000001</v>
      </c>
      <c r="I399">
        <v>-0.42857146000000002</v>
      </c>
      <c r="J399">
        <v>0.41176467999999999</v>
      </c>
    </row>
    <row r="400" spans="1:10" x14ac:dyDescent="0.3">
      <c r="A400">
        <v>398</v>
      </c>
      <c r="B400">
        <v>6324</v>
      </c>
      <c r="C400" t="b">
        <v>1</v>
      </c>
      <c r="D400">
        <v>8054</v>
      </c>
      <c r="E400">
        <v>8123</v>
      </c>
      <c r="F400">
        <v>8</v>
      </c>
      <c r="G400">
        <v>5.6</v>
      </c>
      <c r="H400">
        <v>1.4285715000000001</v>
      </c>
      <c r="I400">
        <v>-0.42857146000000002</v>
      </c>
      <c r="J400">
        <v>0.41176467999999999</v>
      </c>
    </row>
    <row r="401" spans="1:10" x14ac:dyDescent="0.3">
      <c r="A401">
        <v>399</v>
      </c>
      <c r="B401">
        <v>6339</v>
      </c>
      <c r="C401" t="b">
        <v>1</v>
      </c>
      <c r="D401">
        <v>8048</v>
      </c>
      <c r="E401">
        <v>8123</v>
      </c>
      <c r="F401">
        <v>8</v>
      </c>
      <c r="G401">
        <v>5.6</v>
      </c>
      <c r="H401">
        <v>1.4285715000000001</v>
      </c>
      <c r="I401">
        <v>-0.42857146000000002</v>
      </c>
      <c r="J401">
        <v>0.41176467999999999</v>
      </c>
    </row>
    <row r="402" spans="1:10" x14ac:dyDescent="0.3">
      <c r="A402">
        <v>400</v>
      </c>
      <c r="B402">
        <v>6355</v>
      </c>
      <c r="C402" t="b">
        <v>1</v>
      </c>
      <c r="D402">
        <v>8048</v>
      </c>
      <c r="E402">
        <v>8123</v>
      </c>
      <c r="F402">
        <v>8</v>
      </c>
      <c r="G402">
        <v>5.6</v>
      </c>
      <c r="H402">
        <v>1.4285715000000001</v>
      </c>
      <c r="I402">
        <v>-0.42857146000000002</v>
      </c>
      <c r="J402">
        <v>0.41176467999999999</v>
      </c>
    </row>
    <row r="403" spans="1:10" x14ac:dyDescent="0.3">
      <c r="A403">
        <v>401</v>
      </c>
      <c r="B403">
        <v>6371</v>
      </c>
      <c r="C403" t="b">
        <v>1</v>
      </c>
      <c r="D403">
        <v>8048</v>
      </c>
      <c r="E403">
        <v>8123</v>
      </c>
      <c r="F403">
        <v>8</v>
      </c>
      <c r="G403">
        <v>5.6</v>
      </c>
      <c r="H403">
        <v>1.4285715000000001</v>
      </c>
      <c r="I403">
        <v>-0.42857146000000002</v>
      </c>
      <c r="J403">
        <v>0.41176467999999999</v>
      </c>
    </row>
    <row r="404" spans="1:10" x14ac:dyDescent="0.3">
      <c r="A404">
        <v>402</v>
      </c>
      <c r="B404">
        <v>6387</v>
      </c>
      <c r="C404" t="b">
        <v>1</v>
      </c>
      <c r="D404">
        <v>8042</v>
      </c>
      <c r="E404">
        <v>8123</v>
      </c>
      <c r="F404">
        <v>8</v>
      </c>
      <c r="G404">
        <v>6</v>
      </c>
      <c r="H404">
        <v>1.3333333999999999</v>
      </c>
      <c r="I404">
        <v>-0.33333333999999998</v>
      </c>
      <c r="J404">
        <v>0.42857142999999998</v>
      </c>
    </row>
    <row r="405" spans="1:10" x14ac:dyDescent="0.3">
      <c r="A405">
        <v>403</v>
      </c>
      <c r="B405">
        <v>6403</v>
      </c>
      <c r="C405" t="b">
        <v>1</v>
      </c>
      <c r="D405">
        <v>8048</v>
      </c>
      <c r="E405">
        <v>8123</v>
      </c>
      <c r="F405">
        <v>8</v>
      </c>
      <c r="G405">
        <v>6.4</v>
      </c>
      <c r="H405">
        <v>1.25</v>
      </c>
      <c r="I405">
        <v>-0.24999999000000001</v>
      </c>
      <c r="J405">
        <v>0.44444447999999998</v>
      </c>
    </row>
    <row r="406" spans="1:10" x14ac:dyDescent="0.3">
      <c r="A406">
        <v>404</v>
      </c>
      <c r="B406">
        <v>6418</v>
      </c>
      <c r="C406" t="b">
        <v>1</v>
      </c>
      <c r="D406">
        <v>8048</v>
      </c>
      <c r="E406">
        <v>8123</v>
      </c>
      <c r="F406">
        <v>8</v>
      </c>
      <c r="G406">
        <v>6.8</v>
      </c>
      <c r="H406">
        <v>1.1764705</v>
      </c>
      <c r="I406">
        <v>-0.17647055</v>
      </c>
      <c r="J406">
        <v>0.45945944999999999</v>
      </c>
    </row>
    <row r="407" spans="1:10" x14ac:dyDescent="0.3">
      <c r="A407">
        <v>405</v>
      </c>
      <c r="B407">
        <v>6434</v>
      </c>
      <c r="C407" t="b">
        <v>1</v>
      </c>
      <c r="D407">
        <v>8048</v>
      </c>
      <c r="E407">
        <v>8123</v>
      </c>
      <c r="F407">
        <v>8</v>
      </c>
      <c r="G407">
        <v>7.2</v>
      </c>
      <c r="H407">
        <v>1.1111112000000001</v>
      </c>
      <c r="I407">
        <v>-0.11111114</v>
      </c>
      <c r="J407">
        <v>0.4736842</v>
      </c>
    </row>
    <row r="408" spans="1:10" x14ac:dyDescent="0.3">
      <c r="A408">
        <v>406</v>
      </c>
      <c r="B408">
        <v>6450</v>
      </c>
      <c r="C408" t="b">
        <v>1</v>
      </c>
      <c r="D408">
        <v>8048</v>
      </c>
      <c r="E408">
        <v>8123</v>
      </c>
      <c r="F408">
        <v>8</v>
      </c>
      <c r="G408">
        <v>7.6</v>
      </c>
      <c r="H408">
        <v>1.0526316</v>
      </c>
      <c r="I408">
        <v>-5.2631589999999999E-2</v>
      </c>
      <c r="J408">
        <v>0.48717946000000001</v>
      </c>
    </row>
    <row r="409" spans="1:10" x14ac:dyDescent="0.3">
      <c r="A409">
        <v>407</v>
      </c>
      <c r="B409">
        <v>6465</v>
      </c>
      <c r="C409" t="b">
        <v>1</v>
      </c>
      <c r="D409">
        <v>8048</v>
      </c>
      <c r="E409">
        <v>8123</v>
      </c>
      <c r="F409">
        <v>8</v>
      </c>
      <c r="G409">
        <v>8</v>
      </c>
      <c r="H409">
        <v>1</v>
      </c>
      <c r="I409">
        <v>0</v>
      </c>
      <c r="J409">
        <v>0.5</v>
      </c>
    </row>
    <row r="410" spans="1:10" x14ac:dyDescent="0.3">
      <c r="A410">
        <v>408</v>
      </c>
      <c r="B410">
        <v>6481</v>
      </c>
      <c r="C410" t="b">
        <v>1</v>
      </c>
      <c r="D410">
        <v>8054</v>
      </c>
      <c r="E410">
        <v>8129</v>
      </c>
      <c r="F410">
        <v>8</v>
      </c>
      <c r="G410">
        <v>8</v>
      </c>
      <c r="H410">
        <v>1</v>
      </c>
      <c r="I410">
        <v>0</v>
      </c>
      <c r="J410">
        <v>0.5</v>
      </c>
    </row>
    <row r="411" spans="1:10" x14ac:dyDescent="0.3">
      <c r="A411">
        <v>409</v>
      </c>
      <c r="B411">
        <v>6497</v>
      </c>
      <c r="C411" t="b">
        <v>1</v>
      </c>
      <c r="D411">
        <v>8054</v>
      </c>
      <c r="E411">
        <v>8123</v>
      </c>
      <c r="F411">
        <v>8</v>
      </c>
      <c r="G411">
        <v>8</v>
      </c>
      <c r="H411">
        <v>1</v>
      </c>
      <c r="I411">
        <v>0</v>
      </c>
      <c r="J411">
        <v>0.5</v>
      </c>
    </row>
    <row r="412" spans="1:10" x14ac:dyDescent="0.3">
      <c r="A412">
        <v>410</v>
      </c>
      <c r="B412">
        <v>6513</v>
      </c>
      <c r="C412" t="b">
        <v>1</v>
      </c>
      <c r="D412">
        <v>8054</v>
      </c>
      <c r="E412">
        <v>8123</v>
      </c>
      <c r="F412">
        <v>8.4</v>
      </c>
      <c r="G412">
        <v>8</v>
      </c>
      <c r="H412">
        <v>1.05</v>
      </c>
      <c r="I412">
        <v>-4.9999952E-2</v>
      </c>
      <c r="J412">
        <v>0.48780489999999999</v>
      </c>
    </row>
    <row r="413" spans="1:10" x14ac:dyDescent="0.3">
      <c r="A413">
        <v>411</v>
      </c>
      <c r="B413">
        <v>6529</v>
      </c>
      <c r="C413" t="b">
        <v>1</v>
      </c>
      <c r="D413">
        <v>8042</v>
      </c>
      <c r="E413">
        <v>8117</v>
      </c>
      <c r="F413">
        <v>8.8000000000000007</v>
      </c>
      <c r="G413">
        <v>8</v>
      </c>
      <c r="H413">
        <v>1.1000000000000001</v>
      </c>
      <c r="I413">
        <v>-0.10000002400000001</v>
      </c>
      <c r="J413">
        <v>0.47619050000000002</v>
      </c>
    </row>
    <row r="414" spans="1:10" x14ac:dyDescent="0.3">
      <c r="A414">
        <v>412</v>
      </c>
      <c r="B414">
        <v>6545</v>
      </c>
      <c r="C414" t="b">
        <v>1</v>
      </c>
      <c r="D414">
        <v>8048</v>
      </c>
      <c r="E414">
        <v>8117</v>
      </c>
      <c r="F414">
        <v>9.1999999999999993</v>
      </c>
      <c r="G414">
        <v>8</v>
      </c>
      <c r="H414">
        <v>1.1499999999999999</v>
      </c>
      <c r="I414">
        <v>-0.14999998</v>
      </c>
      <c r="J414">
        <v>0.46511626</v>
      </c>
    </row>
    <row r="415" spans="1:10" x14ac:dyDescent="0.3">
      <c r="A415">
        <v>413</v>
      </c>
      <c r="B415">
        <v>6560</v>
      </c>
      <c r="C415" t="b">
        <v>1</v>
      </c>
      <c r="D415">
        <v>8048</v>
      </c>
      <c r="E415">
        <v>8117</v>
      </c>
      <c r="F415">
        <v>9.1999999999999993</v>
      </c>
      <c r="G415">
        <v>7.6</v>
      </c>
      <c r="H415">
        <v>1.2105262999999999</v>
      </c>
      <c r="I415">
        <v>-0.2105263</v>
      </c>
      <c r="J415">
        <v>0.45238096</v>
      </c>
    </row>
    <row r="416" spans="1:10" x14ac:dyDescent="0.3">
      <c r="A416">
        <v>414</v>
      </c>
      <c r="B416">
        <v>6576</v>
      </c>
      <c r="C416" t="b">
        <v>1</v>
      </c>
      <c r="D416">
        <v>8048</v>
      </c>
      <c r="E416">
        <v>8117</v>
      </c>
      <c r="F416">
        <v>9.1999999999999993</v>
      </c>
      <c r="G416">
        <v>7.2</v>
      </c>
      <c r="H416">
        <v>1.2777778</v>
      </c>
      <c r="I416">
        <v>-0.27777780000000002</v>
      </c>
      <c r="J416">
        <v>0.43902439999999998</v>
      </c>
    </row>
    <row r="417" spans="1:10" x14ac:dyDescent="0.3">
      <c r="A417">
        <v>415</v>
      </c>
      <c r="B417">
        <v>6592</v>
      </c>
      <c r="C417" t="b">
        <v>1</v>
      </c>
      <c r="D417">
        <v>8048</v>
      </c>
      <c r="E417">
        <v>8123</v>
      </c>
      <c r="F417">
        <v>9.1999999999999993</v>
      </c>
      <c r="G417">
        <v>6.8</v>
      </c>
      <c r="H417">
        <v>1.3529412000000001</v>
      </c>
      <c r="I417">
        <v>-0.35294110000000001</v>
      </c>
      <c r="J417">
        <v>0.42499999999999999</v>
      </c>
    </row>
    <row r="418" spans="1:10" x14ac:dyDescent="0.3">
      <c r="A418">
        <v>416</v>
      </c>
      <c r="B418">
        <v>6607</v>
      </c>
      <c r="C418" t="b">
        <v>1</v>
      </c>
      <c r="D418">
        <v>8048</v>
      </c>
      <c r="E418">
        <v>8117</v>
      </c>
      <c r="F418">
        <v>9.1999999999999993</v>
      </c>
      <c r="G418">
        <v>6.4</v>
      </c>
      <c r="H418">
        <v>1.4375</v>
      </c>
      <c r="I418">
        <v>-0.43749993999999998</v>
      </c>
      <c r="J418">
        <v>0.41025642000000001</v>
      </c>
    </row>
    <row r="419" spans="1:10" x14ac:dyDescent="0.3">
      <c r="A419">
        <v>417</v>
      </c>
      <c r="B419">
        <v>6623</v>
      </c>
      <c r="C419" t="b">
        <v>1</v>
      </c>
      <c r="D419">
        <v>8048</v>
      </c>
      <c r="E419">
        <v>8123</v>
      </c>
      <c r="F419">
        <v>9.1999999999999993</v>
      </c>
      <c r="G419">
        <v>6</v>
      </c>
      <c r="H419">
        <v>1.5333333</v>
      </c>
      <c r="I419">
        <v>-0.53333330000000001</v>
      </c>
      <c r="J419">
        <v>0.39473686000000002</v>
      </c>
    </row>
    <row r="420" spans="1:10" x14ac:dyDescent="0.3">
      <c r="A420">
        <v>418</v>
      </c>
      <c r="B420">
        <v>6639</v>
      </c>
      <c r="C420" t="b">
        <v>1</v>
      </c>
      <c r="D420">
        <v>8042</v>
      </c>
      <c r="E420">
        <v>8123</v>
      </c>
      <c r="F420">
        <v>9.1999999999999993</v>
      </c>
      <c r="G420">
        <v>6</v>
      </c>
      <c r="H420">
        <v>1.5333333</v>
      </c>
      <c r="I420">
        <v>-0.53333330000000001</v>
      </c>
      <c r="J420">
        <v>0.39473686000000002</v>
      </c>
    </row>
    <row r="421" spans="1:10" x14ac:dyDescent="0.3">
      <c r="A421">
        <v>419</v>
      </c>
      <c r="B421">
        <v>6655</v>
      </c>
      <c r="C421" t="b">
        <v>1</v>
      </c>
      <c r="D421">
        <v>8048</v>
      </c>
      <c r="E421">
        <v>8123</v>
      </c>
      <c r="F421">
        <v>9.1999999999999993</v>
      </c>
      <c r="G421">
        <v>6</v>
      </c>
      <c r="H421">
        <v>1.5333333</v>
      </c>
      <c r="I421">
        <v>-0.53333330000000001</v>
      </c>
      <c r="J421">
        <v>0.39473686000000002</v>
      </c>
    </row>
    <row r="422" spans="1:10" x14ac:dyDescent="0.3">
      <c r="A422">
        <v>420</v>
      </c>
      <c r="B422">
        <v>6671</v>
      </c>
      <c r="C422" t="b">
        <v>1</v>
      </c>
      <c r="D422">
        <v>8048</v>
      </c>
      <c r="E422">
        <v>8123</v>
      </c>
      <c r="F422">
        <v>9.1999999999999993</v>
      </c>
      <c r="G422">
        <v>6</v>
      </c>
      <c r="H422">
        <v>1.5333333</v>
      </c>
      <c r="I422">
        <v>-0.53333330000000001</v>
      </c>
      <c r="J422">
        <v>0.39473686000000002</v>
      </c>
    </row>
    <row r="423" spans="1:10" x14ac:dyDescent="0.3">
      <c r="A423">
        <v>421</v>
      </c>
      <c r="B423">
        <v>6687</v>
      </c>
      <c r="C423" t="b">
        <v>1</v>
      </c>
      <c r="D423">
        <v>8048</v>
      </c>
      <c r="E423">
        <v>8123</v>
      </c>
      <c r="F423">
        <v>9.1999999999999993</v>
      </c>
      <c r="G423">
        <v>6</v>
      </c>
      <c r="H423">
        <v>1.5333333</v>
      </c>
      <c r="I423">
        <v>-0.53333330000000001</v>
      </c>
      <c r="J423">
        <v>0.39473686000000002</v>
      </c>
    </row>
    <row r="424" spans="1:10" x14ac:dyDescent="0.3">
      <c r="A424">
        <v>422</v>
      </c>
      <c r="B424">
        <v>6703</v>
      </c>
      <c r="C424" t="b">
        <v>1</v>
      </c>
      <c r="D424">
        <v>8048</v>
      </c>
      <c r="E424">
        <v>8123</v>
      </c>
      <c r="F424">
        <v>9.1999999999999993</v>
      </c>
      <c r="G424">
        <v>6</v>
      </c>
      <c r="H424">
        <v>1.5333333</v>
      </c>
      <c r="I424">
        <v>-0.53333330000000001</v>
      </c>
      <c r="J424">
        <v>0.39473686000000002</v>
      </c>
    </row>
    <row r="425" spans="1:10" x14ac:dyDescent="0.3">
      <c r="A425">
        <v>423</v>
      </c>
      <c r="B425">
        <v>6718</v>
      </c>
      <c r="C425" t="b">
        <v>1</v>
      </c>
      <c r="D425">
        <v>8048</v>
      </c>
      <c r="E425">
        <v>8123</v>
      </c>
      <c r="F425">
        <v>9.1999999999999993</v>
      </c>
      <c r="G425">
        <v>6</v>
      </c>
      <c r="H425">
        <v>1.5333333</v>
      </c>
      <c r="I425">
        <v>-0.53333330000000001</v>
      </c>
      <c r="J425">
        <v>0.39473686000000002</v>
      </c>
    </row>
    <row r="426" spans="1:10" x14ac:dyDescent="0.3">
      <c r="A426">
        <v>424</v>
      </c>
      <c r="B426">
        <v>6734</v>
      </c>
      <c r="C426" t="b">
        <v>1</v>
      </c>
      <c r="D426">
        <v>8048</v>
      </c>
      <c r="E426">
        <v>8117</v>
      </c>
      <c r="F426">
        <v>9.1999999999999993</v>
      </c>
      <c r="G426">
        <v>6</v>
      </c>
      <c r="H426">
        <v>1.5333333</v>
      </c>
      <c r="I426">
        <v>-0.53333330000000001</v>
      </c>
      <c r="J426">
        <v>0.39473686000000002</v>
      </c>
    </row>
    <row r="427" spans="1:10" x14ac:dyDescent="0.3">
      <c r="A427">
        <v>425</v>
      </c>
      <c r="B427">
        <v>6750</v>
      </c>
      <c r="C427" t="b">
        <v>1</v>
      </c>
      <c r="D427">
        <v>8048</v>
      </c>
      <c r="E427">
        <v>8123</v>
      </c>
      <c r="F427">
        <v>8.8000000000000007</v>
      </c>
      <c r="G427">
        <v>6</v>
      </c>
      <c r="H427">
        <v>1.4666667</v>
      </c>
      <c r="I427">
        <v>-0.46666669999999999</v>
      </c>
      <c r="J427">
        <v>0.40540540000000003</v>
      </c>
    </row>
    <row r="428" spans="1:10" x14ac:dyDescent="0.3">
      <c r="A428">
        <v>426</v>
      </c>
      <c r="B428">
        <v>6765</v>
      </c>
      <c r="C428" t="b">
        <v>1</v>
      </c>
      <c r="D428">
        <v>8048</v>
      </c>
      <c r="E428">
        <v>8117</v>
      </c>
      <c r="F428">
        <v>8.4</v>
      </c>
      <c r="G428">
        <v>6</v>
      </c>
      <c r="H428">
        <v>1.4</v>
      </c>
      <c r="I428">
        <v>-0.39999994999999999</v>
      </c>
      <c r="J428">
        <v>0.4166667</v>
      </c>
    </row>
    <row r="429" spans="1:10" x14ac:dyDescent="0.3">
      <c r="A429">
        <v>427</v>
      </c>
      <c r="B429">
        <v>6781</v>
      </c>
      <c r="C429" t="b">
        <v>1</v>
      </c>
      <c r="D429">
        <v>8048</v>
      </c>
      <c r="E429">
        <v>8123</v>
      </c>
      <c r="F429">
        <v>8</v>
      </c>
      <c r="G429">
        <v>6</v>
      </c>
      <c r="H429">
        <v>1.3333333999999999</v>
      </c>
      <c r="I429">
        <v>-0.33333333999999998</v>
      </c>
      <c r="J429">
        <v>0.42857142999999998</v>
      </c>
    </row>
    <row r="430" spans="1:10" x14ac:dyDescent="0.3">
      <c r="A430">
        <v>428</v>
      </c>
      <c r="B430">
        <v>6797</v>
      </c>
      <c r="C430" t="b">
        <v>1</v>
      </c>
      <c r="D430">
        <v>8048</v>
      </c>
      <c r="E430">
        <v>8123</v>
      </c>
      <c r="F430">
        <v>8</v>
      </c>
      <c r="G430">
        <v>6.4</v>
      </c>
      <c r="H430">
        <v>1.25</v>
      </c>
      <c r="I430">
        <v>-0.24999999000000001</v>
      </c>
      <c r="J430">
        <v>0.44444447999999998</v>
      </c>
    </row>
    <row r="431" spans="1:10" x14ac:dyDescent="0.3">
      <c r="A431">
        <v>429</v>
      </c>
      <c r="B431">
        <v>6813</v>
      </c>
      <c r="C431" t="b">
        <v>1</v>
      </c>
      <c r="D431">
        <v>8054</v>
      </c>
      <c r="E431">
        <v>8117</v>
      </c>
      <c r="F431">
        <v>8</v>
      </c>
      <c r="G431">
        <v>6.8</v>
      </c>
      <c r="H431">
        <v>1.1764705</v>
      </c>
      <c r="I431">
        <v>-0.17647055</v>
      </c>
      <c r="J431">
        <v>0.45945944999999999</v>
      </c>
    </row>
    <row r="432" spans="1:10" x14ac:dyDescent="0.3">
      <c r="A432">
        <v>430</v>
      </c>
      <c r="B432">
        <v>6829</v>
      </c>
      <c r="C432" t="b">
        <v>1</v>
      </c>
      <c r="D432">
        <v>8048</v>
      </c>
      <c r="E432">
        <v>8117</v>
      </c>
      <c r="F432">
        <v>8</v>
      </c>
      <c r="G432">
        <v>6.8</v>
      </c>
      <c r="H432">
        <v>1.1764705</v>
      </c>
      <c r="I432">
        <v>-0.17647055</v>
      </c>
      <c r="J432">
        <v>0.45945944999999999</v>
      </c>
    </row>
    <row r="433" spans="1:10" x14ac:dyDescent="0.3">
      <c r="A433">
        <v>431</v>
      </c>
      <c r="B433">
        <v>6844</v>
      </c>
      <c r="C433" t="b">
        <v>1</v>
      </c>
      <c r="D433">
        <v>8048</v>
      </c>
      <c r="E433">
        <v>8117</v>
      </c>
      <c r="F433">
        <v>8</v>
      </c>
      <c r="G433">
        <v>6.8</v>
      </c>
      <c r="H433">
        <v>1.1764705</v>
      </c>
      <c r="I433">
        <v>-0.17647055</v>
      </c>
      <c r="J433">
        <v>0.45945944999999999</v>
      </c>
    </row>
    <row r="434" spans="1:10" x14ac:dyDescent="0.3">
      <c r="A434">
        <v>432</v>
      </c>
      <c r="B434">
        <v>6861</v>
      </c>
      <c r="C434" t="b">
        <v>1</v>
      </c>
      <c r="D434">
        <v>8048</v>
      </c>
      <c r="E434">
        <v>8123</v>
      </c>
      <c r="F434">
        <v>8</v>
      </c>
      <c r="G434">
        <v>6.8</v>
      </c>
      <c r="H434">
        <v>1.1764705</v>
      </c>
      <c r="I434">
        <v>-0.17647055</v>
      </c>
      <c r="J434">
        <v>0.45945944999999999</v>
      </c>
    </row>
    <row r="435" spans="1:10" x14ac:dyDescent="0.3">
      <c r="A435">
        <v>433</v>
      </c>
      <c r="B435">
        <v>6876</v>
      </c>
      <c r="C435" t="b">
        <v>1</v>
      </c>
      <c r="D435">
        <v>8048</v>
      </c>
      <c r="E435">
        <v>8117</v>
      </c>
      <c r="F435">
        <v>8</v>
      </c>
      <c r="G435">
        <v>6.4</v>
      </c>
      <c r="H435">
        <v>1.25</v>
      </c>
      <c r="I435">
        <v>-0.24999999000000001</v>
      </c>
      <c r="J435">
        <v>0.44444447999999998</v>
      </c>
    </row>
    <row r="436" spans="1:10" x14ac:dyDescent="0.3">
      <c r="A436">
        <v>434</v>
      </c>
      <c r="B436">
        <v>6892</v>
      </c>
      <c r="C436" t="b">
        <v>1</v>
      </c>
      <c r="D436">
        <v>8048</v>
      </c>
      <c r="E436">
        <v>8117</v>
      </c>
      <c r="F436">
        <v>8</v>
      </c>
      <c r="G436">
        <v>6</v>
      </c>
      <c r="H436">
        <v>1.3333333999999999</v>
      </c>
      <c r="I436">
        <v>-0.33333333999999998</v>
      </c>
      <c r="J436">
        <v>0.42857142999999998</v>
      </c>
    </row>
    <row r="437" spans="1:10" x14ac:dyDescent="0.3">
      <c r="A437">
        <v>435</v>
      </c>
      <c r="B437">
        <v>6907</v>
      </c>
      <c r="C437" t="b">
        <v>1</v>
      </c>
      <c r="D437">
        <v>8048</v>
      </c>
      <c r="E437">
        <v>8117</v>
      </c>
      <c r="F437">
        <v>8</v>
      </c>
      <c r="G437">
        <v>5.6</v>
      </c>
      <c r="H437">
        <v>1.4285715000000001</v>
      </c>
      <c r="I437">
        <v>-0.42857146000000002</v>
      </c>
      <c r="J437">
        <v>0.41176467999999999</v>
      </c>
    </row>
    <row r="438" spans="1:10" x14ac:dyDescent="0.3">
      <c r="A438">
        <v>436</v>
      </c>
      <c r="B438">
        <v>6924</v>
      </c>
      <c r="C438" t="b">
        <v>1</v>
      </c>
      <c r="D438">
        <v>8054</v>
      </c>
      <c r="E438">
        <v>8117</v>
      </c>
      <c r="F438">
        <v>8</v>
      </c>
      <c r="G438">
        <v>5.2</v>
      </c>
      <c r="H438">
        <v>1.5384616</v>
      </c>
      <c r="I438">
        <v>-0.53846156999999994</v>
      </c>
      <c r="J438">
        <v>0.39393938000000001</v>
      </c>
    </row>
    <row r="439" spans="1:10" x14ac:dyDescent="0.3">
      <c r="A439">
        <v>437</v>
      </c>
      <c r="B439">
        <v>6940</v>
      </c>
      <c r="C439" t="b">
        <v>1</v>
      </c>
      <c r="D439">
        <v>8048</v>
      </c>
      <c r="E439">
        <v>8117</v>
      </c>
      <c r="F439">
        <v>8</v>
      </c>
      <c r="G439">
        <v>4.8</v>
      </c>
      <c r="H439">
        <v>1.6666666000000001</v>
      </c>
      <c r="I439">
        <v>-0.6666666</v>
      </c>
      <c r="J439">
        <v>0.375</v>
      </c>
    </row>
    <row r="440" spans="1:10" x14ac:dyDescent="0.3">
      <c r="A440">
        <v>438</v>
      </c>
      <c r="B440">
        <v>6955</v>
      </c>
      <c r="C440" t="b">
        <v>1</v>
      </c>
      <c r="D440">
        <v>8048</v>
      </c>
      <c r="E440">
        <v>8111</v>
      </c>
      <c r="F440">
        <v>8</v>
      </c>
      <c r="G440">
        <v>4.4000000000000004</v>
      </c>
      <c r="H440">
        <v>1.8181818000000001</v>
      </c>
      <c r="I440">
        <v>-0.81818175000000004</v>
      </c>
      <c r="J440">
        <v>0.35483872999999999</v>
      </c>
    </row>
    <row r="441" spans="1:10" x14ac:dyDescent="0.3">
      <c r="A441">
        <v>439</v>
      </c>
      <c r="B441">
        <v>6971</v>
      </c>
      <c r="C441" t="b">
        <v>1</v>
      </c>
      <c r="D441">
        <v>8048</v>
      </c>
      <c r="E441">
        <v>8123</v>
      </c>
      <c r="F441">
        <v>8</v>
      </c>
      <c r="G441">
        <v>4</v>
      </c>
      <c r="H441">
        <v>2</v>
      </c>
      <c r="I441">
        <v>-1</v>
      </c>
      <c r="J441">
        <v>0.33333333999999998</v>
      </c>
    </row>
    <row r="442" spans="1:10" x14ac:dyDescent="0.3">
      <c r="A442">
        <v>440</v>
      </c>
      <c r="B442">
        <v>6987</v>
      </c>
      <c r="C442" t="b">
        <v>1</v>
      </c>
      <c r="D442">
        <v>8048</v>
      </c>
      <c r="E442">
        <v>8117</v>
      </c>
      <c r="F442">
        <v>8</v>
      </c>
      <c r="G442">
        <v>3.6</v>
      </c>
      <c r="H442">
        <v>2.2222222999999999</v>
      </c>
      <c r="I442">
        <v>-1.2222223000000001</v>
      </c>
      <c r="J442">
        <v>0.31034482000000002</v>
      </c>
    </row>
    <row r="443" spans="1:10" x14ac:dyDescent="0.3">
      <c r="A443">
        <v>441</v>
      </c>
      <c r="B443">
        <v>7003</v>
      </c>
      <c r="C443" t="b">
        <v>1</v>
      </c>
      <c r="D443">
        <v>8048</v>
      </c>
      <c r="E443">
        <v>8117</v>
      </c>
      <c r="F443">
        <v>8</v>
      </c>
      <c r="G443">
        <v>3.2</v>
      </c>
      <c r="H443">
        <v>2.5</v>
      </c>
      <c r="I443">
        <v>-1.5</v>
      </c>
      <c r="J443">
        <v>0.28571429999999998</v>
      </c>
    </row>
    <row r="444" spans="1:10" x14ac:dyDescent="0.3">
      <c r="A444">
        <v>442</v>
      </c>
      <c r="B444">
        <v>7019</v>
      </c>
      <c r="C444" t="b">
        <v>1</v>
      </c>
      <c r="D444">
        <v>8048</v>
      </c>
      <c r="E444">
        <v>8117</v>
      </c>
      <c r="F444">
        <v>8</v>
      </c>
      <c r="G444">
        <v>2.8</v>
      </c>
      <c r="H444">
        <v>2.8571430000000002</v>
      </c>
      <c r="I444">
        <v>-1.8571428000000001</v>
      </c>
      <c r="J444">
        <v>0.25925925</v>
      </c>
    </row>
    <row r="445" spans="1:10" x14ac:dyDescent="0.3">
      <c r="A445">
        <v>443</v>
      </c>
      <c r="B445">
        <v>7035</v>
      </c>
      <c r="C445" t="b">
        <v>1</v>
      </c>
      <c r="D445">
        <v>8048</v>
      </c>
      <c r="E445">
        <v>8117</v>
      </c>
      <c r="F445">
        <v>8</v>
      </c>
      <c r="G445">
        <v>2.4</v>
      </c>
      <c r="H445">
        <v>3.3333333000000001</v>
      </c>
      <c r="I445">
        <v>-2.3333333000000001</v>
      </c>
      <c r="J445">
        <v>0.23076925000000001</v>
      </c>
    </row>
    <row r="446" spans="1:10" x14ac:dyDescent="0.3">
      <c r="A446">
        <v>444</v>
      </c>
      <c r="B446">
        <v>7051</v>
      </c>
      <c r="C446" t="b">
        <v>1</v>
      </c>
      <c r="D446">
        <v>8060</v>
      </c>
      <c r="E446">
        <v>8117</v>
      </c>
      <c r="F446">
        <v>8</v>
      </c>
      <c r="G446">
        <v>2</v>
      </c>
      <c r="H446">
        <v>4</v>
      </c>
      <c r="I446">
        <v>-3</v>
      </c>
      <c r="J446">
        <v>0.2</v>
      </c>
    </row>
    <row r="447" spans="1:10" x14ac:dyDescent="0.3">
      <c r="A447">
        <v>445</v>
      </c>
      <c r="B447">
        <v>7067</v>
      </c>
      <c r="C447" t="b">
        <v>1</v>
      </c>
      <c r="D447">
        <v>8060</v>
      </c>
      <c r="E447">
        <v>8117</v>
      </c>
      <c r="F447">
        <v>8</v>
      </c>
      <c r="G447">
        <v>2</v>
      </c>
      <c r="H447">
        <v>4</v>
      </c>
      <c r="I447">
        <v>-3</v>
      </c>
      <c r="J447">
        <v>0.2</v>
      </c>
    </row>
    <row r="448" spans="1:10" x14ac:dyDescent="0.3">
      <c r="A448">
        <v>446</v>
      </c>
      <c r="B448">
        <v>7083</v>
      </c>
      <c r="C448" t="b">
        <v>1</v>
      </c>
      <c r="D448">
        <v>8054</v>
      </c>
      <c r="E448">
        <v>8117</v>
      </c>
      <c r="F448">
        <v>8.4</v>
      </c>
      <c r="G448">
        <v>2</v>
      </c>
      <c r="H448">
        <v>4.2</v>
      </c>
      <c r="I448">
        <v>-3.1999998000000001</v>
      </c>
      <c r="J448">
        <v>0.1923077</v>
      </c>
    </row>
    <row r="449" spans="1:10" x14ac:dyDescent="0.3">
      <c r="A449">
        <v>447</v>
      </c>
      <c r="B449">
        <v>7099</v>
      </c>
      <c r="C449" t="b">
        <v>1</v>
      </c>
      <c r="D449">
        <v>8054</v>
      </c>
      <c r="E449">
        <v>8123</v>
      </c>
      <c r="F449">
        <v>8.8000000000000007</v>
      </c>
      <c r="G449">
        <v>2</v>
      </c>
      <c r="H449">
        <v>4.4000000000000004</v>
      </c>
      <c r="I449">
        <v>-3.4</v>
      </c>
      <c r="J449">
        <v>0.18518518</v>
      </c>
    </row>
    <row r="450" spans="1:10" x14ac:dyDescent="0.3">
      <c r="A450">
        <v>448</v>
      </c>
      <c r="B450">
        <v>7115</v>
      </c>
      <c r="C450" t="b">
        <v>1</v>
      </c>
      <c r="D450">
        <v>8054</v>
      </c>
      <c r="E450">
        <v>8123</v>
      </c>
      <c r="F450">
        <v>9.1999999999999993</v>
      </c>
      <c r="G450">
        <v>2</v>
      </c>
      <c r="H450">
        <v>4.5999999999999996</v>
      </c>
      <c r="I450">
        <v>-3.6</v>
      </c>
      <c r="J450">
        <v>0.17857143</v>
      </c>
    </row>
    <row r="451" spans="1:10" x14ac:dyDescent="0.3">
      <c r="A451">
        <v>449</v>
      </c>
      <c r="B451">
        <v>7131</v>
      </c>
      <c r="C451" t="b">
        <v>1</v>
      </c>
      <c r="D451">
        <v>8054</v>
      </c>
      <c r="E451">
        <v>8123</v>
      </c>
      <c r="F451">
        <v>9.6</v>
      </c>
      <c r="G451">
        <v>2.4</v>
      </c>
      <c r="H451">
        <v>4</v>
      </c>
      <c r="I451">
        <v>-3</v>
      </c>
      <c r="J451">
        <v>0.2</v>
      </c>
    </row>
    <row r="452" spans="1:10" x14ac:dyDescent="0.3">
      <c r="A452">
        <v>450</v>
      </c>
      <c r="B452">
        <v>7147</v>
      </c>
      <c r="C452" t="b">
        <v>1</v>
      </c>
      <c r="D452">
        <v>8048</v>
      </c>
      <c r="E452">
        <v>8123</v>
      </c>
      <c r="F452">
        <v>10</v>
      </c>
      <c r="G452">
        <v>2.8</v>
      </c>
      <c r="H452">
        <v>3.5714285000000001</v>
      </c>
      <c r="I452">
        <v>-2.5714285000000001</v>
      </c>
      <c r="J452">
        <v>0.21875</v>
      </c>
    </row>
    <row r="453" spans="1:10" x14ac:dyDescent="0.3">
      <c r="A453">
        <v>451</v>
      </c>
      <c r="B453">
        <v>7162</v>
      </c>
      <c r="C453" t="b">
        <v>1</v>
      </c>
      <c r="D453">
        <v>8048</v>
      </c>
      <c r="E453">
        <v>8123</v>
      </c>
      <c r="F453">
        <v>10.4</v>
      </c>
      <c r="G453">
        <v>3.2</v>
      </c>
      <c r="H453">
        <v>3.2499997999999999</v>
      </c>
      <c r="I453">
        <v>-2.25</v>
      </c>
      <c r="J453">
        <v>0.23529412999999999</v>
      </c>
    </row>
    <row r="454" spans="1:10" x14ac:dyDescent="0.3">
      <c r="A454">
        <v>452</v>
      </c>
      <c r="B454">
        <v>7178</v>
      </c>
      <c r="C454" t="b">
        <v>1</v>
      </c>
      <c r="D454">
        <v>8048</v>
      </c>
      <c r="E454">
        <v>8123</v>
      </c>
      <c r="F454">
        <v>10.4</v>
      </c>
      <c r="G454">
        <v>3.6</v>
      </c>
      <c r="H454">
        <v>2.8888888000000001</v>
      </c>
      <c r="I454">
        <v>-1.8888887999999999</v>
      </c>
      <c r="J454">
        <v>0.25714283999999998</v>
      </c>
    </row>
    <row r="455" spans="1:10" x14ac:dyDescent="0.3">
      <c r="A455">
        <v>453</v>
      </c>
      <c r="B455">
        <v>7194</v>
      </c>
      <c r="C455" t="b">
        <v>1</v>
      </c>
      <c r="D455">
        <v>8048</v>
      </c>
      <c r="E455">
        <v>8123</v>
      </c>
      <c r="F455">
        <v>10.4</v>
      </c>
      <c r="G455">
        <v>4</v>
      </c>
      <c r="H455">
        <v>2.6</v>
      </c>
      <c r="I455">
        <v>-1.5999999</v>
      </c>
      <c r="J455">
        <v>0.27777780000000002</v>
      </c>
    </row>
    <row r="456" spans="1:10" x14ac:dyDescent="0.3">
      <c r="A456">
        <v>454</v>
      </c>
      <c r="B456">
        <v>7210</v>
      </c>
      <c r="C456" t="b">
        <v>1</v>
      </c>
      <c r="D456">
        <v>8048</v>
      </c>
      <c r="E456">
        <v>8123</v>
      </c>
      <c r="F456">
        <v>10.4</v>
      </c>
      <c r="G456">
        <v>4.4000000000000004</v>
      </c>
      <c r="H456">
        <v>2.3636363</v>
      </c>
      <c r="I456">
        <v>-1.3636363</v>
      </c>
      <c r="J456">
        <v>0.29729733000000003</v>
      </c>
    </row>
    <row r="457" spans="1:10" x14ac:dyDescent="0.3">
      <c r="A457">
        <v>455</v>
      </c>
      <c r="B457">
        <v>7226</v>
      </c>
      <c r="C457" t="b">
        <v>1</v>
      </c>
      <c r="D457">
        <v>8048</v>
      </c>
      <c r="E457">
        <v>8123</v>
      </c>
      <c r="F457">
        <v>10.4</v>
      </c>
      <c r="G457">
        <v>4.8</v>
      </c>
      <c r="H457">
        <v>2.1666664999999998</v>
      </c>
      <c r="I457">
        <v>-1.1666665000000001</v>
      </c>
      <c r="J457">
        <v>0.3157895</v>
      </c>
    </row>
    <row r="458" spans="1:10" x14ac:dyDescent="0.3">
      <c r="A458">
        <v>456</v>
      </c>
      <c r="B458">
        <v>7242</v>
      </c>
      <c r="C458" t="b">
        <v>1</v>
      </c>
      <c r="D458">
        <v>8048</v>
      </c>
      <c r="E458">
        <v>8123</v>
      </c>
      <c r="F458">
        <v>10.4</v>
      </c>
      <c r="G458">
        <v>5.2</v>
      </c>
      <c r="H458">
        <v>2</v>
      </c>
      <c r="I458">
        <v>-1</v>
      </c>
      <c r="J458">
        <v>0.33333333999999998</v>
      </c>
    </row>
    <row r="459" spans="1:10" x14ac:dyDescent="0.3">
      <c r="A459">
        <v>457</v>
      </c>
      <c r="B459">
        <v>7258</v>
      </c>
      <c r="C459" t="b">
        <v>1</v>
      </c>
      <c r="D459">
        <v>8048</v>
      </c>
      <c r="E459">
        <v>8129</v>
      </c>
      <c r="F459">
        <v>10.4</v>
      </c>
      <c r="G459">
        <v>5.6</v>
      </c>
      <c r="H459">
        <v>1.8571428000000001</v>
      </c>
      <c r="I459">
        <v>-0.85714279999999998</v>
      </c>
      <c r="J459">
        <v>0.35</v>
      </c>
    </row>
    <row r="460" spans="1:10" x14ac:dyDescent="0.3">
      <c r="A460">
        <v>458</v>
      </c>
      <c r="B460">
        <v>7273</v>
      </c>
      <c r="C460" t="b">
        <v>1</v>
      </c>
      <c r="D460">
        <v>8048</v>
      </c>
      <c r="E460">
        <v>8123</v>
      </c>
      <c r="F460">
        <v>10.4</v>
      </c>
      <c r="G460">
        <v>6</v>
      </c>
      <c r="H460">
        <v>1.7333331999999999</v>
      </c>
      <c r="I460">
        <v>-0.73333329999999997</v>
      </c>
      <c r="J460">
        <v>0.36585367000000002</v>
      </c>
    </row>
    <row r="461" spans="1:10" x14ac:dyDescent="0.3">
      <c r="A461">
        <v>459</v>
      </c>
      <c r="B461">
        <v>7289</v>
      </c>
      <c r="C461" t="b">
        <v>1</v>
      </c>
      <c r="D461">
        <v>8048</v>
      </c>
      <c r="E461">
        <v>8123</v>
      </c>
      <c r="F461">
        <v>10.4</v>
      </c>
      <c r="G461">
        <v>6.4</v>
      </c>
      <c r="H461">
        <v>1.6249998999999999</v>
      </c>
      <c r="I461">
        <v>-0.62499994000000003</v>
      </c>
      <c r="J461">
        <v>0.38095242000000001</v>
      </c>
    </row>
    <row r="462" spans="1:10" x14ac:dyDescent="0.3">
      <c r="A462">
        <v>460</v>
      </c>
      <c r="B462">
        <v>7305</v>
      </c>
      <c r="C462" t="b">
        <v>1</v>
      </c>
      <c r="D462">
        <v>8048</v>
      </c>
      <c r="E462">
        <v>8129</v>
      </c>
      <c r="F462">
        <v>10.4</v>
      </c>
      <c r="G462">
        <v>6.8</v>
      </c>
      <c r="H462">
        <v>1.5294117</v>
      </c>
      <c r="I462">
        <v>-0.52941170000000004</v>
      </c>
      <c r="J462">
        <v>0.39534881999999999</v>
      </c>
    </row>
    <row r="463" spans="1:10" x14ac:dyDescent="0.3">
      <c r="A463">
        <v>461</v>
      </c>
      <c r="B463">
        <v>7321</v>
      </c>
      <c r="C463" t="b">
        <v>1</v>
      </c>
      <c r="D463">
        <v>8054</v>
      </c>
      <c r="E463">
        <v>8123</v>
      </c>
      <c r="F463">
        <v>10</v>
      </c>
      <c r="G463">
        <v>7.2</v>
      </c>
      <c r="H463">
        <v>1.388889</v>
      </c>
      <c r="I463">
        <v>-0.38888893000000002</v>
      </c>
      <c r="J463">
        <v>0.41860459999999999</v>
      </c>
    </row>
    <row r="464" spans="1:10" x14ac:dyDescent="0.3">
      <c r="A464">
        <v>462</v>
      </c>
      <c r="B464">
        <v>7337</v>
      </c>
      <c r="C464" t="b">
        <v>1</v>
      </c>
      <c r="D464">
        <v>8054</v>
      </c>
      <c r="E464">
        <v>8123</v>
      </c>
      <c r="F464">
        <v>9.6</v>
      </c>
      <c r="G464">
        <v>7.6</v>
      </c>
      <c r="H464">
        <v>1.263158</v>
      </c>
      <c r="I464">
        <v>-0.26315796000000002</v>
      </c>
      <c r="J464">
        <v>0.44186044000000002</v>
      </c>
    </row>
    <row r="465" spans="1:10" x14ac:dyDescent="0.3">
      <c r="A465">
        <v>463</v>
      </c>
      <c r="B465">
        <v>7353</v>
      </c>
      <c r="C465" t="b">
        <v>1</v>
      </c>
      <c r="D465">
        <v>8048</v>
      </c>
      <c r="E465">
        <v>8123</v>
      </c>
      <c r="F465">
        <v>9.1999999999999993</v>
      </c>
      <c r="G465">
        <v>8</v>
      </c>
      <c r="H465">
        <v>1.1499999999999999</v>
      </c>
      <c r="I465">
        <v>-0.14999998</v>
      </c>
      <c r="J465">
        <v>0.46511626</v>
      </c>
    </row>
    <row r="466" spans="1:10" x14ac:dyDescent="0.3">
      <c r="A466">
        <v>464</v>
      </c>
      <c r="B466">
        <v>7369</v>
      </c>
      <c r="C466" t="b">
        <v>1</v>
      </c>
      <c r="D466">
        <v>8042</v>
      </c>
      <c r="E466">
        <v>8123</v>
      </c>
      <c r="F466">
        <v>8.8000000000000007</v>
      </c>
      <c r="G466">
        <v>8</v>
      </c>
      <c r="H466">
        <v>1.1000000000000001</v>
      </c>
      <c r="I466">
        <v>-0.10000002400000001</v>
      </c>
      <c r="J466">
        <v>0.47619050000000002</v>
      </c>
    </row>
    <row r="467" spans="1:10" x14ac:dyDescent="0.3">
      <c r="A467">
        <v>465</v>
      </c>
      <c r="B467">
        <v>7385</v>
      </c>
      <c r="C467" t="b">
        <v>1</v>
      </c>
      <c r="D467">
        <v>8048</v>
      </c>
      <c r="E467">
        <v>8123</v>
      </c>
      <c r="F467">
        <v>8.4</v>
      </c>
      <c r="G467">
        <v>8</v>
      </c>
      <c r="H467">
        <v>1.05</v>
      </c>
      <c r="I467">
        <v>-4.9999952E-2</v>
      </c>
      <c r="J467">
        <v>0.48780489999999999</v>
      </c>
    </row>
    <row r="468" spans="1:10" x14ac:dyDescent="0.3">
      <c r="A468">
        <v>466</v>
      </c>
      <c r="B468">
        <v>7401</v>
      </c>
      <c r="C468" t="b">
        <v>1</v>
      </c>
      <c r="D468">
        <v>8048</v>
      </c>
      <c r="E468">
        <v>8129</v>
      </c>
      <c r="F468">
        <v>8</v>
      </c>
      <c r="G468">
        <v>8</v>
      </c>
      <c r="H468">
        <v>1</v>
      </c>
      <c r="I468">
        <v>0</v>
      </c>
      <c r="J468">
        <v>0.5</v>
      </c>
    </row>
    <row r="469" spans="1:10" x14ac:dyDescent="0.3">
      <c r="A469">
        <v>467</v>
      </c>
      <c r="B469">
        <v>7417</v>
      </c>
      <c r="C469" t="b">
        <v>1</v>
      </c>
      <c r="D469">
        <v>8048</v>
      </c>
      <c r="E469">
        <v>8123</v>
      </c>
      <c r="F469">
        <v>8</v>
      </c>
      <c r="G469">
        <v>8</v>
      </c>
      <c r="H469">
        <v>1</v>
      </c>
      <c r="I469">
        <v>0</v>
      </c>
      <c r="J469">
        <v>0.5</v>
      </c>
    </row>
    <row r="470" spans="1:10" x14ac:dyDescent="0.3">
      <c r="A470">
        <v>468</v>
      </c>
      <c r="B470">
        <v>7433</v>
      </c>
      <c r="C470" t="b">
        <v>1</v>
      </c>
      <c r="D470">
        <v>8048</v>
      </c>
      <c r="E470">
        <v>8123</v>
      </c>
      <c r="F470">
        <v>8</v>
      </c>
      <c r="G470">
        <v>8</v>
      </c>
      <c r="H470">
        <v>1</v>
      </c>
      <c r="I470">
        <v>0</v>
      </c>
      <c r="J470">
        <v>0.5</v>
      </c>
    </row>
    <row r="471" spans="1:10" x14ac:dyDescent="0.3">
      <c r="A471">
        <v>469</v>
      </c>
      <c r="B471">
        <v>7449</v>
      </c>
      <c r="C471" t="b">
        <v>1</v>
      </c>
      <c r="D471">
        <v>8048</v>
      </c>
      <c r="E471">
        <v>8123</v>
      </c>
      <c r="F471">
        <v>8</v>
      </c>
      <c r="G471">
        <v>8</v>
      </c>
      <c r="H471">
        <v>1</v>
      </c>
      <c r="I471">
        <v>0</v>
      </c>
      <c r="J471">
        <v>0.5</v>
      </c>
    </row>
    <row r="472" spans="1:10" x14ac:dyDescent="0.3">
      <c r="A472">
        <v>470</v>
      </c>
      <c r="B472">
        <v>7464</v>
      </c>
      <c r="C472" t="b">
        <v>1</v>
      </c>
      <c r="D472">
        <v>8048</v>
      </c>
      <c r="E472">
        <v>8123</v>
      </c>
      <c r="F472">
        <v>8</v>
      </c>
      <c r="G472">
        <v>8</v>
      </c>
      <c r="H472">
        <v>1</v>
      </c>
      <c r="I472">
        <v>0</v>
      </c>
      <c r="J472">
        <v>0.5</v>
      </c>
    </row>
    <row r="473" spans="1:10" x14ac:dyDescent="0.3">
      <c r="A473">
        <v>471</v>
      </c>
      <c r="B473">
        <v>7480</v>
      </c>
      <c r="C473" t="b">
        <v>1</v>
      </c>
      <c r="D473">
        <v>8048</v>
      </c>
      <c r="E473">
        <v>8123</v>
      </c>
      <c r="F473">
        <v>8</v>
      </c>
      <c r="G473">
        <v>8</v>
      </c>
      <c r="H473">
        <v>1</v>
      </c>
      <c r="I473">
        <v>0</v>
      </c>
      <c r="J473">
        <v>0.5</v>
      </c>
    </row>
    <row r="474" spans="1:10" x14ac:dyDescent="0.3">
      <c r="A474">
        <v>472</v>
      </c>
      <c r="B474">
        <v>7496</v>
      </c>
      <c r="C474" t="b">
        <v>1</v>
      </c>
      <c r="D474">
        <v>8042</v>
      </c>
      <c r="E474">
        <v>8123</v>
      </c>
      <c r="F474">
        <v>8</v>
      </c>
      <c r="G474">
        <v>8</v>
      </c>
      <c r="H474">
        <v>1</v>
      </c>
      <c r="I474">
        <v>0</v>
      </c>
      <c r="J474">
        <v>0.5</v>
      </c>
    </row>
    <row r="475" spans="1:10" x14ac:dyDescent="0.3">
      <c r="A475">
        <v>473</v>
      </c>
      <c r="B475">
        <v>7512</v>
      </c>
      <c r="C475" t="b">
        <v>1</v>
      </c>
      <c r="D475">
        <v>8048</v>
      </c>
      <c r="E475">
        <v>8123</v>
      </c>
      <c r="F475">
        <v>8</v>
      </c>
      <c r="G475">
        <v>8</v>
      </c>
      <c r="H475">
        <v>1</v>
      </c>
      <c r="I475">
        <v>0</v>
      </c>
      <c r="J475">
        <v>0.5</v>
      </c>
    </row>
    <row r="476" spans="1:10" x14ac:dyDescent="0.3">
      <c r="A476">
        <v>474</v>
      </c>
      <c r="B476">
        <v>7528</v>
      </c>
      <c r="C476" t="b">
        <v>1</v>
      </c>
      <c r="D476">
        <v>8048</v>
      </c>
      <c r="E476">
        <v>8123</v>
      </c>
      <c r="F476">
        <v>8</v>
      </c>
      <c r="G476">
        <v>8</v>
      </c>
      <c r="H476">
        <v>1</v>
      </c>
      <c r="I476">
        <v>0</v>
      </c>
      <c r="J476">
        <v>0.5</v>
      </c>
    </row>
    <row r="477" spans="1:10" x14ac:dyDescent="0.3">
      <c r="A477">
        <v>475</v>
      </c>
      <c r="B477">
        <v>7544</v>
      </c>
      <c r="C477" t="b">
        <v>1</v>
      </c>
      <c r="D477">
        <v>8054</v>
      </c>
      <c r="E477">
        <v>8123</v>
      </c>
      <c r="F477">
        <v>8</v>
      </c>
      <c r="G477">
        <v>8</v>
      </c>
      <c r="H477">
        <v>1</v>
      </c>
      <c r="I477">
        <v>0</v>
      </c>
      <c r="J477">
        <v>0.5</v>
      </c>
    </row>
    <row r="478" spans="1:10" x14ac:dyDescent="0.3">
      <c r="A478">
        <v>476</v>
      </c>
      <c r="B478">
        <v>7560</v>
      </c>
      <c r="C478" t="b">
        <v>1</v>
      </c>
      <c r="D478">
        <v>8042</v>
      </c>
      <c r="E478">
        <v>8123</v>
      </c>
      <c r="F478">
        <v>8</v>
      </c>
      <c r="G478">
        <v>8</v>
      </c>
      <c r="H478">
        <v>1</v>
      </c>
      <c r="I478">
        <v>0</v>
      </c>
      <c r="J478">
        <v>0.5</v>
      </c>
    </row>
    <row r="479" spans="1:10" x14ac:dyDescent="0.3">
      <c r="A479">
        <v>477</v>
      </c>
      <c r="B479">
        <v>7576</v>
      </c>
      <c r="C479" t="b">
        <v>1</v>
      </c>
      <c r="D479">
        <v>8042</v>
      </c>
      <c r="E479">
        <v>8123</v>
      </c>
      <c r="F479">
        <v>8</v>
      </c>
      <c r="G479">
        <v>8</v>
      </c>
      <c r="H479">
        <v>1</v>
      </c>
      <c r="I479">
        <v>0</v>
      </c>
      <c r="J479">
        <v>0.5</v>
      </c>
    </row>
    <row r="480" spans="1:10" x14ac:dyDescent="0.3">
      <c r="A480">
        <v>478</v>
      </c>
      <c r="B480">
        <v>7592</v>
      </c>
      <c r="C480" t="b">
        <v>1</v>
      </c>
      <c r="D480">
        <v>8042</v>
      </c>
      <c r="E480">
        <v>8123</v>
      </c>
      <c r="F480">
        <v>7.6</v>
      </c>
      <c r="G480">
        <v>8</v>
      </c>
      <c r="H480">
        <v>0.95</v>
      </c>
      <c r="I480">
        <v>5.0000012000000003E-2</v>
      </c>
      <c r="J480">
        <v>0.51282050000000001</v>
      </c>
    </row>
    <row r="481" spans="1:10" x14ac:dyDescent="0.3">
      <c r="A481">
        <v>479</v>
      </c>
      <c r="B481">
        <v>7608</v>
      </c>
      <c r="C481" t="b">
        <v>1</v>
      </c>
      <c r="D481">
        <v>8042</v>
      </c>
      <c r="E481">
        <v>8123</v>
      </c>
      <c r="F481">
        <v>7.2</v>
      </c>
      <c r="G481">
        <v>8</v>
      </c>
      <c r="H481">
        <v>0.9</v>
      </c>
      <c r="I481">
        <v>0.10000002400000001</v>
      </c>
      <c r="J481">
        <v>0.5263158</v>
      </c>
    </row>
    <row r="482" spans="1:10" x14ac:dyDescent="0.3">
      <c r="A482">
        <v>480</v>
      </c>
      <c r="B482">
        <v>7623</v>
      </c>
      <c r="C482" t="b">
        <v>1</v>
      </c>
      <c r="D482">
        <v>8042</v>
      </c>
      <c r="E482">
        <v>8123</v>
      </c>
      <c r="F482">
        <v>6.8</v>
      </c>
      <c r="G482">
        <v>8</v>
      </c>
      <c r="H482">
        <v>0.85</v>
      </c>
      <c r="I482">
        <v>0.14999998</v>
      </c>
      <c r="J482">
        <v>0.54054049999999998</v>
      </c>
    </row>
    <row r="483" spans="1:10" x14ac:dyDescent="0.3">
      <c r="A483">
        <v>481</v>
      </c>
      <c r="B483">
        <v>7639</v>
      </c>
      <c r="C483" t="b">
        <v>1</v>
      </c>
      <c r="D483">
        <v>8042</v>
      </c>
      <c r="E483">
        <v>8117</v>
      </c>
      <c r="F483">
        <v>6.4</v>
      </c>
      <c r="G483">
        <v>8</v>
      </c>
      <c r="H483">
        <v>0.8</v>
      </c>
      <c r="I483">
        <v>0.19999998999999999</v>
      </c>
      <c r="J483">
        <v>0.55555560000000004</v>
      </c>
    </row>
    <row r="484" spans="1:10" x14ac:dyDescent="0.3">
      <c r="A484">
        <v>482</v>
      </c>
      <c r="B484">
        <v>7655</v>
      </c>
      <c r="C484" t="b">
        <v>1</v>
      </c>
      <c r="D484">
        <v>8042</v>
      </c>
      <c r="E484">
        <v>8123</v>
      </c>
      <c r="F484">
        <v>6</v>
      </c>
      <c r="G484">
        <v>8</v>
      </c>
      <c r="H484">
        <v>0.75</v>
      </c>
      <c r="I484">
        <v>0.25</v>
      </c>
      <c r="J484">
        <v>0.57142859999999995</v>
      </c>
    </row>
    <row r="485" spans="1:10" x14ac:dyDescent="0.3">
      <c r="A485">
        <v>483</v>
      </c>
      <c r="B485">
        <v>7671</v>
      </c>
      <c r="C485" t="b">
        <v>1</v>
      </c>
      <c r="D485">
        <v>8048</v>
      </c>
      <c r="E485">
        <v>8129</v>
      </c>
      <c r="F485">
        <v>5.6</v>
      </c>
      <c r="G485">
        <v>8</v>
      </c>
      <c r="H485">
        <v>0.7</v>
      </c>
      <c r="I485">
        <v>0.3</v>
      </c>
      <c r="J485">
        <v>0.58823526000000004</v>
      </c>
    </row>
    <row r="486" spans="1:10" x14ac:dyDescent="0.3">
      <c r="A486">
        <v>484</v>
      </c>
      <c r="B486">
        <v>7687</v>
      </c>
      <c r="C486" t="b">
        <v>1</v>
      </c>
      <c r="D486">
        <v>8048</v>
      </c>
      <c r="E486">
        <v>8123</v>
      </c>
      <c r="F486">
        <v>5.2</v>
      </c>
      <c r="G486">
        <v>8</v>
      </c>
      <c r="H486">
        <v>0.65</v>
      </c>
      <c r="I486">
        <v>0.35000002000000002</v>
      </c>
      <c r="J486">
        <v>0.60606059999999995</v>
      </c>
    </row>
    <row r="487" spans="1:10" x14ac:dyDescent="0.3">
      <c r="A487">
        <v>485</v>
      </c>
      <c r="B487">
        <v>7703</v>
      </c>
      <c r="C487" t="b">
        <v>1</v>
      </c>
      <c r="D487">
        <v>8048</v>
      </c>
      <c r="E487">
        <v>8123</v>
      </c>
      <c r="F487">
        <v>5.2</v>
      </c>
      <c r="G487">
        <v>8</v>
      </c>
      <c r="H487">
        <v>0.65</v>
      </c>
      <c r="I487">
        <v>0.35000002000000002</v>
      </c>
      <c r="J487">
        <v>0.60606059999999995</v>
      </c>
    </row>
    <row r="488" spans="1:10" x14ac:dyDescent="0.3">
      <c r="A488">
        <v>486</v>
      </c>
      <c r="B488">
        <v>7719</v>
      </c>
      <c r="C488" t="b">
        <v>1</v>
      </c>
      <c r="D488">
        <v>8048</v>
      </c>
      <c r="E488">
        <v>8123</v>
      </c>
      <c r="F488">
        <v>5.2</v>
      </c>
      <c r="G488">
        <v>8</v>
      </c>
      <c r="H488">
        <v>0.65</v>
      </c>
      <c r="I488">
        <v>0.35000002000000002</v>
      </c>
      <c r="J488">
        <v>0.60606059999999995</v>
      </c>
    </row>
    <row r="489" spans="1:10" x14ac:dyDescent="0.3">
      <c r="A489">
        <v>487</v>
      </c>
      <c r="B489">
        <v>7735</v>
      </c>
      <c r="C489" t="b">
        <v>1</v>
      </c>
      <c r="D489">
        <v>8042</v>
      </c>
      <c r="E489">
        <v>8117</v>
      </c>
      <c r="F489">
        <v>5.2</v>
      </c>
      <c r="G489">
        <v>8</v>
      </c>
      <c r="H489">
        <v>0.65</v>
      </c>
      <c r="I489">
        <v>0.35000002000000002</v>
      </c>
      <c r="J489">
        <v>0.60606059999999995</v>
      </c>
    </row>
    <row r="490" spans="1:10" x14ac:dyDescent="0.3">
      <c r="A490">
        <v>488</v>
      </c>
      <c r="B490">
        <v>7751</v>
      </c>
      <c r="C490" t="b">
        <v>1</v>
      </c>
      <c r="D490">
        <v>8054</v>
      </c>
      <c r="E490">
        <v>8123</v>
      </c>
      <c r="F490">
        <v>5.2</v>
      </c>
      <c r="G490">
        <v>8</v>
      </c>
      <c r="H490">
        <v>0.65</v>
      </c>
      <c r="I490">
        <v>0.35000002000000002</v>
      </c>
      <c r="J490">
        <v>0.60606059999999995</v>
      </c>
    </row>
    <row r="491" spans="1:10" x14ac:dyDescent="0.3">
      <c r="A491">
        <v>489</v>
      </c>
      <c r="B491">
        <v>7767</v>
      </c>
      <c r="C491" t="b">
        <v>1</v>
      </c>
      <c r="D491">
        <v>8048</v>
      </c>
      <c r="E491">
        <v>8123</v>
      </c>
      <c r="F491">
        <v>5.2</v>
      </c>
      <c r="G491">
        <v>8</v>
      </c>
      <c r="H491">
        <v>0.65</v>
      </c>
      <c r="I491">
        <v>0.35000002000000002</v>
      </c>
      <c r="J491">
        <v>0.60606059999999995</v>
      </c>
    </row>
    <row r="492" spans="1:10" x14ac:dyDescent="0.3">
      <c r="A492">
        <v>490</v>
      </c>
      <c r="B492">
        <v>7783</v>
      </c>
      <c r="C492" t="b">
        <v>1</v>
      </c>
      <c r="D492">
        <v>8048</v>
      </c>
      <c r="E492">
        <v>8123</v>
      </c>
      <c r="F492">
        <v>5.2</v>
      </c>
      <c r="G492">
        <v>8</v>
      </c>
      <c r="H492">
        <v>0.65</v>
      </c>
      <c r="I492">
        <v>0.35000002000000002</v>
      </c>
      <c r="J492">
        <v>0.60606059999999995</v>
      </c>
    </row>
    <row r="493" spans="1:10" x14ac:dyDescent="0.3">
      <c r="A493">
        <v>491</v>
      </c>
      <c r="B493">
        <v>7798</v>
      </c>
      <c r="C493" t="b">
        <v>1</v>
      </c>
      <c r="D493">
        <v>8048</v>
      </c>
      <c r="E493">
        <v>8123</v>
      </c>
      <c r="F493">
        <v>5.2</v>
      </c>
      <c r="G493">
        <v>8</v>
      </c>
      <c r="H493">
        <v>0.65</v>
      </c>
      <c r="I493">
        <v>0.35000002000000002</v>
      </c>
      <c r="J493">
        <v>0.60606059999999995</v>
      </c>
    </row>
    <row r="494" spans="1:10" x14ac:dyDescent="0.3">
      <c r="A494">
        <v>492</v>
      </c>
      <c r="B494">
        <v>7814</v>
      </c>
      <c r="C494" t="b">
        <v>1</v>
      </c>
      <c r="D494">
        <v>8054</v>
      </c>
      <c r="E494">
        <v>8123</v>
      </c>
      <c r="F494">
        <v>5.2</v>
      </c>
      <c r="G494">
        <v>8</v>
      </c>
      <c r="H494">
        <v>0.65</v>
      </c>
      <c r="I494">
        <v>0.35000002000000002</v>
      </c>
      <c r="J494">
        <v>0.60606059999999995</v>
      </c>
    </row>
    <row r="495" spans="1:10" x14ac:dyDescent="0.3">
      <c r="A495">
        <v>493</v>
      </c>
      <c r="B495">
        <v>7830</v>
      </c>
      <c r="C495" t="b">
        <v>1</v>
      </c>
      <c r="D495">
        <v>8054</v>
      </c>
      <c r="E495">
        <v>8123</v>
      </c>
      <c r="F495">
        <v>5.6</v>
      </c>
      <c r="G495">
        <v>8</v>
      </c>
      <c r="H495">
        <v>0.7</v>
      </c>
      <c r="I495">
        <v>0.3</v>
      </c>
      <c r="J495">
        <v>0.58823526000000004</v>
      </c>
    </row>
    <row r="496" spans="1:10" x14ac:dyDescent="0.3">
      <c r="A496">
        <v>494</v>
      </c>
      <c r="B496">
        <v>7846</v>
      </c>
      <c r="C496" t="b">
        <v>1</v>
      </c>
      <c r="D496">
        <v>8048</v>
      </c>
      <c r="E496">
        <v>8123</v>
      </c>
      <c r="F496">
        <v>6</v>
      </c>
      <c r="G496">
        <v>8</v>
      </c>
      <c r="H496">
        <v>0.75</v>
      </c>
      <c r="I496">
        <v>0.25</v>
      </c>
      <c r="J496">
        <v>0.57142859999999995</v>
      </c>
    </row>
    <row r="497" spans="1:10" x14ac:dyDescent="0.3">
      <c r="A497">
        <v>495</v>
      </c>
      <c r="B497">
        <v>7862</v>
      </c>
      <c r="C497" t="b">
        <v>1</v>
      </c>
      <c r="D497">
        <v>8048</v>
      </c>
      <c r="E497">
        <v>8123</v>
      </c>
      <c r="F497">
        <v>6.4</v>
      </c>
      <c r="G497">
        <v>8</v>
      </c>
      <c r="H497">
        <v>0.8</v>
      </c>
      <c r="I497">
        <v>0.19999998999999999</v>
      </c>
      <c r="J497">
        <v>0.55555560000000004</v>
      </c>
    </row>
    <row r="498" spans="1:10" x14ac:dyDescent="0.3">
      <c r="A498">
        <v>496</v>
      </c>
      <c r="B498">
        <v>7878</v>
      </c>
      <c r="C498" t="b">
        <v>1</v>
      </c>
      <c r="D498">
        <v>8048</v>
      </c>
      <c r="E498">
        <v>8123</v>
      </c>
      <c r="F498">
        <v>6.8</v>
      </c>
      <c r="G498">
        <v>8</v>
      </c>
      <c r="H498">
        <v>0.85</v>
      </c>
      <c r="I498">
        <v>0.14999998</v>
      </c>
      <c r="J498">
        <v>0.54054049999999998</v>
      </c>
    </row>
    <row r="499" spans="1:10" x14ac:dyDescent="0.3">
      <c r="A499">
        <v>497</v>
      </c>
      <c r="B499">
        <v>7894</v>
      </c>
      <c r="C499" t="b">
        <v>1</v>
      </c>
      <c r="D499">
        <v>8048</v>
      </c>
      <c r="E499">
        <v>8123</v>
      </c>
      <c r="F499">
        <v>7.2</v>
      </c>
      <c r="G499">
        <v>8</v>
      </c>
      <c r="H499">
        <v>0.9</v>
      </c>
      <c r="I499">
        <v>0.10000002400000001</v>
      </c>
      <c r="J499">
        <v>0.5263158</v>
      </c>
    </row>
    <row r="500" spans="1:10" x14ac:dyDescent="0.3">
      <c r="A500">
        <v>498</v>
      </c>
      <c r="B500">
        <v>7909</v>
      </c>
      <c r="C500" t="b">
        <v>1</v>
      </c>
      <c r="D500">
        <v>8048</v>
      </c>
      <c r="E500">
        <v>8123</v>
      </c>
      <c r="F500">
        <v>7.6</v>
      </c>
      <c r="G500">
        <v>8</v>
      </c>
      <c r="H500">
        <v>0.95</v>
      </c>
      <c r="I500">
        <v>5.0000012000000003E-2</v>
      </c>
      <c r="J500">
        <v>0.51282050000000001</v>
      </c>
    </row>
    <row r="501" spans="1:10" x14ac:dyDescent="0.3">
      <c r="A501">
        <v>499</v>
      </c>
      <c r="B501">
        <v>7925</v>
      </c>
      <c r="C501" t="b">
        <v>1</v>
      </c>
      <c r="D501">
        <v>8048</v>
      </c>
      <c r="E501">
        <v>8123</v>
      </c>
      <c r="F501">
        <v>8</v>
      </c>
      <c r="G501">
        <v>8</v>
      </c>
      <c r="H501">
        <v>1</v>
      </c>
      <c r="I501">
        <v>0</v>
      </c>
      <c r="J501">
        <v>0.5</v>
      </c>
    </row>
    <row r="502" spans="1:10" x14ac:dyDescent="0.3">
      <c r="A502">
        <v>500</v>
      </c>
      <c r="B502">
        <v>7941</v>
      </c>
      <c r="C502" t="b">
        <v>1</v>
      </c>
      <c r="D502">
        <v>8048</v>
      </c>
      <c r="E502">
        <v>8123</v>
      </c>
      <c r="F502">
        <v>8</v>
      </c>
      <c r="G502">
        <v>8</v>
      </c>
      <c r="H502">
        <v>1</v>
      </c>
      <c r="I502">
        <v>0</v>
      </c>
      <c r="J502">
        <v>0.5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756EA-E528-477E-B49A-6900CE7D41AD}">
  <dimension ref="A1:J502"/>
  <sheetViews>
    <sheetView workbookViewId="0">
      <selection activeCell="A2" sqref="A2:J502"/>
    </sheetView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9.44140625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 t="b">
        <v>1</v>
      </c>
      <c r="D2">
        <v>8104</v>
      </c>
      <c r="E2">
        <v>8080</v>
      </c>
      <c r="F2">
        <v>264</v>
      </c>
      <c r="G2">
        <v>165</v>
      </c>
      <c r="H2">
        <v>1.6</v>
      </c>
      <c r="I2">
        <v>-0.6</v>
      </c>
      <c r="J2">
        <v>0.3846154</v>
      </c>
    </row>
    <row r="3" spans="1:10" x14ac:dyDescent="0.3">
      <c r="A3">
        <v>1</v>
      </c>
      <c r="B3">
        <v>30</v>
      </c>
      <c r="C3" t="b">
        <v>1</v>
      </c>
      <c r="D3">
        <v>8088</v>
      </c>
      <c r="E3">
        <v>8104</v>
      </c>
      <c r="F3">
        <v>264</v>
      </c>
      <c r="G3">
        <v>177</v>
      </c>
      <c r="H3">
        <v>1.4915254</v>
      </c>
      <c r="I3">
        <v>-0.4915254</v>
      </c>
      <c r="J3">
        <v>0.40136053999999999</v>
      </c>
    </row>
    <row r="4" spans="1:10" x14ac:dyDescent="0.3">
      <c r="A4">
        <v>2</v>
      </c>
      <c r="B4">
        <v>46</v>
      </c>
      <c r="C4" t="b">
        <v>1</v>
      </c>
      <c r="D4">
        <v>8072</v>
      </c>
      <c r="E4">
        <v>8064</v>
      </c>
      <c r="F4">
        <v>258.66665999999998</v>
      </c>
      <c r="G4">
        <v>173</v>
      </c>
      <c r="H4">
        <v>1.4951829999999999</v>
      </c>
      <c r="I4">
        <v>-0.49518299999999998</v>
      </c>
      <c r="J4">
        <v>0.40077220000000002</v>
      </c>
    </row>
    <row r="5" spans="1:10" x14ac:dyDescent="0.3">
      <c r="A5">
        <v>3</v>
      </c>
      <c r="B5">
        <v>78</v>
      </c>
      <c r="C5" t="b">
        <v>1</v>
      </c>
      <c r="D5">
        <v>8000</v>
      </c>
      <c r="E5">
        <v>8096</v>
      </c>
      <c r="F5">
        <v>256</v>
      </c>
      <c r="G5">
        <v>175</v>
      </c>
      <c r="H5">
        <v>1.4628570999999999</v>
      </c>
      <c r="I5">
        <v>-0.46285715999999999</v>
      </c>
      <c r="J5">
        <v>0.40603246999999998</v>
      </c>
    </row>
    <row r="6" spans="1:10" x14ac:dyDescent="0.3">
      <c r="A6">
        <v>4</v>
      </c>
      <c r="B6">
        <v>94</v>
      </c>
      <c r="C6" t="b">
        <v>1</v>
      </c>
      <c r="D6">
        <v>8056</v>
      </c>
      <c r="E6">
        <v>8080</v>
      </c>
      <c r="F6">
        <v>251.2</v>
      </c>
      <c r="G6">
        <v>173</v>
      </c>
      <c r="H6">
        <v>1.4520230999999999</v>
      </c>
      <c r="I6">
        <v>-0.45202310000000001</v>
      </c>
      <c r="J6">
        <v>0.40782647999999999</v>
      </c>
    </row>
    <row r="7" spans="1:10" x14ac:dyDescent="0.3">
      <c r="A7">
        <v>5</v>
      </c>
      <c r="B7">
        <v>110</v>
      </c>
      <c r="C7" t="b">
        <v>1</v>
      </c>
      <c r="D7">
        <v>8088</v>
      </c>
      <c r="E7">
        <v>8080</v>
      </c>
      <c r="F7">
        <v>248</v>
      </c>
      <c r="G7">
        <v>171.66667000000001</v>
      </c>
      <c r="H7">
        <v>1.4446601999999999</v>
      </c>
      <c r="I7">
        <v>-0.44466016000000003</v>
      </c>
      <c r="J7">
        <v>0.4090548</v>
      </c>
    </row>
    <row r="8" spans="1:10" x14ac:dyDescent="0.3">
      <c r="A8">
        <v>6</v>
      </c>
      <c r="B8">
        <v>126</v>
      </c>
      <c r="C8" t="b">
        <v>1</v>
      </c>
      <c r="D8">
        <v>8072</v>
      </c>
      <c r="E8">
        <v>8104</v>
      </c>
      <c r="F8">
        <v>245.71428</v>
      </c>
      <c r="G8">
        <v>170.71428</v>
      </c>
      <c r="H8">
        <v>1.4393305999999999</v>
      </c>
      <c r="I8">
        <v>-0.43933054999999999</v>
      </c>
      <c r="J8">
        <v>0.40994852999999998</v>
      </c>
    </row>
    <row r="9" spans="1:10" x14ac:dyDescent="0.3">
      <c r="A9">
        <v>7</v>
      </c>
      <c r="B9">
        <v>142</v>
      </c>
      <c r="C9" t="b">
        <v>1</v>
      </c>
      <c r="D9">
        <v>8064</v>
      </c>
      <c r="E9">
        <v>8088</v>
      </c>
      <c r="F9">
        <v>243</v>
      </c>
      <c r="G9">
        <v>171</v>
      </c>
      <c r="H9">
        <v>1.4210526000000001</v>
      </c>
      <c r="I9">
        <v>-0.42105262999999998</v>
      </c>
      <c r="J9">
        <v>0.41304347000000002</v>
      </c>
    </row>
    <row r="10" spans="1:10" x14ac:dyDescent="0.3">
      <c r="A10">
        <v>8</v>
      </c>
      <c r="B10">
        <v>158</v>
      </c>
      <c r="C10" t="b">
        <v>1</v>
      </c>
      <c r="D10">
        <v>8064</v>
      </c>
      <c r="E10">
        <v>8088</v>
      </c>
      <c r="F10">
        <v>240.88889</v>
      </c>
      <c r="G10">
        <v>171.22223</v>
      </c>
      <c r="H10">
        <v>1.4068786</v>
      </c>
      <c r="I10">
        <v>-0.40687856</v>
      </c>
      <c r="J10">
        <v>0.41547588000000002</v>
      </c>
    </row>
    <row r="11" spans="1:10" x14ac:dyDescent="0.3">
      <c r="A11">
        <v>9</v>
      </c>
      <c r="B11">
        <v>173</v>
      </c>
      <c r="C11" t="b">
        <v>1</v>
      </c>
      <c r="D11">
        <v>8080</v>
      </c>
      <c r="E11">
        <v>8040</v>
      </c>
      <c r="F11">
        <v>240</v>
      </c>
      <c r="G11">
        <v>171.4</v>
      </c>
      <c r="H11">
        <v>1.4002334000000001</v>
      </c>
      <c r="I11">
        <v>-0.40023342000000001</v>
      </c>
      <c r="J11">
        <v>0.41662616000000002</v>
      </c>
    </row>
    <row r="12" spans="1:10" x14ac:dyDescent="0.3">
      <c r="A12">
        <v>10</v>
      </c>
      <c r="B12">
        <v>189</v>
      </c>
      <c r="C12" t="b">
        <v>1</v>
      </c>
      <c r="D12">
        <v>8048</v>
      </c>
      <c r="E12">
        <v>8080</v>
      </c>
      <c r="F12">
        <v>238.54545999999999</v>
      </c>
      <c r="G12">
        <v>171.54545999999999</v>
      </c>
      <c r="H12">
        <v>1.3905670999999999</v>
      </c>
      <c r="I12">
        <v>-0.39056702999999998</v>
      </c>
      <c r="J12">
        <v>0.41831079999999998</v>
      </c>
    </row>
    <row r="13" spans="1:10" x14ac:dyDescent="0.3">
      <c r="A13">
        <v>11</v>
      </c>
      <c r="B13">
        <v>205</v>
      </c>
      <c r="C13" t="b">
        <v>1</v>
      </c>
      <c r="D13">
        <v>8128</v>
      </c>
      <c r="E13">
        <v>8080</v>
      </c>
      <c r="F13">
        <v>237.33332999999999</v>
      </c>
      <c r="G13">
        <v>171</v>
      </c>
      <c r="H13">
        <v>1.3879142</v>
      </c>
      <c r="I13">
        <v>-0.38791419999999999</v>
      </c>
      <c r="J13">
        <v>0.41877553000000001</v>
      </c>
    </row>
    <row r="14" spans="1:10" x14ac:dyDescent="0.3">
      <c r="A14">
        <v>12</v>
      </c>
      <c r="B14">
        <v>221</v>
      </c>
      <c r="C14" t="b">
        <v>1</v>
      </c>
      <c r="D14">
        <v>8064</v>
      </c>
      <c r="E14">
        <v>8072</v>
      </c>
      <c r="F14">
        <v>236.30770000000001</v>
      </c>
      <c r="G14">
        <v>170.53846999999999</v>
      </c>
      <c r="H14">
        <v>1.3856561999999999</v>
      </c>
      <c r="I14">
        <v>-0.38565623999999998</v>
      </c>
      <c r="J14">
        <v>0.41917187</v>
      </c>
    </row>
    <row r="15" spans="1:10" x14ac:dyDescent="0.3">
      <c r="A15">
        <v>13</v>
      </c>
      <c r="B15">
        <v>237</v>
      </c>
      <c r="C15" t="b">
        <v>1</v>
      </c>
      <c r="D15">
        <v>8080</v>
      </c>
      <c r="E15">
        <v>8056</v>
      </c>
      <c r="F15">
        <v>236.57142999999999</v>
      </c>
      <c r="G15">
        <v>169.57142999999999</v>
      </c>
      <c r="H15">
        <v>1.3951137</v>
      </c>
      <c r="I15">
        <v>-0.39511373999999999</v>
      </c>
      <c r="J15">
        <v>0.41751670000000002</v>
      </c>
    </row>
    <row r="16" spans="1:10" x14ac:dyDescent="0.3">
      <c r="A16">
        <v>14</v>
      </c>
      <c r="B16">
        <v>253</v>
      </c>
      <c r="C16" t="b">
        <v>1</v>
      </c>
      <c r="D16">
        <v>7992</v>
      </c>
      <c r="E16">
        <v>8048</v>
      </c>
      <c r="F16">
        <v>235.73334</v>
      </c>
      <c r="G16">
        <v>168.73334</v>
      </c>
      <c r="H16">
        <v>1.3970762000000001</v>
      </c>
      <c r="I16">
        <v>-0.39707625000000002</v>
      </c>
      <c r="J16">
        <v>0.41717488000000003</v>
      </c>
    </row>
    <row r="17" spans="1:10" x14ac:dyDescent="0.3">
      <c r="A17">
        <v>15</v>
      </c>
      <c r="B17">
        <v>269</v>
      </c>
      <c r="C17" t="b">
        <v>1</v>
      </c>
      <c r="D17">
        <v>8000</v>
      </c>
      <c r="E17">
        <v>8104</v>
      </c>
      <c r="F17">
        <v>233.06666999999999</v>
      </c>
      <c r="G17">
        <v>168.2</v>
      </c>
      <c r="H17">
        <v>1.3856520999999999</v>
      </c>
      <c r="I17">
        <v>-0.38565203999999997</v>
      </c>
      <c r="J17">
        <v>0.41917260000000001</v>
      </c>
    </row>
    <row r="18" spans="1:10" x14ac:dyDescent="0.3">
      <c r="A18">
        <v>16</v>
      </c>
      <c r="B18">
        <v>285</v>
      </c>
      <c r="C18" t="b">
        <v>1</v>
      </c>
      <c r="D18">
        <v>8048</v>
      </c>
      <c r="E18">
        <v>8072</v>
      </c>
      <c r="F18">
        <v>229.33332999999999</v>
      </c>
      <c r="G18">
        <v>166.06666999999999</v>
      </c>
      <c r="H18">
        <v>1.3809714</v>
      </c>
      <c r="I18">
        <v>-0.38097145999999998</v>
      </c>
      <c r="J18">
        <v>0.41999661999999999</v>
      </c>
    </row>
    <row r="19" spans="1:10" x14ac:dyDescent="0.3">
      <c r="A19">
        <v>17</v>
      </c>
      <c r="B19">
        <v>301</v>
      </c>
      <c r="C19" t="b">
        <v>1</v>
      </c>
      <c r="D19">
        <v>8104</v>
      </c>
      <c r="E19">
        <v>8096</v>
      </c>
      <c r="F19">
        <v>226.66667000000001</v>
      </c>
      <c r="G19">
        <v>165.53334000000001</v>
      </c>
      <c r="H19">
        <v>1.3693112999999999</v>
      </c>
      <c r="I19">
        <v>-0.36931130000000001</v>
      </c>
      <c r="J19">
        <v>0.42206359999999998</v>
      </c>
    </row>
    <row r="20" spans="1:10" x14ac:dyDescent="0.3">
      <c r="A20">
        <v>18</v>
      </c>
      <c r="B20">
        <v>317</v>
      </c>
      <c r="C20" t="b">
        <v>1</v>
      </c>
      <c r="D20">
        <v>8104</v>
      </c>
      <c r="E20">
        <v>8096</v>
      </c>
      <c r="F20">
        <v>224</v>
      </c>
      <c r="G20">
        <v>165.53334000000001</v>
      </c>
      <c r="H20">
        <v>1.3532017000000001</v>
      </c>
      <c r="I20">
        <v>-0.35320172</v>
      </c>
      <c r="J20">
        <v>0.42495295</v>
      </c>
    </row>
    <row r="21" spans="1:10" x14ac:dyDescent="0.3">
      <c r="A21">
        <v>19</v>
      </c>
      <c r="B21">
        <v>333</v>
      </c>
      <c r="C21" t="b">
        <v>1</v>
      </c>
      <c r="D21">
        <v>8024</v>
      </c>
      <c r="E21">
        <v>8096</v>
      </c>
      <c r="F21">
        <v>222.4</v>
      </c>
      <c r="G21">
        <v>166.6</v>
      </c>
      <c r="H21">
        <v>1.3349339</v>
      </c>
      <c r="I21">
        <v>-0.33493388000000002</v>
      </c>
      <c r="J21">
        <v>0.42827764000000001</v>
      </c>
    </row>
    <row r="22" spans="1:10" x14ac:dyDescent="0.3">
      <c r="A22">
        <v>20</v>
      </c>
      <c r="B22">
        <v>349</v>
      </c>
      <c r="C22" t="b">
        <v>1</v>
      </c>
      <c r="D22">
        <v>8064</v>
      </c>
      <c r="E22">
        <v>8080</v>
      </c>
      <c r="F22">
        <v>221.86667</v>
      </c>
      <c r="G22">
        <v>167.66667000000001</v>
      </c>
      <c r="H22">
        <v>1.3232603999999999</v>
      </c>
      <c r="I22">
        <v>-0.3232604</v>
      </c>
      <c r="J22">
        <v>0.43042960000000002</v>
      </c>
    </row>
    <row r="23" spans="1:10" x14ac:dyDescent="0.3">
      <c r="A23">
        <v>21</v>
      </c>
      <c r="B23">
        <v>365</v>
      </c>
      <c r="C23" t="b">
        <v>1</v>
      </c>
      <c r="D23">
        <v>8000</v>
      </c>
      <c r="E23">
        <v>8096</v>
      </c>
      <c r="F23">
        <v>221.33332999999999</v>
      </c>
      <c r="G23">
        <v>168.73334</v>
      </c>
      <c r="H23">
        <v>1.3117344</v>
      </c>
      <c r="I23">
        <v>-0.31173444</v>
      </c>
      <c r="J23">
        <v>0.43257563999999998</v>
      </c>
    </row>
    <row r="24" spans="1:10" x14ac:dyDescent="0.3">
      <c r="A24">
        <v>22</v>
      </c>
      <c r="B24">
        <v>380</v>
      </c>
      <c r="C24" t="b">
        <v>1</v>
      </c>
      <c r="D24">
        <v>8032</v>
      </c>
      <c r="E24">
        <v>8072</v>
      </c>
      <c r="F24">
        <v>219.2</v>
      </c>
      <c r="G24">
        <v>169.26666</v>
      </c>
      <c r="H24">
        <v>1.2949980000000001</v>
      </c>
      <c r="I24">
        <v>-0.29499805000000001</v>
      </c>
      <c r="J24">
        <v>0.43573020000000001</v>
      </c>
    </row>
    <row r="25" spans="1:10" x14ac:dyDescent="0.3">
      <c r="A25">
        <v>23</v>
      </c>
      <c r="B25">
        <v>396</v>
      </c>
      <c r="C25" t="b">
        <v>1</v>
      </c>
      <c r="D25">
        <v>8088</v>
      </c>
      <c r="E25">
        <v>8080</v>
      </c>
      <c r="F25">
        <v>217.06666999999999</v>
      </c>
      <c r="G25">
        <v>168.73334</v>
      </c>
      <c r="H25">
        <v>1.286448</v>
      </c>
      <c r="I25">
        <v>-0.28644799999999998</v>
      </c>
      <c r="J25">
        <v>0.43735963</v>
      </c>
    </row>
    <row r="26" spans="1:10" x14ac:dyDescent="0.3">
      <c r="A26">
        <v>24</v>
      </c>
      <c r="B26">
        <v>412</v>
      </c>
      <c r="C26" t="b">
        <v>1</v>
      </c>
      <c r="D26">
        <v>8032</v>
      </c>
      <c r="E26">
        <v>8088</v>
      </c>
      <c r="F26">
        <v>214.4</v>
      </c>
      <c r="G26">
        <v>168.2</v>
      </c>
      <c r="H26">
        <v>1.2746729999999999</v>
      </c>
      <c r="I26">
        <v>-0.27467299000000001</v>
      </c>
      <c r="J26">
        <v>0.43962364999999998</v>
      </c>
    </row>
    <row r="27" spans="1:10" x14ac:dyDescent="0.3">
      <c r="A27">
        <v>25</v>
      </c>
      <c r="B27">
        <v>428</v>
      </c>
      <c r="C27" t="b">
        <v>1</v>
      </c>
      <c r="D27">
        <v>8016</v>
      </c>
      <c r="E27">
        <v>8064</v>
      </c>
      <c r="F27">
        <v>212.26666</v>
      </c>
      <c r="G27">
        <v>167.66667000000001</v>
      </c>
      <c r="H27">
        <v>1.2660039999999999</v>
      </c>
      <c r="I27">
        <v>-0.26600390000000002</v>
      </c>
      <c r="J27">
        <v>0.44130550000000002</v>
      </c>
    </row>
    <row r="28" spans="1:10" x14ac:dyDescent="0.3">
      <c r="A28">
        <v>26</v>
      </c>
      <c r="B28">
        <v>444</v>
      </c>
      <c r="C28" t="b">
        <v>1</v>
      </c>
      <c r="D28">
        <v>8008</v>
      </c>
      <c r="E28">
        <v>8088</v>
      </c>
      <c r="F28">
        <v>210.13333</v>
      </c>
      <c r="G28">
        <v>167.66667000000001</v>
      </c>
      <c r="H28">
        <v>1.2532802999999999</v>
      </c>
      <c r="I28">
        <v>-0.25328028000000002</v>
      </c>
      <c r="J28">
        <v>0.44379743999999999</v>
      </c>
    </row>
    <row r="29" spans="1:10" x14ac:dyDescent="0.3">
      <c r="A29">
        <v>27</v>
      </c>
      <c r="B29">
        <v>460</v>
      </c>
      <c r="C29" t="b">
        <v>1</v>
      </c>
      <c r="D29">
        <v>8064</v>
      </c>
      <c r="E29">
        <v>8056</v>
      </c>
      <c r="F29">
        <v>208</v>
      </c>
      <c r="G29">
        <v>167.66667000000001</v>
      </c>
      <c r="H29">
        <v>1.2405565999999999</v>
      </c>
      <c r="I29">
        <v>-0.24055662999999999</v>
      </c>
      <c r="J29">
        <v>0.44631764000000002</v>
      </c>
    </row>
    <row r="30" spans="1:10" x14ac:dyDescent="0.3">
      <c r="A30">
        <v>28</v>
      </c>
      <c r="B30">
        <v>476</v>
      </c>
      <c r="C30" t="b">
        <v>1</v>
      </c>
      <c r="D30">
        <v>8096</v>
      </c>
      <c r="E30">
        <v>8064</v>
      </c>
      <c r="F30">
        <v>204.8</v>
      </c>
      <c r="G30">
        <v>167.13333</v>
      </c>
      <c r="H30">
        <v>1.2253689999999999</v>
      </c>
      <c r="I30">
        <v>-0.22536900000000001</v>
      </c>
      <c r="J30">
        <v>0.44936365</v>
      </c>
    </row>
    <row r="31" spans="1:10" x14ac:dyDescent="0.3">
      <c r="A31">
        <v>29</v>
      </c>
      <c r="B31">
        <v>492</v>
      </c>
      <c r="C31" t="b">
        <v>1</v>
      </c>
      <c r="D31">
        <v>8016</v>
      </c>
      <c r="E31">
        <v>8056</v>
      </c>
      <c r="F31">
        <v>201.6</v>
      </c>
      <c r="G31">
        <v>166.6</v>
      </c>
      <c r="H31">
        <v>1.2100841</v>
      </c>
      <c r="I31">
        <v>-0.21008402000000001</v>
      </c>
      <c r="J31">
        <v>0.45247150000000003</v>
      </c>
    </row>
    <row r="32" spans="1:10" x14ac:dyDescent="0.3">
      <c r="A32">
        <v>30</v>
      </c>
      <c r="B32">
        <v>508</v>
      </c>
      <c r="C32" t="b">
        <v>1</v>
      </c>
      <c r="D32">
        <v>8024</v>
      </c>
      <c r="E32">
        <v>8104</v>
      </c>
      <c r="F32">
        <v>198.93333000000001</v>
      </c>
      <c r="G32">
        <v>166.06666999999999</v>
      </c>
      <c r="H32">
        <v>1.1979124999999999</v>
      </c>
      <c r="I32">
        <v>-0.19791249999999999</v>
      </c>
      <c r="J32">
        <v>0.45497715</v>
      </c>
    </row>
    <row r="33" spans="1:10" x14ac:dyDescent="0.3">
      <c r="A33">
        <v>31</v>
      </c>
      <c r="B33">
        <v>524</v>
      </c>
      <c r="C33" t="b">
        <v>1</v>
      </c>
      <c r="D33">
        <v>8048</v>
      </c>
      <c r="E33">
        <v>8104</v>
      </c>
      <c r="F33">
        <v>198.93333000000001</v>
      </c>
      <c r="G33">
        <v>165.53334000000001</v>
      </c>
      <c r="H33">
        <v>1.2017720000000001</v>
      </c>
      <c r="I33">
        <v>-0.20177200000000001</v>
      </c>
      <c r="J33">
        <v>0.45417964</v>
      </c>
    </row>
    <row r="34" spans="1:10" x14ac:dyDescent="0.3">
      <c r="A34">
        <v>32</v>
      </c>
      <c r="B34">
        <v>539</v>
      </c>
      <c r="C34" t="b">
        <v>1</v>
      </c>
      <c r="D34">
        <v>8000</v>
      </c>
      <c r="E34">
        <v>8048</v>
      </c>
      <c r="F34">
        <v>197.33332999999999</v>
      </c>
      <c r="G34">
        <v>165</v>
      </c>
      <c r="H34">
        <v>1.1959595999999999</v>
      </c>
      <c r="I34">
        <v>-0.19595957</v>
      </c>
      <c r="J34">
        <v>0.4553818</v>
      </c>
    </row>
    <row r="35" spans="1:10" x14ac:dyDescent="0.3">
      <c r="A35">
        <v>33</v>
      </c>
      <c r="B35">
        <v>555</v>
      </c>
      <c r="C35" t="b">
        <v>1</v>
      </c>
      <c r="D35">
        <v>8064</v>
      </c>
      <c r="E35">
        <v>8024</v>
      </c>
      <c r="F35">
        <v>195.73334</v>
      </c>
      <c r="G35">
        <v>162.33332999999999</v>
      </c>
      <c r="H35">
        <v>1.2057495</v>
      </c>
      <c r="I35">
        <v>-0.20574956</v>
      </c>
      <c r="J35">
        <v>0.45336064999999998</v>
      </c>
    </row>
    <row r="36" spans="1:10" x14ac:dyDescent="0.3">
      <c r="A36">
        <v>34</v>
      </c>
      <c r="B36">
        <v>571</v>
      </c>
      <c r="C36" t="b">
        <v>1</v>
      </c>
      <c r="D36">
        <v>8008</v>
      </c>
      <c r="E36">
        <v>8088</v>
      </c>
      <c r="F36">
        <v>194.13333</v>
      </c>
      <c r="G36">
        <v>161.80000000000001</v>
      </c>
      <c r="H36">
        <v>1.1998352000000001</v>
      </c>
      <c r="I36">
        <v>-0.19983514999999999</v>
      </c>
      <c r="J36">
        <v>0.45457950000000003</v>
      </c>
    </row>
    <row r="37" spans="1:10" x14ac:dyDescent="0.3">
      <c r="A37">
        <v>35</v>
      </c>
      <c r="B37">
        <v>586</v>
      </c>
      <c r="C37" t="b">
        <v>1</v>
      </c>
      <c r="D37">
        <v>8016</v>
      </c>
      <c r="E37">
        <v>8080</v>
      </c>
      <c r="F37">
        <v>190.93333000000001</v>
      </c>
      <c r="G37">
        <v>160.73334</v>
      </c>
      <c r="H37">
        <v>1.1878888999999999</v>
      </c>
      <c r="I37">
        <v>-0.18788882000000001</v>
      </c>
      <c r="J37">
        <v>0.45706160000000001</v>
      </c>
    </row>
    <row r="38" spans="1:10" x14ac:dyDescent="0.3">
      <c r="A38">
        <v>36</v>
      </c>
      <c r="B38">
        <v>602</v>
      </c>
      <c r="C38" t="b">
        <v>1</v>
      </c>
      <c r="D38">
        <v>8016</v>
      </c>
      <c r="E38">
        <v>8056</v>
      </c>
      <c r="F38">
        <v>187.73334</v>
      </c>
      <c r="G38">
        <v>158.06666999999999</v>
      </c>
      <c r="H38">
        <v>1.1876845</v>
      </c>
      <c r="I38">
        <v>-0.18768455000000001</v>
      </c>
      <c r="J38">
        <v>0.45710433</v>
      </c>
    </row>
    <row r="39" spans="1:10" x14ac:dyDescent="0.3">
      <c r="A39">
        <v>37</v>
      </c>
      <c r="B39">
        <v>618</v>
      </c>
      <c r="C39" t="b">
        <v>1</v>
      </c>
      <c r="D39">
        <v>8064</v>
      </c>
      <c r="E39">
        <v>8088</v>
      </c>
      <c r="F39">
        <v>186.66667000000001</v>
      </c>
      <c r="G39">
        <v>157</v>
      </c>
      <c r="H39">
        <v>1.1889597000000001</v>
      </c>
      <c r="I39">
        <v>-0.18895969000000001</v>
      </c>
      <c r="J39">
        <v>0.45683797999999998</v>
      </c>
    </row>
    <row r="40" spans="1:10" x14ac:dyDescent="0.3">
      <c r="A40">
        <v>38</v>
      </c>
      <c r="B40">
        <v>634</v>
      </c>
      <c r="C40" t="b">
        <v>1</v>
      </c>
      <c r="D40">
        <v>8048</v>
      </c>
      <c r="E40">
        <v>8088</v>
      </c>
      <c r="F40">
        <v>185.6</v>
      </c>
      <c r="G40">
        <v>157.53334000000001</v>
      </c>
      <c r="H40">
        <v>1.1781633</v>
      </c>
      <c r="I40">
        <v>-0.17816333000000001</v>
      </c>
      <c r="J40">
        <v>0.45910235999999999</v>
      </c>
    </row>
    <row r="41" spans="1:10" x14ac:dyDescent="0.3">
      <c r="A41">
        <v>39</v>
      </c>
      <c r="B41">
        <v>650</v>
      </c>
      <c r="C41" t="b">
        <v>1</v>
      </c>
      <c r="D41">
        <v>8024</v>
      </c>
      <c r="E41">
        <v>8088</v>
      </c>
      <c r="F41">
        <v>185.06666999999999</v>
      </c>
      <c r="G41">
        <v>158.06666999999999</v>
      </c>
      <c r="H41">
        <v>1.170814</v>
      </c>
      <c r="I41">
        <v>-0.17081400999999999</v>
      </c>
      <c r="J41">
        <v>0.46065669999999997</v>
      </c>
    </row>
    <row r="42" spans="1:10" x14ac:dyDescent="0.3">
      <c r="A42">
        <v>40</v>
      </c>
      <c r="B42">
        <v>682</v>
      </c>
      <c r="C42" t="b">
        <v>1</v>
      </c>
      <c r="D42">
        <v>8064</v>
      </c>
      <c r="E42">
        <v>8080</v>
      </c>
      <c r="F42">
        <v>186.13333</v>
      </c>
      <c r="G42">
        <v>158.6</v>
      </c>
      <c r="H42">
        <v>1.1736023</v>
      </c>
      <c r="I42">
        <v>-0.17360229999999999</v>
      </c>
      <c r="J42">
        <v>0.46006575</v>
      </c>
    </row>
    <row r="43" spans="1:10" x14ac:dyDescent="0.3">
      <c r="A43">
        <v>41</v>
      </c>
      <c r="B43">
        <v>698</v>
      </c>
      <c r="C43" t="b">
        <v>1</v>
      </c>
      <c r="D43">
        <v>8048</v>
      </c>
      <c r="E43">
        <v>8088</v>
      </c>
      <c r="F43">
        <v>187.2</v>
      </c>
      <c r="G43">
        <v>159.13333</v>
      </c>
      <c r="H43">
        <v>1.176372</v>
      </c>
      <c r="I43">
        <v>-0.176372</v>
      </c>
      <c r="J43">
        <v>0.45948030000000001</v>
      </c>
    </row>
    <row r="44" spans="1:10" x14ac:dyDescent="0.3">
      <c r="A44">
        <v>42</v>
      </c>
      <c r="B44">
        <v>713</v>
      </c>
      <c r="C44" t="b">
        <v>1</v>
      </c>
      <c r="D44">
        <v>8072</v>
      </c>
      <c r="E44">
        <v>8072</v>
      </c>
      <c r="F44">
        <v>188.26666</v>
      </c>
      <c r="G44">
        <v>159.66667000000001</v>
      </c>
      <c r="H44">
        <v>1.1791232</v>
      </c>
      <c r="I44">
        <v>-0.17912310000000001</v>
      </c>
      <c r="J44">
        <v>0.45890015000000001</v>
      </c>
    </row>
    <row r="45" spans="1:10" x14ac:dyDescent="0.3">
      <c r="A45">
        <v>43</v>
      </c>
      <c r="B45">
        <v>730</v>
      </c>
      <c r="C45" t="b">
        <v>1</v>
      </c>
      <c r="D45">
        <v>8056</v>
      </c>
      <c r="E45">
        <v>8080</v>
      </c>
      <c r="F45">
        <v>189.86667</v>
      </c>
      <c r="G45">
        <v>160.73334</v>
      </c>
      <c r="H45">
        <v>1.1812526000000001</v>
      </c>
      <c r="I45">
        <v>-0.18125257</v>
      </c>
      <c r="J45">
        <v>0.45845219999999998</v>
      </c>
    </row>
    <row r="46" spans="1:10" x14ac:dyDescent="0.3">
      <c r="A46">
        <v>44</v>
      </c>
      <c r="B46">
        <v>745</v>
      </c>
      <c r="C46" t="b">
        <v>1</v>
      </c>
      <c r="D46">
        <v>8032</v>
      </c>
      <c r="E46">
        <v>8064</v>
      </c>
      <c r="F46">
        <v>192.53334000000001</v>
      </c>
      <c r="G46">
        <v>161.80000000000001</v>
      </c>
      <c r="H46">
        <v>1.1899464</v>
      </c>
      <c r="I46">
        <v>-0.18994646000000001</v>
      </c>
      <c r="J46">
        <v>0.45663217</v>
      </c>
    </row>
    <row r="47" spans="1:10" x14ac:dyDescent="0.3">
      <c r="A47">
        <v>45</v>
      </c>
      <c r="B47">
        <v>762</v>
      </c>
      <c r="C47" t="b">
        <v>1</v>
      </c>
      <c r="D47">
        <v>8040</v>
      </c>
      <c r="E47">
        <v>8104</v>
      </c>
      <c r="F47">
        <v>194.13333</v>
      </c>
      <c r="G47">
        <v>162.86667</v>
      </c>
      <c r="H47">
        <v>1.1919770000000001</v>
      </c>
      <c r="I47">
        <v>-0.19197705000000001</v>
      </c>
      <c r="J47">
        <v>0.45620915000000001</v>
      </c>
    </row>
    <row r="48" spans="1:10" x14ac:dyDescent="0.3">
      <c r="A48">
        <v>46</v>
      </c>
      <c r="B48">
        <v>778</v>
      </c>
      <c r="C48" t="b">
        <v>1</v>
      </c>
      <c r="D48">
        <v>8040</v>
      </c>
      <c r="E48">
        <v>8104</v>
      </c>
      <c r="F48">
        <v>193.6</v>
      </c>
      <c r="G48">
        <v>163.93333000000001</v>
      </c>
      <c r="H48">
        <v>1.1809679</v>
      </c>
      <c r="I48">
        <v>-0.18096789999999999</v>
      </c>
      <c r="J48">
        <v>0.45851204000000001</v>
      </c>
    </row>
    <row r="49" spans="1:10" x14ac:dyDescent="0.3">
      <c r="A49">
        <v>47</v>
      </c>
      <c r="B49">
        <v>794</v>
      </c>
      <c r="C49" t="b">
        <v>1</v>
      </c>
      <c r="D49">
        <v>8064</v>
      </c>
      <c r="E49">
        <v>8080</v>
      </c>
      <c r="F49">
        <v>194.66667000000001</v>
      </c>
      <c r="G49">
        <v>165</v>
      </c>
      <c r="H49">
        <v>1.1797979999999999</v>
      </c>
      <c r="I49">
        <v>-0.17979800000000001</v>
      </c>
      <c r="J49">
        <v>0.4587581</v>
      </c>
    </row>
    <row r="50" spans="1:10" x14ac:dyDescent="0.3">
      <c r="A50">
        <v>48</v>
      </c>
      <c r="B50">
        <v>809</v>
      </c>
      <c r="C50" t="b">
        <v>1</v>
      </c>
      <c r="D50">
        <v>8104</v>
      </c>
      <c r="E50">
        <v>8096</v>
      </c>
      <c r="F50">
        <v>195.73334</v>
      </c>
      <c r="G50">
        <v>167.66667000000001</v>
      </c>
      <c r="H50">
        <v>1.1673956000000001</v>
      </c>
      <c r="I50">
        <v>-0.16739561999999999</v>
      </c>
      <c r="J50">
        <v>0.46138321999999998</v>
      </c>
    </row>
    <row r="51" spans="1:10" x14ac:dyDescent="0.3">
      <c r="A51">
        <v>49</v>
      </c>
      <c r="B51">
        <v>825</v>
      </c>
      <c r="C51" t="b">
        <v>1</v>
      </c>
      <c r="D51">
        <v>8104</v>
      </c>
      <c r="E51">
        <v>8080</v>
      </c>
      <c r="F51">
        <v>198.4</v>
      </c>
      <c r="G51">
        <v>168.2</v>
      </c>
      <c r="H51">
        <v>1.1795481000000001</v>
      </c>
      <c r="I51">
        <v>-0.17954813999999999</v>
      </c>
      <c r="J51">
        <v>0.45881072000000001</v>
      </c>
    </row>
    <row r="52" spans="1:10" x14ac:dyDescent="0.3">
      <c r="A52">
        <v>50</v>
      </c>
      <c r="B52">
        <v>841</v>
      </c>
      <c r="C52" t="b">
        <v>1</v>
      </c>
      <c r="D52">
        <v>8016</v>
      </c>
      <c r="E52">
        <v>8064</v>
      </c>
      <c r="F52">
        <v>201.6</v>
      </c>
      <c r="G52">
        <v>168.2</v>
      </c>
      <c r="H52">
        <v>1.1985732</v>
      </c>
      <c r="I52">
        <v>-0.19857319000000001</v>
      </c>
      <c r="J52">
        <v>0.45484045000000001</v>
      </c>
    </row>
    <row r="53" spans="1:10" x14ac:dyDescent="0.3">
      <c r="A53">
        <v>51</v>
      </c>
      <c r="B53">
        <v>857</v>
      </c>
      <c r="C53" t="b">
        <v>1</v>
      </c>
      <c r="D53">
        <v>8096</v>
      </c>
      <c r="E53">
        <v>8032</v>
      </c>
      <c r="F53">
        <v>206.93333000000001</v>
      </c>
      <c r="G53">
        <v>169.8</v>
      </c>
      <c r="H53">
        <v>1.2186885999999999</v>
      </c>
      <c r="I53">
        <v>-0.21868863999999999</v>
      </c>
      <c r="J53">
        <v>0.45071670000000003</v>
      </c>
    </row>
    <row r="54" spans="1:10" x14ac:dyDescent="0.3">
      <c r="A54">
        <v>52</v>
      </c>
      <c r="B54">
        <v>873</v>
      </c>
      <c r="C54" t="b">
        <v>1</v>
      </c>
      <c r="D54">
        <v>8064</v>
      </c>
      <c r="E54">
        <v>8056</v>
      </c>
      <c r="F54">
        <v>212.26666</v>
      </c>
      <c r="G54">
        <v>168.73334</v>
      </c>
      <c r="H54">
        <v>1.2580007</v>
      </c>
      <c r="I54">
        <v>-0.25800073000000001</v>
      </c>
      <c r="J54">
        <v>0.44286966</v>
      </c>
    </row>
    <row r="55" spans="1:10" x14ac:dyDescent="0.3">
      <c r="A55">
        <v>53</v>
      </c>
      <c r="B55">
        <v>889</v>
      </c>
      <c r="C55" t="b">
        <v>1</v>
      </c>
      <c r="D55">
        <v>8032</v>
      </c>
      <c r="E55">
        <v>8064</v>
      </c>
      <c r="F55">
        <v>215.46665999999999</v>
      </c>
      <c r="G55">
        <v>167.13333</v>
      </c>
      <c r="H55">
        <v>1.2891903</v>
      </c>
      <c r="I55">
        <v>-0.28919022999999999</v>
      </c>
      <c r="J55">
        <v>0.43683569999999999</v>
      </c>
    </row>
    <row r="56" spans="1:10" x14ac:dyDescent="0.3">
      <c r="A56">
        <v>54</v>
      </c>
      <c r="B56">
        <v>905</v>
      </c>
      <c r="C56" t="b">
        <v>1</v>
      </c>
      <c r="D56">
        <v>8008</v>
      </c>
      <c r="E56">
        <v>8048</v>
      </c>
      <c r="F56">
        <v>216</v>
      </c>
      <c r="G56">
        <v>165</v>
      </c>
      <c r="H56">
        <v>1.3090908999999999</v>
      </c>
      <c r="I56">
        <v>-0.3090909</v>
      </c>
      <c r="J56">
        <v>0.43307087</v>
      </c>
    </row>
    <row r="57" spans="1:10" x14ac:dyDescent="0.3">
      <c r="A57">
        <v>55</v>
      </c>
      <c r="B57">
        <v>921</v>
      </c>
      <c r="C57" t="b">
        <v>1</v>
      </c>
      <c r="D57">
        <v>8056</v>
      </c>
      <c r="E57">
        <v>8080</v>
      </c>
      <c r="F57">
        <v>216.53334000000001</v>
      </c>
      <c r="G57">
        <v>162.86667</v>
      </c>
      <c r="H57">
        <v>1.3295129999999999</v>
      </c>
      <c r="I57">
        <v>-0.32951291999999999</v>
      </c>
      <c r="J57">
        <v>0.42927426000000002</v>
      </c>
    </row>
    <row r="58" spans="1:10" x14ac:dyDescent="0.3">
      <c r="A58">
        <v>56</v>
      </c>
      <c r="B58">
        <v>937</v>
      </c>
      <c r="C58" t="b">
        <v>1</v>
      </c>
      <c r="D58">
        <v>8032</v>
      </c>
      <c r="E58">
        <v>8104</v>
      </c>
      <c r="F58">
        <v>215.46665999999999</v>
      </c>
      <c r="G58">
        <v>161.26666</v>
      </c>
      <c r="H58">
        <v>1.3360893</v>
      </c>
      <c r="I58">
        <v>-0.33608927999999999</v>
      </c>
      <c r="J58">
        <v>0.4280658</v>
      </c>
    </row>
    <row r="59" spans="1:10" x14ac:dyDescent="0.3">
      <c r="A59">
        <v>57</v>
      </c>
      <c r="B59">
        <v>953</v>
      </c>
      <c r="C59" t="b">
        <v>1</v>
      </c>
      <c r="D59">
        <v>8048</v>
      </c>
      <c r="E59">
        <v>8104</v>
      </c>
      <c r="F59">
        <v>214.4</v>
      </c>
      <c r="G59">
        <v>160.73334</v>
      </c>
      <c r="H59">
        <v>1.3338863000000001</v>
      </c>
      <c r="I59">
        <v>-0.33388630000000002</v>
      </c>
      <c r="J59">
        <v>0.42846990000000001</v>
      </c>
    </row>
    <row r="60" spans="1:10" x14ac:dyDescent="0.3">
      <c r="A60">
        <v>58</v>
      </c>
      <c r="B60">
        <v>968</v>
      </c>
      <c r="C60" t="b">
        <v>1</v>
      </c>
      <c r="D60">
        <v>8040</v>
      </c>
      <c r="E60">
        <v>8088</v>
      </c>
      <c r="F60">
        <v>213.33332999999999</v>
      </c>
      <c r="G60">
        <v>161.26666</v>
      </c>
      <c r="H60">
        <v>1.3228606999999999</v>
      </c>
      <c r="I60">
        <v>-0.3228607</v>
      </c>
      <c r="J60">
        <v>0.43050367</v>
      </c>
    </row>
    <row r="61" spans="1:10" x14ac:dyDescent="0.3">
      <c r="A61">
        <v>59</v>
      </c>
      <c r="B61">
        <v>984</v>
      </c>
      <c r="C61" t="b">
        <v>1</v>
      </c>
      <c r="D61">
        <v>8064</v>
      </c>
      <c r="E61">
        <v>8080</v>
      </c>
      <c r="F61">
        <v>212.8</v>
      </c>
      <c r="G61">
        <v>161.80000000000001</v>
      </c>
      <c r="H61">
        <v>1.3152039</v>
      </c>
      <c r="I61">
        <v>-0.31520393000000002</v>
      </c>
      <c r="J61">
        <v>0.43192738000000003</v>
      </c>
    </row>
    <row r="62" spans="1:10" x14ac:dyDescent="0.3">
      <c r="A62">
        <v>60</v>
      </c>
      <c r="B62">
        <v>1000</v>
      </c>
      <c r="C62" t="b">
        <v>1</v>
      </c>
      <c r="D62">
        <v>8040</v>
      </c>
      <c r="E62">
        <v>8056</v>
      </c>
      <c r="F62">
        <v>212.26666</v>
      </c>
      <c r="G62">
        <v>162.33332999999999</v>
      </c>
      <c r="H62">
        <v>1.3075975</v>
      </c>
      <c r="I62">
        <v>-0.30759755</v>
      </c>
      <c r="J62">
        <v>0.43335116000000001</v>
      </c>
    </row>
    <row r="63" spans="1:10" x14ac:dyDescent="0.3">
      <c r="A63">
        <v>61</v>
      </c>
      <c r="B63">
        <v>1032</v>
      </c>
      <c r="C63" t="b">
        <v>1</v>
      </c>
      <c r="D63">
        <v>8008</v>
      </c>
      <c r="E63">
        <v>8080</v>
      </c>
      <c r="F63">
        <v>212.26666</v>
      </c>
      <c r="G63">
        <v>162.33332999999999</v>
      </c>
      <c r="H63">
        <v>1.3075975</v>
      </c>
      <c r="I63">
        <v>-0.30759755</v>
      </c>
      <c r="J63">
        <v>0.43335116000000001</v>
      </c>
    </row>
    <row r="64" spans="1:10" x14ac:dyDescent="0.3">
      <c r="A64">
        <v>62</v>
      </c>
      <c r="B64">
        <v>1048</v>
      </c>
      <c r="C64" t="b">
        <v>1</v>
      </c>
      <c r="D64">
        <v>8056</v>
      </c>
      <c r="E64">
        <v>8080</v>
      </c>
      <c r="F64">
        <v>212.26666</v>
      </c>
      <c r="G64">
        <v>162.33332999999999</v>
      </c>
      <c r="H64">
        <v>1.3075975</v>
      </c>
      <c r="I64">
        <v>-0.30759755</v>
      </c>
      <c r="J64">
        <v>0.43335116000000001</v>
      </c>
    </row>
    <row r="65" spans="1:10" x14ac:dyDescent="0.3">
      <c r="A65">
        <v>63</v>
      </c>
      <c r="B65">
        <v>1064</v>
      </c>
      <c r="C65" t="b">
        <v>1</v>
      </c>
      <c r="D65">
        <v>8064</v>
      </c>
      <c r="E65">
        <v>8064</v>
      </c>
      <c r="F65">
        <v>213.33332999999999</v>
      </c>
      <c r="G65">
        <v>161.26666</v>
      </c>
      <c r="H65">
        <v>1.3228606999999999</v>
      </c>
      <c r="I65">
        <v>-0.3228607</v>
      </c>
      <c r="J65">
        <v>0.43050367</v>
      </c>
    </row>
    <row r="66" spans="1:10" x14ac:dyDescent="0.3">
      <c r="A66">
        <v>64</v>
      </c>
      <c r="B66">
        <v>1080</v>
      </c>
      <c r="C66" t="b">
        <v>1</v>
      </c>
      <c r="D66">
        <v>8072</v>
      </c>
      <c r="E66">
        <v>8064</v>
      </c>
      <c r="F66">
        <v>212.8</v>
      </c>
      <c r="G66">
        <v>159.13333</v>
      </c>
      <c r="H66">
        <v>1.3372434</v>
      </c>
      <c r="I66">
        <v>-0.33724344000000001</v>
      </c>
      <c r="J66">
        <v>0.42785442000000001</v>
      </c>
    </row>
    <row r="67" spans="1:10" x14ac:dyDescent="0.3">
      <c r="A67">
        <v>65</v>
      </c>
      <c r="B67">
        <v>1096</v>
      </c>
      <c r="C67" t="b">
        <v>1</v>
      </c>
      <c r="D67">
        <v>8048</v>
      </c>
      <c r="E67">
        <v>8088</v>
      </c>
      <c r="F67">
        <v>212.26666</v>
      </c>
      <c r="G67">
        <v>159.13333</v>
      </c>
      <c r="H67">
        <v>1.3338919</v>
      </c>
      <c r="I67">
        <v>-0.33389190000000002</v>
      </c>
      <c r="J67">
        <v>0.42846885000000001</v>
      </c>
    </row>
    <row r="68" spans="1:10" x14ac:dyDescent="0.3">
      <c r="A68">
        <v>66</v>
      </c>
      <c r="B68">
        <v>1112</v>
      </c>
      <c r="C68" t="b">
        <v>1</v>
      </c>
      <c r="D68">
        <v>8016</v>
      </c>
      <c r="E68">
        <v>8080</v>
      </c>
      <c r="F68">
        <v>209.6</v>
      </c>
      <c r="G68">
        <v>159.13333</v>
      </c>
      <c r="H68">
        <v>1.3171345000000001</v>
      </c>
      <c r="I68">
        <v>-0.31713453000000003</v>
      </c>
      <c r="J68">
        <v>0.43156751999999998</v>
      </c>
    </row>
    <row r="69" spans="1:10" x14ac:dyDescent="0.3">
      <c r="A69">
        <v>67</v>
      </c>
      <c r="B69">
        <v>1127</v>
      </c>
      <c r="C69" t="b">
        <v>1</v>
      </c>
      <c r="D69">
        <v>8064</v>
      </c>
      <c r="E69">
        <v>8096</v>
      </c>
      <c r="F69">
        <v>207.46665999999999</v>
      </c>
      <c r="G69">
        <v>160.19999999999999</v>
      </c>
      <c r="H69">
        <v>1.2950478999999999</v>
      </c>
      <c r="I69">
        <v>-0.29504785</v>
      </c>
      <c r="J69">
        <v>0.43572076999999998</v>
      </c>
    </row>
    <row r="70" spans="1:10" x14ac:dyDescent="0.3">
      <c r="A70">
        <v>68</v>
      </c>
      <c r="B70">
        <v>1143</v>
      </c>
      <c r="C70" t="b">
        <v>1</v>
      </c>
      <c r="D70">
        <v>8104</v>
      </c>
      <c r="E70">
        <v>8080</v>
      </c>
      <c r="F70">
        <v>207.46665999999999</v>
      </c>
      <c r="G70">
        <v>161.26666</v>
      </c>
      <c r="H70">
        <v>1.2864819999999999</v>
      </c>
      <c r="I70">
        <v>-0.28648200000000001</v>
      </c>
      <c r="J70">
        <v>0.43735307000000001</v>
      </c>
    </row>
    <row r="71" spans="1:10" x14ac:dyDescent="0.3">
      <c r="A71">
        <v>69</v>
      </c>
      <c r="B71">
        <v>1159</v>
      </c>
      <c r="C71" t="b">
        <v>1</v>
      </c>
      <c r="D71">
        <v>8056</v>
      </c>
      <c r="E71">
        <v>8080</v>
      </c>
      <c r="F71">
        <v>209.06666999999999</v>
      </c>
      <c r="G71">
        <v>162.86667</v>
      </c>
      <c r="H71">
        <v>1.2836676</v>
      </c>
      <c r="I71">
        <v>-0.28366760000000002</v>
      </c>
      <c r="J71">
        <v>0.43789208000000002</v>
      </c>
    </row>
    <row r="72" spans="1:10" x14ac:dyDescent="0.3">
      <c r="A72">
        <v>70</v>
      </c>
      <c r="B72">
        <v>1175</v>
      </c>
      <c r="C72" t="b">
        <v>1</v>
      </c>
      <c r="D72">
        <v>8064</v>
      </c>
      <c r="E72">
        <v>8104</v>
      </c>
      <c r="F72">
        <v>209.6</v>
      </c>
      <c r="G72">
        <v>164.46665999999999</v>
      </c>
      <c r="H72">
        <v>1.2744225</v>
      </c>
      <c r="I72">
        <v>-0.27442246999999997</v>
      </c>
      <c r="J72">
        <v>0.43967208000000002</v>
      </c>
    </row>
    <row r="73" spans="1:10" x14ac:dyDescent="0.3">
      <c r="A73">
        <v>71</v>
      </c>
      <c r="B73">
        <v>1190</v>
      </c>
      <c r="C73" t="b">
        <v>1</v>
      </c>
      <c r="D73">
        <v>8016</v>
      </c>
      <c r="E73">
        <v>8064</v>
      </c>
      <c r="F73">
        <v>211.73334</v>
      </c>
      <c r="G73">
        <v>165.53334000000001</v>
      </c>
      <c r="H73">
        <v>1.2790978</v>
      </c>
      <c r="I73">
        <v>-0.27909782999999999</v>
      </c>
      <c r="J73">
        <v>0.43877011999999999</v>
      </c>
    </row>
    <row r="74" spans="1:10" x14ac:dyDescent="0.3">
      <c r="A74">
        <v>72</v>
      </c>
      <c r="B74">
        <v>1206</v>
      </c>
      <c r="C74" t="b">
        <v>1</v>
      </c>
      <c r="D74">
        <v>8072</v>
      </c>
      <c r="E74">
        <v>8080</v>
      </c>
      <c r="F74">
        <v>213.86667</v>
      </c>
      <c r="G74">
        <v>165.53334000000001</v>
      </c>
      <c r="H74">
        <v>1.2919855</v>
      </c>
      <c r="I74">
        <v>-0.29198544999999998</v>
      </c>
      <c r="J74">
        <v>0.43630292999999998</v>
      </c>
    </row>
    <row r="75" spans="1:10" x14ac:dyDescent="0.3">
      <c r="A75">
        <v>73</v>
      </c>
      <c r="B75">
        <v>1222</v>
      </c>
      <c r="C75" t="b">
        <v>1</v>
      </c>
      <c r="D75">
        <v>8064</v>
      </c>
      <c r="E75">
        <v>8080</v>
      </c>
      <c r="F75">
        <v>215.46665999999999</v>
      </c>
      <c r="G75">
        <v>165</v>
      </c>
      <c r="H75">
        <v>1.3058585</v>
      </c>
      <c r="I75">
        <v>-0.30585855000000001</v>
      </c>
      <c r="J75">
        <v>0.43367793999999998</v>
      </c>
    </row>
    <row r="76" spans="1:10" x14ac:dyDescent="0.3">
      <c r="A76">
        <v>74</v>
      </c>
      <c r="B76">
        <v>1238</v>
      </c>
      <c r="C76" t="b">
        <v>1</v>
      </c>
      <c r="D76">
        <v>8080</v>
      </c>
      <c r="E76">
        <v>8080</v>
      </c>
      <c r="F76">
        <v>216.53334000000001</v>
      </c>
      <c r="G76">
        <v>164.46665999999999</v>
      </c>
      <c r="H76">
        <v>1.3165789999999999</v>
      </c>
      <c r="I76">
        <v>-0.31657895000000003</v>
      </c>
      <c r="J76">
        <v>0.43167102000000002</v>
      </c>
    </row>
    <row r="77" spans="1:10" x14ac:dyDescent="0.3">
      <c r="A77">
        <v>75</v>
      </c>
      <c r="B77">
        <v>1254</v>
      </c>
      <c r="C77" t="b">
        <v>1</v>
      </c>
      <c r="D77">
        <v>8000</v>
      </c>
      <c r="E77">
        <v>8096</v>
      </c>
      <c r="F77">
        <v>218.13333</v>
      </c>
      <c r="G77">
        <v>163.93333000000001</v>
      </c>
      <c r="H77">
        <v>1.3306222000000001</v>
      </c>
      <c r="I77">
        <v>-0.33062219999999998</v>
      </c>
      <c r="J77">
        <v>0.42907000000000001</v>
      </c>
    </row>
    <row r="78" spans="1:10" x14ac:dyDescent="0.3">
      <c r="A78">
        <v>76</v>
      </c>
      <c r="B78">
        <v>1270</v>
      </c>
      <c r="C78" t="b">
        <v>1</v>
      </c>
      <c r="D78">
        <v>7984</v>
      </c>
      <c r="E78">
        <v>8088</v>
      </c>
      <c r="F78">
        <v>219.73334</v>
      </c>
      <c r="G78">
        <v>163.93333000000001</v>
      </c>
      <c r="H78">
        <v>1.3403822999999999</v>
      </c>
      <c r="I78">
        <v>-0.34038227999999998</v>
      </c>
      <c r="J78">
        <v>0.42728060000000001</v>
      </c>
    </row>
    <row r="79" spans="1:10" x14ac:dyDescent="0.3">
      <c r="A79">
        <v>77</v>
      </c>
      <c r="B79">
        <v>1286</v>
      </c>
      <c r="C79" t="b">
        <v>1</v>
      </c>
      <c r="D79">
        <v>8048</v>
      </c>
      <c r="E79">
        <v>8104</v>
      </c>
      <c r="F79">
        <v>220.26666</v>
      </c>
      <c r="G79">
        <v>164.46665999999999</v>
      </c>
      <c r="H79">
        <v>1.3392785</v>
      </c>
      <c r="I79">
        <v>-0.33927851999999997</v>
      </c>
      <c r="J79">
        <v>0.42748222000000002</v>
      </c>
    </row>
    <row r="80" spans="1:10" x14ac:dyDescent="0.3">
      <c r="A80">
        <v>78</v>
      </c>
      <c r="B80">
        <v>1302</v>
      </c>
      <c r="C80" t="b">
        <v>1</v>
      </c>
      <c r="D80">
        <v>8056</v>
      </c>
      <c r="E80">
        <v>8064</v>
      </c>
      <c r="F80">
        <v>219.73334</v>
      </c>
      <c r="G80">
        <v>165</v>
      </c>
      <c r="H80">
        <v>1.3317173</v>
      </c>
      <c r="I80">
        <v>-0.33171719999999999</v>
      </c>
      <c r="J80">
        <v>0.42886847</v>
      </c>
    </row>
    <row r="81" spans="1:10" x14ac:dyDescent="0.3">
      <c r="A81">
        <v>79</v>
      </c>
      <c r="B81">
        <v>1317</v>
      </c>
      <c r="C81" t="b">
        <v>1</v>
      </c>
      <c r="D81">
        <v>8104</v>
      </c>
      <c r="E81">
        <v>8104</v>
      </c>
      <c r="F81">
        <v>219.2</v>
      </c>
      <c r="G81">
        <v>167.13333</v>
      </c>
      <c r="H81">
        <v>1.3115277000000001</v>
      </c>
      <c r="I81">
        <v>-0.31152773</v>
      </c>
      <c r="J81">
        <v>0.43261432999999999</v>
      </c>
    </row>
    <row r="82" spans="1:10" x14ac:dyDescent="0.3">
      <c r="A82">
        <v>80</v>
      </c>
      <c r="B82">
        <v>1333</v>
      </c>
      <c r="C82" t="b">
        <v>1</v>
      </c>
      <c r="D82">
        <v>8008</v>
      </c>
      <c r="E82">
        <v>8096</v>
      </c>
      <c r="F82">
        <v>218.66667000000001</v>
      </c>
      <c r="G82">
        <v>168.2</v>
      </c>
      <c r="H82">
        <v>1.3000396000000001</v>
      </c>
      <c r="I82">
        <v>-0.30003967999999998</v>
      </c>
      <c r="J82">
        <v>0.43477510000000003</v>
      </c>
    </row>
    <row r="83" spans="1:10" x14ac:dyDescent="0.3">
      <c r="A83">
        <v>81</v>
      </c>
      <c r="B83">
        <v>1349</v>
      </c>
      <c r="C83" t="b">
        <v>1</v>
      </c>
      <c r="D83">
        <v>8032</v>
      </c>
      <c r="E83">
        <v>8104</v>
      </c>
      <c r="F83">
        <v>218.13333</v>
      </c>
      <c r="G83">
        <v>169.8</v>
      </c>
      <c r="H83">
        <v>1.2846485000000001</v>
      </c>
      <c r="I83">
        <v>-0.28464856999999999</v>
      </c>
      <c r="J83">
        <v>0.43770406000000001</v>
      </c>
    </row>
    <row r="84" spans="1:10" x14ac:dyDescent="0.3">
      <c r="A84">
        <v>82</v>
      </c>
      <c r="B84">
        <v>1365</v>
      </c>
      <c r="C84" t="b">
        <v>1</v>
      </c>
      <c r="D84">
        <v>8064</v>
      </c>
      <c r="E84">
        <v>8080</v>
      </c>
      <c r="F84">
        <v>217.6</v>
      </c>
      <c r="G84">
        <v>170.86667</v>
      </c>
      <c r="H84">
        <v>1.2735076000000001</v>
      </c>
      <c r="I84">
        <v>-0.27350762000000001</v>
      </c>
      <c r="J84">
        <v>0.43984899999999999</v>
      </c>
    </row>
    <row r="85" spans="1:10" x14ac:dyDescent="0.3">
      <c r="A85">
        <v>83</v>
      </c>
      <c r="B85">
        <v>1397</v>
      </c>
      <c r="C85" t="b">
        <v>1</v>
      </c>
      <c r="D85">
        <v>8104</v>
      </c>
      <c r="E85">
        <v>8056</v>
      </c>
      <c r="F85">
        <v>217.6</v>
      </c>
      <c r="G85">
        <v>171.93333000000001</v>
      </c>
      <c r="H85">
        <v>1.2656069000000001</v>
      </c>
      <c r="I85">
        <v>-0.26560685000000001</v>
      </c>
      <c r="J85">
        <v>0.44138285999999999</v>
      </c>
    </row>
    <row r="86" spans="1:10" x14ac:dyDescent="0.3">
      <c r="A86">
        <v>84</v>
      </c>
      <c r="B86">
        <v>1413</v>
      </c>
      <c r="C86" t="b">
        <v>1</v>
      </c>
      <c r="D86">
        <v>8040</v>
      </c>
      <c r="E86">
        <v>8096</v>
      </c>
      <c r="F86">
        <v>216.53334000000001</v>
      </c>
      <c r="G86">
        <v>173</v>
      </c>
      <c r="H86">
        <v>1.2516377999999999</v>
      </c>
      <c r="I86">
        <v>-0.25163782000000001</v>
      </c>
      <c r="J86">
        <v>0.44412118</v>
      </c>
    </row>
    <row r="87" spans="1:10" x14ac:dyDescent="0.3">
      <c r="A87">
        <v>85</v>
      </c>
      <c r="B87">
        <v>1428</v>
      </c>
      <c r="C87" t="b">
        <v>1</v>
      </c>
      <c r="D87">
        <v>8048</v>
      </c>
      <c r="E87">
        <v>8080</v>
      </c>
      <c r="F87">
        <v>215.46665999999999</v>
      </c>
      <c r="G87">
        <v>173</v>
      </c>
      <c r="H87">
        <v>1.2454721</v>
      </c>
      <c r="I87">
        <v>-0.24547200999999999</v>
      </c>
      <c r="J87">
        <v>0.44534063000000002</v>
      </c>
    </row>
    <row r="88" spans="1:10" x14ac:dyDescent="0.3">
      <c r="A88">
        <v>86</v>
      </c>
      <c r="B88">
        <v>1444</v>
      </c>
      <c r="C88" t="b">
        <v>1</v>
      </c>
      <c r="D88">
        <v>8064</v>
      </c>
      <c r="E88">
        <v>8088</v>
      </c>
      <c r="F88">
        <v>215.46665999999999</v>
      </c>
      <c r="G88">
        <v>173</v>
      </c>
      <c r="H88">
        <v>1.2454721</v>
      </c>
      <c r="I88">
        <v>-0.24547200999999999</v>
      </c>
      <c r="J88">
        <v>0.44534063000000002</v>
      </c>
    </row>
    <row r="89" spans="1:10" x14ac:dyDescent="0.3">
      <c r="A89">
        <v>87</v>
      </c>
      <c r="B89">
        <v>1460</v>
      </c>
      <c r="C89" t="b">
        <v>1</v>
      </c>
      <c r="D89">
        <v>8072</v>
      </c>
      <c r="E89">
        <v>8104</v>
      </c>
      <c r="F89">
        <v>215.46665999999999</v>
      </c>
      <c r="G89">
        <v>173.53334000000001</v>
      </c>
      <c r="H89">
        <v>1.2416441</v>
      </c>
      <c r="I89">
        <v>-0.24164416</v>
      </c>
      <c r="J89">
        <v>0.44610113000000001</v>
      </c>
    </row>
    <row r="90" spans="1:10" x14ac:dyDescent="0.3">
      <c r="A90">
        <v>88</v>
      </c>
      <c r="B90">
        <v>1476</v>
      </c>
      <c r="C90" t="b">
        <v>1</v>
      </c>
      <c r="D90">
        <v>8064</v>
      </c>
      <c r="E90">
        <v>8080</v>
      </c>
      <c r="F90">
        <v>215.46665999999999</v>
      </c>
      <c r="G90">
        <v>174.06666999999999</v>
      </c>
      <c r="H90">
        <v>1.2378397999999999</v>
      </c>
      <c r="I90">
        <v>-0.23783988</v>
      </c>
      <c r="J90">
        <v>0.44685950000000002</v>
      </c>
    </row>
    <row r="91" spans="1:10" x14ac:dyDescent="0.3">
      <c r="A91">
        <v>89</v>
      </c>
      <c r="B91">
        <v>1491</v>
      </c>
      <c r="C91" t="b">
        <v>1</v>
      </c>
      <c r="D91">
        <v>8064</v>
      </c>
      <c r="E91">
        <v>8080</v>
      </c>
      <c r="F91">
        <v>215.46665999999999</v>
      </c>
      <c r="G91">
        <v>174.06666999999999</v>
      </c>
      <c r="H91">
        <v>1.2378397999999999</v>
      </c>
      <c r="I91">
        <v>-0.23783988</v>
      </c>
      <c r="J91">
        <v>0.44685950000000002</v>
      </c>
    </row>
    <row r="92" spans="1:10" x14ac:dyDescent="0.3">
      <c r="A92">
        <v>90</v>
      </c>
      <c r="B92">
        <v>1507</v>
      </c>
      <c r="C92" t="b">
        <v>1</v>
      </c>
      <c r="D92">
        <v>7976</v>
      </c>
      <c r="E92">
        <v>8088</v>
      </c>
      <c r="F92">
        <v>215.46665999999999</v>
      </c>
      <c r="G92">
        <v>174.6</v>
      </c>
      <c r="H92">
        <v>1.2340587000000001</v>
      </c>
      <c r="I92">
        <v>-0.23405872</v>
      </c>
      <c r="J92">
        <v>0.44761582999999999</v>
      </c>
    </row>
    <row r="93" spans="1:10" x14ac:dyDescent="0.3">
      <c r="A93">
        <v>91</v>
      </c>
      <c r="B93">
        <v>1523</v>
      </c>
      <c r="C93" t="b">
        <v>1</v>
      </c>
      <c r="D93">
        <v>8040</v>
      </c>
      <c r="E93">
        <v>8056</v>
      </c>
      <c r="F93">
        <v>215.46665999999999</v>
      </c>
      <c r="G93">
        <v>174.6</v>
      </c>
      <c r="H93">
        <v>1.2340587000000001</v>
      </c>
      <c r="I93">
        <v>-0.23405872</v>
      </c>
      <c r="J93">
        <v>0.44761582999999999</v>
      </c>
    </row>
    <row r="94" spans="1:10" x14ac:dyDescent="0.3">
      <c r="A94">
        <v>92</v>
      </c>
      <c r="B94">
        <v>1539</v>
      </c>
      <c r="C94" t="b">
        <v>1</v>
      </c>
      <c r="D94">
        <v>8072</v>
      </c>
      <c r="E94">
        <v>8088</v>
      </c>
      <c r="F94">
        <v>216.53334000000001</v>
      </c>
      <c r="G94">
        <v>174.06666999999999</v>
      </c>
      <c r="H94">
        <v>1.2439678999999999</v>
      </c>
      <c r="I94">
        <v>-0.24396788</v>
      </c>
      <c r="J94">
        <v>0.44563915999999998</v>
      </c>
    </row>
    <row r="95" spans="1:10" x14ac:dyDescent="0.3">
      <c r="A95">
        <v>93</v>
      </c>
      <c r="B95">
        <v>1554</v>
      </c>
      <c r="C95" t="b">
        <v>1</v>
      </c>
      <c r="D95">
        <v>8032</v>
      </c>
      <c r="E95">
        <v>8080</v>
      </c>
      <c r="F95">
        <v>216</v>
      </c>
      <c r="G95">
        <v>173.53334000000001</v>
      </c>
      <c r="H95">
        <v>1.2447176</v>
      </c>
      <c r="I95">
        <v>-0.24471757999999999</v>
      </c>
      <c r="J95">
        <v>0.44549035999999997</v>
      </c>
    </row>
    <row r="96" spans="1:10" x14ac:dyDescent="0.3">
      <c r="A96">
        <v>94</v>
      </c>
      <c r="B96">
        <v>1570</v>
      </c>
      <c r="C96" t="b">
        <v>1</v>
      </c>
      <c r="D96">
        <v>8032</v>
      </c>
      <c r="E96">
        <v>8064</v>
      </c>
      <c r="F96">
        <v>214.93333000000001</v>
      </c>
      <c r="G96">
        <v>172.46665999999999</v>
      </c>
      <c r="H96">
        <v>1.2462312</v>
      </c>
      <c r="I96">
        <v>-0.24623121000000001</v>
      </c>
      <c r="J96">
        <v>0.44519013000000002</v>
      </c>
    </row>
    <row r="97" spans="1:10" x14ac:dyDescent="0.3">
      <c r="A97">
        <v>95</v>
      </c>
      <c r="B97">
        <v>1586</v>
      </c>
      <c r="C97" t="b">
        <v>1</v>
      </c>
      <c r="D97">
        <v>8072</v>
      </c>
      <c r="E97">
        <v>8104</v>
      </c>
      <c r="F97">
        <v>214.4</v>
      </c>
      <c r="G97">
        <v>171.4</v>
      </c>
      <c r="H97">
        <v>1.2508751</v>
      </c>
      <c r="I97">
        <v>-0.25087514999999999</v>
      </c>
      <c r="J97">
        <v>0.44427165000000002</v>
      </c>
    </row>
    <row r="98" spans="1:10" x14ac:dyDescent="0.3">
      <c r="A98">
        <v>96</v>
      </c>
      <c r="B98">
        <v>1602</v>
      </c>
      <c r="C98" t="b">
        <v>1</v>
      </c>
      <c r="D98">
        <v>8064</v>
      </c>
      <c r="E98">
        <v>8104</v>
      </c>
      <c r="F98">
        <v>215.46665999999999</v>
      </c>
      <c r="G98">
        <v>170.33332999999999</v>
      </c>
      <c r="H98">
        <v>1.2649706999999999</v>
      </c>
      <c r="I98">
        <v>-0.26497062999999998</v>
      </c>
      <c r="J98">
        <v>0.44150683000000002</v>
      </c>
    </row>
    <row r="99" spans="1:10" x14ac:dyDescent="0.3">
      <c r="A99">
        <v>97</v>
      </c>
      <c r="B99">
        <v>1618</v>
      </c>
      <c r="C99" t="b">
        <v>1</v>
      </c>
      <c r="D99">
        <v>8040</v>
      </c>
      <c r="E99">
        <v>8088</v>
      </c>
      <c r="F99">
        <v>214.4</v>
      </c>
      <c r="G99">
        <v>169.8</v>
      </c>
      <c r="H99">
        <v>1.2626618999999999</v>
      </c>
      <c r="I99">
        <v>-0.2626619</v>
      </c>
      <c r="J99">
        <v>0.4419573</v>
      </c>
    </row>
    <row r="100" spans="1:10" x14ac:dyDescent="0.3">
      <c r="A100">
        <v>98</v>
      </c>
      <c r="B100">
        <v>1634</v>
      </c>
      <c r="C100" t="b">
        <v>1</v>
      </c>
      <c r="D100">
        <v>8088</v>
      </c>
      <c r="E100">
        <v>8104</v>
      </c>
      <c r="F100">
        <v>214.4</v>
      </c>
      <c r="G100">
        <v>170.33332999999999</v>
      </c>
      <c r="H100">
        <v>1.2587083999999999</v>
      </c>
      <c r="I100">
        <v>-0.25870841999999999</v>
      </c>
      <c r="J100">
        <v>0.44273087</v>
      </c>
    </row>
    <row r="101" spans="1:10" x14ac:dyDescent="0.3">
      <c r="A101">
        <v>99</v>
      </c>
      <c r="B101">
        <v>1650</v>
      </c>
      <c r="C101" t="b">
        <v>1</v>
      </c>
      <c r="D101">
        <v>8048</v>
      </c>
      <c r="E101">
        <v>8104</v>
      </c>
      <c r="F101">
        <v>216</v>
      </c>
      <c r="G101">
        <v>170.86667</v>
      </c>
      <c r="H101">
        <v>1.2641435999999999</v>
      </c>
      <c r="I101">
        <v>-0.26414356</v>
      </c>
      <c r="J101">
        <v>0.44166810000000001</v>
      </c>
    </row>
    <row r="102" spans="1:10" x14ac:dyDescent="0.3">
      <c r="A102">
        <v>100</v>
      </c>
      <c r="B102">
        <v>1666</v>
      </c>
      <c r="C102" t="b">
        <v>1</v>
      </c>
      <c r="D102">
        <v>8032</v>
      </c>
      <c r="E102">
        <v>8080</v>
      </c>
      <c r="F102">
        <v>216</v>
      </c>
      <c r="G102">
        <v>172.46665999999999</v>
      </c>
      <c r="H102">
        <v>1.252416</v>
      </c>
      <c r="I102">
        <v>-0.25241597999999998</v>
      </c>
      <c r="J102">
        <v>0.44396770000000002</v>
      </c>
    </row>
    <row r="103" spans="1:10" x14ac:dyDescent="0.3">
      <c r="A103">
        <v>101</v>
      </c>
      <c r="B103">
        <v>1698</v>
      </c>
      <c r="C103" t="b">
        <v>1</v>
      </c>
      <c r="D103">
        <v>8064</v>
      </c>
      <c r="E103">
        <v>8088</v>
      </c>
      <c r="F103">
        <v>214.93333000000001</v>
      </c>
      <c r="G103">
        <v>173</v>
      </c>
      <c r="H103">
        <v>1.2423892000000001</v>
      </c>
      <c r="I103">
        <v>-0.24238921999999999</v>
      </c>
      <c r="J103">
        <v>0.44595289999999999</v>
      </c>
    </row>
    <row r="104" spans="1:10" x14ac:dyDescent="0.3">
      <c r="A104">
        <v>102</v>
      </c>
      <c r="B104">
        <v>1714</v>
      </c>
      <c r="C104" t="b">
        <v>1</v>
      </c>
      <c r="D104">
        <v>8088</v>
      </c>
      <c r="E104">
        <v>8040</v>
      </c>
      <c r="F104">
        <v>214.93333000000001</v>
      </c>
      <c r="G104">
        <v>173</v>
      </c>
      <c r="H104">
        <v>1.2423892000000001</v>
      </c>
      <c r="I104">
        <v>-0.24238921999999999</v>
      </c>
      <c r="J104">
        <v>0.44595289999999999</v>
      </c>
    </row>
    <row r="105" spans="1:10" x14ac:dyDescent="0.3">
      <c r="A105">
        <v>103</v>
      </c>
      <c r="B105">
        <v>1730</v>
      </c>
      <c r="C105" t="b">
        <v>1</v>
      </c>
      <c r="D105">
        <v>8016</v>
      </c>
      <c r="E105">
        <v>8072</v>
      </c>
      <c r="F105">
        <v>213.86667</v>
      </c>
      <c r="G105">
        <v>172.46665999999999</v>
      </c>
      <c r="H105">
        <v>1.2400465000000001</v>
      </c>
      <c r="I105">
        <v>-0.24004644</v>
      </c>
      <c r="J105">
        <v>0.44641933</v>
      </c>
    </row>
    <row r="106" spans="1:10" x14ac:dyDescent="0.3">
      <c r="A106">
        <v>104</v>
      </c>
      <c r="B106">
        <v>1746</v>
      </c>
      <c r="C106" t="b">
        <v>1</v>
      </c>
      <c r="D106">
        <v>8048</v>
      </c>
      <c r="E106">
        <v>8104</v>
      </c>
      <c r="F106">
        <v>212.8</v>
      </c>
      <c r="G106">
        <v>172.46665999999999</v>
      </c>
      <c r="H106">
        <v>1.2338617000000001</v>
      </c>
      <c r="I106">
        <v>-0.23386167999999999</v>
      </c>
      <c r="J106">
        <v>0.44765529999999998</v>
      </c>
    </row>
    <row r="107" spans="1:10" x14ac:dyDescent="0.3">
      <c r="A107">
        <v>105</v>
      </c>
      <c r="B107">
        <v>1762</v>
      </c>
      <c r="C107" t="b">
        <v>1</v>
      </c>
      <c r="D107">
        <v>8016</v>
      </c>
      <c r="E107">
        <v>8080</v>
      </c>
      <c r="F107">
        <v>211.73334</v>
      </c>
      <c r="G107">
        <v>171.93333000000001</v>
      </c>
      <c r="H107">
        <v>1.2314851</v>
      </c>
      <c r="I107">
        <v>-0.23148508000000001</v>
      </c>
      <c r="J107">
        <v>0.44813204000000001</v>
      </c>
    </row>
    <row r="108" spans="1:10" x14ac:dyDescent="0.3">
      <c r="A108">
        <v>106</v>
      </c>
      <c r="B108">
        <v>1777</v>
      </c>
      <c r="C108" t="b">
        <v>1</v>
      </c>
      <c r="D108">
        <v>8040</v>
      </c>
      <c r="E108">
        <v>8104</v>
      </c>
      <c r="F108">
        <v>210.13333</v>
      </c>
      <c r="G108">
        <v>171.93333000000001</v>
      </c>
      <c r="H108">
        <v>1.2221792</v>
      </c>
      <c r="I108">
        <v>-0.22217911000000001</v>
      </c>
      <c r="J108">
        <v>0.45000875000000001</v>
      </c>
    </row>
    <row r="109" spans="1:10" x14ac:dyDescent="0.3">
      <c r="A109">
        <v>107</v>
      </c>
      <c r="B109">
        <v>1793</v>
      </c>
      <c r="C109" t="b">
        <v>1</v>
      </c>
      <c r="D109">
        <v>8072</v>
      </c>
      <c r="E109">
        <v>8080</v>
      </c>
      <c r="F109">
        <v>208.53334000000001</v>
      </c>
      <c r="G109">
        <v>171.93333000000001</v>
      </c>
      <c r="H109">
        <v>1.2128732</v>
      </c>
      <c r="I109">
        <v>-0.21287323999999999</v>
      </c>
      <c r="J109">
        <v>0.45190117000000002</v>
      </c>
    </row>
    <row r="110" spans="1:10" x14ac:dyDescent="0.3">
      <c r="A110">
        <v>108</v>
      </c>
      <c r="B110">
        <v>1809</v>
      </c>
      <c r="C110" t="b">
        <v>1</v>
      </c>
      <c r="D110">
        <v>8048</v>
      </c>
      <c r="E110">
        <v>8088</v>
      </c>
      <c r="F110">
        <v>209.06666999999999</v>
      </c>
      <c r="G110">
        <v>172.46665999999999</v>
      </c>
      <c r="H110">
        <v>1.212215</v>
      </c>
      <c r="I110">
        <v>-0.21221496000000001</v>
      </c>
      <c r="J110">
        <v>0.45203564000000002</v>
      </c>
    </row>
    <row r="111" spans="1:10" x14ac:dyDescent="0.3">
      <c r="A111">
        <v>109</v>
      </c>
      <c r="B111">
        <v>1825</v>
      </c>
      <c r="C111" t="b">
        <v>1</v>
      </c>
      <c r="D111">
        <v>8048</v>
      </c>
      <c r="E111">
        <v>8104</v>
      </c>
      <c r="F111">
        <v>210.13333</v>
      </c>
      <c r="G111">
        <v>173</v>
      </c>
      <c r="H111">
        <v>1.2146435</v>
      </c>
      <c r="I111">
        <v>-0.21464353999999999</v>
      </c>
      <c r="J111">
        <v>0.45153992999999998</v>
      </c>
    </row>
    <row r="112" spans="1:10" x14ac:dyDescent="0.3">
      <c r="A112">
        <v>110</v>
      </c>
      <c r="B112">
        <v>1841</v>
      </c>
      <c r="C112" t="b">
        <v>1</v>
      </c>
      <c r="D112">
        <v>8080</v>
      </c>
      <c r="E112">
        <v>8056</v>
      </c>
      <c r="F112">
        <v>210.66667000000001</v>
      </c>
      <c r="G112">
        <v>173.53334000000001</v>
      </c>
      <c r="H112">
        <v>1.2139838999999999</v>
      </c>
      <c r="I112">
        <v>-0.21398385</v>
      </c>
      <c r="J112">
        <v>0.45167449999999998</v>
      </c>
    </row>
    <row r="113" spans="1:10" x14ac:dyDescent="0.3">
      <c r="A113">
        <v>111</v>
      </c>
      <c r="B113">
        <v>1856</v>
      </c>
      <c r="C113" t="b">
        <v>1</v>
      </c>
      <c r="D113">
        <v>8056</v>
      </c>
      <c r="E113">
        <v>8104</v>
      </c>
      <c r="F113">
        <v>210.13333</v>
      </c>
      <c r="G113">
        <v>173.53334000000001</v>
      </c>
      <c r="H113">
        <v>1.2109103999999999</v>
      </c>
      <c r="I113">
        <v>-0.21091041999999999</v>
      </c>
      <c r="J113">
        <v>0.45230234000000002</v>
      </c>
    </row>
    <row r="114" spans="1:10" x14ac:dyDescent="0.3">
      <c r="A114">
        <v>112</v>
      </c>
      <c r="B114">
        <v>1873</v>
      </c>
      <c r="C114" t="b">
        <v>1</v>
      </c>
      <c r="D114">
        <v>8032</v>
      </c>
      <c r="E114">
        <v>8088</v>
      </c>
      <c r="F114">
        <v>210.66667000000001</v>
      </c>
      <c r="G114">
        <v>173.53334000000001</v>
      </c>
      <c r="H114">
        <v>1.2139838999999999</v>
      </c>
      <c r="I114">
        <v>-0.21398385</v>
      </c>
      <c r="J114">
        <v>0.45167449999999998</v>
      </c>
    </row>
    <row r="115" spans="1:10" x14ac:dyDescent="0.3">
      <c r="A115">
        <v>113</v>
      </c>
      <c r="B115">
        <v>1888</v>
      </c>
      <c r="C115" t="b">
        <v>1</v>
      </c>
      <c r="D115">
        <v>8016</v>
      </c>
      <c r="E115">
        <v>8080</v>
      </c>
      <c r="F115">
        <v>209.6</v>
      </c>
      <c r="G115">
        <v>172.46665999999999</v>
      </c>
      <c r="H115">
        <v>1.2153073999999999</v>
      </c>
      <c r="I115">
        <v>-0.21530737999999999</v>
      </c>
      <c r="J115">
        <v>0.45140462999999997</v>
      </c>
    </row>
    <row r="116" spans="1:10" x14ac:dyDescent="0.3">
      <c r="A116">
        <v>114</v>
      </c>
      <c r="B116">
        <v>1904</v>
      </c>
      <c r="C116" t="b">
        <v>1</v>
      </c>
      <c r="D116">
        <v>8024</v>
      </c>
      <c r="E116">
        <v>8080</v>
      </c>
      <c r="F116">
        <v>207.46665999999999</v>
      </c>
      <c r="G116">
        <v>170.86667</v>
      </c>
      <c r="H116">
        <v>1.214202</v>
      </c>
      <c r="I116">
        <v>-0.21420205</v>
      </c>
      <c r="J116">
        <v>0.45162999999999998</v>
      </c>
    </row>
    <row r="117" spans="1:10" x14ac:dyDescent="0.3">
      <c r="A117">
        <v>115</v>
      </c>
      <c r="B117">
        <v>1920</v>
      </c>
      <c r="C117" t="b">
        <v>1</v>
      </c>
      <c r="D117">
        <v>8064</v>
      </c>
      <c r="E117">
        <v>8088</v>
      </c>
      <c r="F117">
        <v>206.4</v>
      </c>
      <c r="G117">
        <v>169.8</v>
      </c>
      <c r="H117">
        <v>1.2155476999999999</v>
      </c>
      <c r="I117">
        <v>-0.21554765000000001</v>
      </c>
      <c r="J117">
        <v>0.45135566999999999</v>
      </c>
    </row>
    <row r="118" spans="1:10" x14ac:dyDescent="0.3">
      <c r="A118">
        <v>116</v>
      </c>
      <c r="B118">
        <v>1936</v>
      </c>
      <c r="C118" t="b">
        <v>1</v>
      </c>
      <c r="D118">
        <v>8088</v>
      </c>
      <c r="E118">
        <v>8112</v>
      </c>
      <c r="F118">
        <v>205.33332999999999</v>
      </c>
      <c r="G118">
        <v>169.8</v>
      </c>
      <c r="H118">
        <v>1.2092657</v>
      </c>
      <c r="I118">
        <v>-0.20926575</v>
      </c>
      <c r="J118">
        <v>0.45263906999999998</v>
      </c>
    </row>
    <row r="119" spans="1:10" x14ac:dyDescent="0.3">
      <c r="A119">
        <v>117</v>
      </c>
      <c r="B119">
        <v>1952</v>
      </c>
      <c r="C119" t="b">
        <v>1</v>
      </c>
      <c r="D119">
        <v>8128</v>
      </c>
      <c r="E119">
        <v>8080</v>
      </c>
      <c r="F119">
        <v>205.33332999999999</v>
      </c>
      <c r="G119">
        <v>169.26666</v>
      </c>
      <c r="H119">
        <v>1.213076</v>
      </c>
      <c r="I119">
        <v>-0.21307601000000001</v>
      </c>
      <c r="J119">
        <v>0.45185976999999999</v>
      </c>
    </row>
    <row r="120" spans="1:10" x14ac:dyDescent="0.3">
      <c r="A120">
        <v>118</v>
      </c>
      <c r="B120">
        <v>1968</v>
      </c>
      <c r="C120" t="b">
        <v>1</v>
      </c>
      <c r="D120">
        <v>8016</v>
      </c>
      <c r="E120">
        <v>8048</v>
      </c>
      <c r="F120">
        <v>206.4</v>
      </c>
      <c r="G120">
        <v>169.26666</v>
      </c>
      <c r="H120">
        <v>1.2193778</v>
      </c>
      <c r="I120">
        <v>-0.21937770000000001</v>
      </c>
      <c r="J120">
        <v>0.45057675000000003</v>
      </c>
    </row>
    <row r="121" spans="1:10" x14ac:dyDescent="0.3">
      <c r="A121">
        <v>119</v>
      </c>
      <c r="B121">
        <v>1984</v>
      </c>
      <c r="C121" t="b">
        <v>1</v>
      </c>
      <c r="D121">
        <v>8080</v>
      </c>
      <c r="E121">
        <v>8088</v>
      </c>
      <c r="F121">
        <v>208.53334000000001</v>
      </c>
      <c r="G121">
        <v>169.8</v>
      </c>
      <c r="H121">
        <v>1.2281115</v>
      </c>
      <c r="I121">
        <v>-0.22811152000000001</v>
      </c>
      <c r="J121">
        <v>0.44881058000000001</v>
      </c>
    </row>
    <row r="122" spans="1:10" x14ac:dyDescent="0.3">
      <c r="A122">
        <v>120</v>
      </c>
      <c r="B122">
        <v>2000</v>
      </c>
      <c r="C122" t="b">
        <v>1</v>
      </c>
      <c r="D122">
        <v>8104</v>
      </c>
      <c r="E122">
        <v>8088</v>
      </c>
      <c r="F122">
        <v>211.2</v>
      </c>
      <c r="G122">
        <v>170.33332999999999</v>
      </c>
      <c r="H122">
        <v>1.2399217</v>
      </c>
      <c r="I122">
        <v>-0.23992174999999999</v>
      </c>
      <c r="J122">
        <v>0.44644418000000002</v>
      </c>
    </row>
    <row r="123" spans="1:10" x14ac:dyDescent="0.3">
      <c r="A123">
        <v>121</v>
      </c>
      <c r="B123">
        <v>2031</v>
      </c>
      <c r="C123" t="b">
        <v>1</v>
      </c>
      <c r="D123">
        <v>8104</v>
      </c>
      <c r="E123">
        <v>8080</v>
      </c>
      <c r="F123">
        <v>215.46665999999999</v>
      </c>
      <c r="G123">
        <v>170.33332999999999</v>
      </c>
      <c r="H123">
        <v>1.2649706999999999</v>
      </c>
      <c r="I123">
        <v>-0.26497062999999998</v>
      </c>
      <c r="J123">
        <v>0.44150683000000002</v>
      </c>
    </row>
    <row r="124" spans="1:10" x14ac:dyDescent="0.3">
      <c r="A124">
        <v>122</v>
      </c>
      <c r="B124">
        <v>2047</v>
      </c>
      <c r="C124" t="b">
        <v>1</v>
      </c>
      <c r="D124">
        <v>8064</v>
      </c>
      <c r="E124">
        <v>8080</v>
      </c>
      <c r="F124">
        <v>218.13333</v>
      </c>
      <c r="G124">
        <v>170.33332999999999</v>
      </c>
      <c r="H124">
        <v>1.2806263</v>
      </c>
      <c r="I124">
        <v>-0.28062624000000003</v>
      </c>
      <c r="J124">
        <v>0.43847603000000002</v>
      </c>
    </row>
    <row r="125" spans="1:10" x14ac:dyDescent="0.3">
      <c r="A125">
        <v>123</v>
      </c>
      <c r="B125">
        <v>2063</v>
      </c>
      <c r="C125" t="b">
        <v>1</v>
      </c>
      <c r="D125">
        <v>8056</v>
      </c>
      <c r="E125">
        <v>8072</v>
      </c>
      <c r="F125">
        <v>220.26666</v>
      </c>
      <c r="G125">
        <v>169.8</v>
      </c>
      <c r="H125">
        <v>1.2972124</v>
      </c>
      <c r="I125">
        <v>-0.29721236000000001</v>
      </c>
      <c r="J125">
        <v>0.43531019999999998</v>
      </c>
    </row>
    <row r="126" spans="1:10" x14ac:dyDescent="0.3">
      <c r="A126">
        <v>124</v>
      </c>
      <c r="B126">
        <v>2079</v>
      </c>
      <c r="C126" t="b">
        <v>1</v>
      </c>
      <c r="D126">
        <v>8080</v>
      </c>
      <c r="E126">
        <v>8064</v>
      </c>
      <c r="F126">
        <v>222.4</v>
      </c>
      <c r="G126">
        <v>169.26666</v>
      </c>
      <c r="H126">
        <v>1.3139031000000001</v>
      </c>
      <c r="I126">
        <v>-0.31390309999999999</v>
      </c>
      <c r="J126">
        <v>0.4321702</v>
      </c>
    </row>
    <row r="127" spans="1:10" x14ac:dyDescent="0.3">
      <c r="A127">
        <v>125</v>
      </c>
      <c r="B127">
        <v>2095</v>
      </c>
      <c r="C127" t="b">
        <v>1</v>
      </c>
      <c r="D127">
        <v>8040</v>
      </c>
      <c r="E127">
        <v>8120</v>
      </c>
      <c r="F127">
        <v>223.46665999999999</v>
      </c>
      <c r="G127">
        <v>168.73334</v>
      </c>
      <c r="H127">
        <v>1.3243777000000001</v>
      </c>
      <c r="I127">
        <v>-0.32437766000000001</v>
      </c>
      <c r="J127">
        <v>0.43022265999999998</v>
      </c>
    </row>
    <row r="128" spans="1:10" x14ac:dyDescent="0.3">
      <c r="A128">
        <v>126</v>
      </c>
      <c r="B128">
        <v>2111</v>
      </c>
      <c r="C128" t="b">
        <v>1</v>
      </c>
      <c r="D128">
        <v>8080</v>
      </c>
      <c r="E128">
        <v>8096</v>
      </c>
      <c r="F128">
        <v>224</v>
      </c>
      <c r="G128">
        <v>168.2</v>
      </c>
      <c r="H128">
        <v>1.3317479000000001</v>
      </c>
      <c r="I128">
        <v>-0.33174795000000001</v>
      </c>
      <c r="J128">
        <v>0.42886279999999999</v>
      </c>
    </row>
    <row r="129" spans="1:10" x14ac:dyDescent="0.3">
      <c r="A129">
        <v>127</v>
      </c>
      <c r="B129">
        <v>2127</v>
      </c>
      <c r="C129" t="b">
        <v>1</v>
      </c>
      <c r="D129">
        <v>8112</v>
      </c>
      <c r="E129">
        <v>8088</v>
      </c>
      <c r="F129">
        <v>226.13333</v>
      </c>
      <c r="G129">
        <v>168.2</v>
      </c>
      <c r="H129">
        <v>1.3444313000000001</v>
      </c>
      <c r="I129">
        <v>-0.34443125000000002</v>
      </c>
      <c r="J129">
        <v>0.4265427</v>
      </c>
    </row>
    <row r="130" spans="1:10" x14ac:dyDescent="0.3">
      <c r="A130">
        <v>128</v>
      </c>
      <c r="B130">
        <v>2142</v>
      </c>
      <c r="C130" t="b">
        <v>1</v>
      </c>
      <c r="D130">
        <v>8064</v>
      </c>
      <c r="E130">
        <v>8088</v>
      </c>
      <c r="F130">
        <v>228.26666</v>
      </c>
      <c r="G130">
        <v>168.2</v>
      </c>
      <c r="H130">
        <v>1.3571146000000001</v>
      </c>
      <c r="I130">
        <v>-0.35711454999999998</v>
      </c>
      <c r="J130">
        <v>0.4242475</v>
      </c>
    </row>
    <row r="131" spans="1:10" x14ac:dyDescent="0.3">
      <c r="A131">
        <v>129</v>
      </c>
      <c r="B131">
        <v>2158</v>
      </c>
      <c r="C131" t="b">
        <v>1</v>
      </c>
      <c r="D131">
        <v>8088</v>
      </c>
      <c r="E131">
        <v>8072</v>
      </c>
      <c r="F131">
        <v>231.46665999999999</v>
      </c>
      <c r="G131">
        <v>168.73334</v>
      </c>
      <c r="H131">
        <v>1.3717896999999999</v>
      </c>
      <c r="I131">
        <v>-0.37178971999999999</v>
      </c>
      <c r="J131">
        <v>0.42162250000000001</v>
      </c>
    </row>
    <row r="132" spans="1:10" x14ac:dyDescent="0.3">
      <c r="A132">
        <v>130</v>
      </c>
      <c r="B132">
        <v>2174</v>
      </c>
      <c r="C132" t="b">
        <v>1</v>
      </c>
      <c r="D132">
        <v>8072</v>
      </c>
      <c r="E132">
        <v>8096</v>
      </c>
      <c r="F132">
        <v>234.66667000000001</v>
      </c>
      <c r="G132">
        <v>168.73334</v>
      </c>
      <c r="H132">
        <v>1.3907546</v>
      </c>
      <c r="I132">
        <v>-0.39075463999999999</v>
      </c>
      <c r="J132">
        <v>0.41827795000000001</v>
      </c>
    </row>
    <row r="133" spans="1:10" x14ac:dyDescent="0.3">
      <c r="A133">
        <v>131</v>
      </c>
      <c r="B133">
        <v>2190</v>
      </c>
      <c r="C133" t="b">
        <v>1</v>
      </c>
      <c r="D133">
        <v>8064</v>
      </c>
      <c r="E133">
        <v>8104</v>
      </c>
      <c r="F133">
        <v>237.33332999999999</v>
      </c>
      <c r="G133">
        <v>168.73334</v>
      </c>
      <c r="H133">
        <v>1.4065586000000001</v>
      </c>
      <c r="I133">
        <v>-0.40655859999999999</v>
      </c>
      <c r="J133">
        <v>0.41553113000000003</v>
      </c>
    </row>
    <row r="134" spans="1:10" x14ac:dyDescent="0.3">
      <c r="A134">
        <v>132</v>
      </c>
      <c r="B134">
        <v>2206</v>
      </c>
      <c r="C134" t="b">
        <v>1</v>
      </c>
      <c r="D134">
        <v>8152</v>
      </c>
      <c r="E134">
        <v>8104</v>
      </c>
      <c r="F134">
        <v>237.86667</v>
      </c>
      <c r="G134">
        <v>169.8</v>
      </c>
      <c r="H134">
        <v>1.4008638</v>
      </c>
      <c r="I134">
        <v>-0.40086374000000002</v>
      </c>
      <c r="J134">
        <v>0.41651674999999999</v>
      </c>
    </row>
    <row r="135" spans="1:10" x14ac:dyDescent="0.3">
      <c r="A135">
        <v>133</v>
      </c>
      <c r="B135">
        <v>2222</v>
      </c>
      <c r="C135" t="b">
        <v>1</v>
      </c>
      <c r="D135">
        <v>8040</v>
      </c>
      <c r="E135">
        <v>8080</v>
      </c>
      <c r="F135">
        <v>238.4</v>
      </c>
      <c r="G135">
        <v>170.86667</v>
      </c>
      <c r="H135">
        <v>1.39524</v>
      </c>
      <c r="I135">
        <v>-0.39523989999999998</v>
      </c>
      <c r="J135">
        <v>0.4174947</v>
      </c>
    </row>
    <row r="136" spans="1:10" x14ac:dyDescent="0.3">
      <c r="A136">
        <v>134</v>
      </c>
      <c r="B136">
        <v>2238</v>
      </c>
      <c r="C136" t="b">
        <v>1</v>
      </c>
      <c r="D136">
        <v>8080</v>
      </c>
      <c r="E136">
        <v>8088</v>
      </c>
      <c r="F136">
        <v>237.86667</v>
      </c>
      <c r="G136">
        <v>171.4</v>
      </c>
      <c r="H136">
        <v>1.3877869</v>
      </c>
      <c r="I136">
        <v>-0.38778691999999998</v>
      </c>
      <c r="J136">
        <v>0.41879785000000003</v>
      </c>
    </row>
    <row r="137" spans="1:10" x14ac:dyDescent="0.3">
      <c r="A137">
        <v>135</v>
      </c>
      <c r="B137">
        <v>2254</v>
      </c>
      <c r="C137" t="b">
        <v>1</v>
      </c>
      <c r="D137">
        <v>8032</v>
      </c>
      <c r="E137">
        <v>8112</v>
      </c>
      <c r="F137">
        <v>236.26666</v>
      </c>
      <c r="G137">
        <v>172.46665999999999</v>
      </c>
      <c r="H137">
        <v>1.3699266000000001</v>
      </c>
      <c r="I137">
        <v>-0.36992659999999999</v>
      </c>
      <c r="J137">
        <v>0.42195398000000001</v>
      </c>
    </row>
    <row r="138" spans="1:10" x14ac:dyDescent="0.3">
      <c r="A138">
        <v>136</v>
      </c>
      <c r="B138">
        <v>2269</v>
      </c>
      <c r="C138" t="b">
        <v>1</v>
      </c>
      <c r="D138">
        <v>8016</v>
      </c>
      <c r="E138">
        <v>8096</v>
      </c>
      <c r="F138">
        <v>232</v>
      </c>
      <c r="G138">
        <v>173.53334000000001</v>
      </c>
      <c r="H138">
        <v>1.3369188000000001</v>
      </c>
      <c r="I138">
        <v>-0.33691890000000002</v>
      </c>
      <c r="J138">
        <v>0.42791386999999997</v>
      </c>
    </row>
    <row r="139" spans="1:10" x14ac:dyDescent="0.3">
      <c r="A139">
        <v>137</v>
      </c>
      <c r="B139">
        <v>2285</v>
      </c>
      <c r="C139" t="b">
        <v>1</v>
      </c>
      <c r="D139">
        <v>8072</v>
      </c>
      <c r="E139">
        <v>8064</v>
      </c>
      <c r="F139">
        <v>229.33332999999999</v>
      </c>
      <c r="G139">
        <v>174.06666999999999</v>
      </c>
      <c r="H139">
        <v>1.3175029</v>
      </c>
      <c r="I139">
        <v>-0.31750286</v>
      </c>
      <c r="J139">
        <v>0.43149891000000001</v>
      </c>
    </row>
    <row r="140" spans="1:10" x14ac:dyDescent="0.3">
      <c r="A140">
        <v>138</v>
      </c>
      <c r="B140">
        <v>2301</v>
      </c>
      <c r="C140" t="b">
        <v>1</v>
      </c>
      <c r="D140">
        <v>8064</v>
      </c>
      <c r="E140">
        <v>8088</v>
      </c>
      <c r="F140">
        <v>228.26666</v>
      </c>
      <c r="G140">
        <v>174.6</v>
      </c>
      <c r="H140">
        <v>1.3073691000000001</v>
      </c>
      <c r="I140">
        <v>-0.30736913999999999</v>
      </c>
      <c r="J140">
        <v>0.433394</v>
      </c>
    </row>
    <row r="141" spans="1:10" x14ac:dyDescent="0.3">
      <c r="A141">
        <v>139</v>
      </c>
      <c r="B141">
        <v>2317</v>
      </c>
      <c r="C141" t="b">
        <v>1</v>
      </c>
      <c r="D141">
        <v>8040</v>
      </c>
      <c r="E141">
        <v>8080</v>
      </c>
      <c r="F141">
        <v>225.6</v>
      </c>
      <c r="G141">
        <v>175.13333</v>
      </c>
      <c r="H141">
        <v>1.2881613999999999</v>
      </c>
      <c r="I141">
        <v>-0.28816145999999998</v>
      </c>
      <c r="J141">
        <v>0.43703209999999998</v>
      </c>
    </row>
    <row r="142" spans="1:10" x14ac:dyDescent="0.3">
      <c r="A142">
        <v>140</v>
      </c>
      <c r="B142">
        <v>2333</v>
      </c>
      <c r="C142" t="b">
        <v>1</v>
      </c>
      <c r="D142">
        <v>7968</v>
      </c>
      <c r="E142">
        <v>8048</v>
      </c>
      <c r="F142">
        <v>224</v>
      </c>
      <c r="G142">
        <v>175.13333</v>
      </c>
      <c r="H142">
        <v>1.2790256</v>
      </c>
      <c r="I142">
        <v>-0.27902552000000003</v>
      </c>
      <c r="J142">
        <v>0.43878402999999999</v>
      </c>
    </row>
    <row r="143" spans="1:10" x14ac:dyDescent="0.3">
      <c r="A143">
        <v>141</v>
      </c>
      <c r="B143">
        <v>2348</v>
      </c>
      <c r="C143" t="b">
        <v>1</v>
      </c>
      <c r="D143">
        <v>8072</v>
      </c>
      <c r="E143">
        <v>8088</v>
      </c>
      <c r="F143">
        <v>224</v>
      </c>
      <c r="G143">
        <v>175.13333</v>
      </c>
      <c r="H143">
        <v>1.2790256</v>
      </c>
      <c r="I143">
        <v>-0.27902552000000003</v>
      </c>
      <c r="J143">
        <v>0.43878402999999999</v>
      </c>
    </row>
    <row r="144" spans="1:10" x14ac:dyDescent="0.3">
      <c r="A144">
        <v>142</v>
      </c>
      <c r="B144">
        <v>2364</v>
      </c>
      <c r="C144" t="b">
        <v>1</v>
      </c>
      <c r="D144">
        <v>8072</v>
      </c>
      <c r="E144">
        <v>8080</v>
      </c>
      <c r="F144">
        <v>222.93333000000001</v>
      </c>
      <c r="G144">
        <v>174.6</v>
      </c>
      <c r="H144">
        <v>1.2768231999999999</v>
      </c>
      <c r="I144">
        <v>-0.27682316000000001</v>
      </c>
      <c r="J144">
        <v>0.43920848000000001</v>
      </c>
    </row>
    <row r="145" spans="1:10" x14ac:dyDescent="0.3">
      <c r="A145">
        <v>143</v>
      </c>
      <c r="B145">
        <v>2380</v>
      </c>
      <c r="C145" t="b">
        <v>1</v>
      </c>
      <c r="D145">
        <v>8072</v>
      </c>
      <c r="E145">
        <v>8080</v>
      </c>
      <c r="F145">
        <v>222.4</v>
      </c>
      <c r="G145">
        <v>174.06666999999999</v>
      </c>
      <c r="H145">
        <v>1.2776713</v>
      </c>
      <c r="I145">
        <v>-0.27767136999999997</v>
      </c>
      <c r="J145">
        <v>0.43904490000000002</v>
      </c>
    </row>
    <row r="146" spans="1:10" x14ac:dyDescent="0.3">
      <c r="A146">
        <v>144</v>
      </c>
      <c r="B146">
        <v>2396</v>
      </c>
      <c r="C146" t="b">
        <v>1</v>
      </c>
      <c r="D146">
        <v>8056</v>
      </c>
      <c r="E146">
        <v>8096</v>
      </c>
      <c r="F146">
        <v>221.86667</v>
      </c>
      <c r="G146">
        <v>173.53334000000001</v>
      </c>
      <c r="H146">
        <v>1.2785248</v>
      </c>
      <c r="I146">
        <v>-0.27852473</v>
      </c>
      <c r="J146">
        <v>0.43888043999999998</v>
      </c>
    </row>
    <row r="147" spans="1:10" x14ac:dyDescent="0.3">
      <c r="A147">
        <v>145</v>
      </c>
      <c r="B147">
        <v>2412</v>
      </c>
      <c r="C147" t="b">
        <v>1</v>
      </c>
      <c r="D147">
        <v>8080</v>
      </c>
      <c r="E147">
        <v>8104</v>
      </c>
      <c r="F147">
        <v>221.33332999999999</v>
      </c>
      <c r="G147">
        <v>173.53334000000001</v>
      </c>
      <c r="H147">
        <v>1.2754513000000001</v>
      </c>
      <c r="I147">
        <v>-0.27545132999999999</v>
      </c>
      <c r="J147">
        <v>0.43947323999999999</v>
      </c>
    </row>
    <row r="148" spans="1:10" x14ac:dyDescent="0.3">
      <c r="A148">
        <v>146</v>
      </c>
      <c r="B148">
        <v>2428</v>
      </c>
      <c r="C148" t="b">
        <v>1</v>
      </c>
      <c r="D148">
        <v>8040</v>
      </c>
      <c r="E148">
        <v>8096</v>
      </c>
      <c r="F148">
        <v>221.33332999999999</v>
      </c>
      <c r="G148">
        <v>174.06666999999999</v>
      </c>
      <c r="H148">
        <v>1.2715434999999999</v>
      </c>
      <c r="I148">
        <v>-0.27154344000000002</v>
      </c>
      <c r="J148">
        <v>0.44022929999999999</v>
      </c>
    </row>
    <row r="149" spans="1:10" x14ac:dyDescent="0.3">
      <c r="A149">
        <v>147</v>
      </c>
      <c r="B149">
        <v>2444</v>
      </c>
      <c r="C149" t="b">
        <v>1</v>
      </c>
      <c r="D149">
        <v>8064</v>
      </c>
      <c r="E149">
        <v>8104</v>
      </c>
      <c r="F149">
        <v>220.8</v>
      </c>
      <c r="G149">
        <v>174.06666999999999</v>
      </c>
      <c r="H149">
        <v>1.2684796</v>
      </c>
      <c r="I149">
        <v>-0.26847953000000002</v>
      </c>
      <c r="J149">
        <v>0.44082389999999999</v>
      </c>
    </row>
    <row r="150" spans="1:10" x14ac:dyDescent="0.3">
      <c r="A150">
        <v>148</v>
      </c>
      <c r="B150">
        <v>2459</v>
      </c>
      <c r="C150" t="b">
        <v>1</v>
      </c>
      <c r="D150">
        <v>8088</v>
      </c>
      <c r="E150">
        <v>8080</v>
      </c>
      <c r="F150">
        <v>220.26666</v>
      </c>
      <c r="G150">
        <v>174.06666999999999</v>
      </c>
      <c r="H150">
        <v>1.2654155</v>
      </c>
      <c r="I150">
        <v>-0.26541552000000002</v>
      </c>
      <c r="J150">
        <v>0.44142014000000002</v>
      </c>
    </row>
    <row r="151" spans="1:10" x14ac:dyDescent="0.3">
      <c r="A151">
        <v>149</v>
      </c>
      <c r="B151">
        <v>2476</v>
      </c>
      <c r="C151" t="b">
        <v>1</v>
      </c>
      <c r="D151">
        <v>8056</v>
      </c>
      <c r="E151">
        <v>8080</v>
      </c>
      <c r="F151">
        <v>219.73334</v>
      </c>
      <c r="G151">
        <v>174.06666999999999</v>
      </c>
      <c r="H151">
        <v>1.2623515999999999</v>
      </c>
      <c r="I151">
        <v>-0.26235163</v>
      </c>
      <c r="J151">
        <v>0.44201794</v>
      </c>
    </row>
    <row r="152" spans="1:10" x14ac:dyDescent="0.3">
      <c r="A152">
        <v>150</v>
      </c>
      <c r="B152">
        <v>2492</v>
      </c>
      <c r="C152" t="b">
        <v>1</v>
      </c>
      <c r="D152">
        <v>8088</v>
      </c>
      <c r="E152">
        <v>8104</v>
      </c>
      <c r="F152">
        <v>219.73334</v>
      </c>
      <c r="G152">
        <v>173.53334000000001</v>
      </c>
      <c r="H152">
        <v>1.2662313000000001</v>
      </c>
      <c r="I152">
        <v>-0.26623123999999998</v>
      </c>
      <c r="J152">
        <v>0.44126125999999999</v>
      </c>
    </row>
    <row r="153" spans="1:10" x14ac:dyDescent="0.3">
      <c r="A153">
        <v>151</v>
      </c>
      <c r="B153">
        <v>2507</v>
      </c>
      <c r="C153" t="b">
        <v>1</v>
      </c>
      <c r="D153">
        <v>8088</v>
      </c>
      <c r="E153">
        <v>8056</v>
      </c>
      <c r="F153">
        <v>222.93333000000001</v>
      </c>
      <c r="G153">
        <v>172.46665999999999</v>
      </c>
      <c r="H153">
        <v>1.2926169999999999</v>
      </c>
      <c r="I153">
        <v>-0.29261700000000002</v>
      </c>
      <c r="J153">
        <v>0.43618277</v>
      </c>
    </row>
    <row r="154" spans="1:10" x14ac:dyDescent="0.3">
      <c r="A154">
        <v>152</v>
      </c>
      <c r="B154">
        <v>2523</v>
      </c>
      <c r="C154" t="b">
        <v>1</v>
      </c>
      <c r="D154">
        <v>8064</v>
      </c>
      <c r="E154">
        <v>8072</v>
      </c>
      <c r="F154">
        <v>226.13333</v>
      </c>
      <c r="G154">
        <v>171.93333000000001</v>
      </c>
      <c r="H154">
        <v>1.3152385</v>
      </c>
      <c r="I154">
        <v>-0.31523845</v>
      </c>
      <c r="J154">
        <v>0.43192098000000001</v>
      </c>
    </row>
    <row r="155" spans="1:10" x14ac:dyDescent="0.3">
      <c r="A155">
        <v>153</v>
      </c>
      <c r="B155">
        <v>2539</v>
      </c>
      <c r="C155" t="b">
        <v>1</v>
      </c>
      <c r="D155">
        <v>8088</v>
      </c>
      <c r="E155">
        <v>8104</v>
      </c>
      <c r="F155">
        <v>227.73334</v>
      </c>
      <c r="G155">
        <v>171.4</v>
      </c>
      <c r="H155">
        <v>1.3286659999999999</v>
      </c>
      <c r="I155">
        <v>-0.32866596999999997</v>
      </c>
      <c r="J155">
        <v>0.42943042999999997</v>
      </c>
    </row>
    <row r="156" spans="1:10" x14ac:dyDescent="0.3">
      <c r="A156">
        <v>154</v>
      </c>
      <c r="B156">
        <v>2555</v>
      </c>
      <c r="C156" t="b">
        <v>1</v>
      </c>
      <c r="D156">
        <v>8104</v>
      </c>
      <c r="E156">
        <v>8104</v>
      </c>
      <c r="F156">
        <v>230.93333000000001</v>
      </c>
      <c r="G156">
        <v>172.46665999999999</v>
      </c>
      <c r="H156">
        <v>1.3390027</v>
      </c>
      <c r="I156">
        <v>-0.33900276000000001</v>
      </c>
      <c r="J156">
        <v>0.42753259999999998</v>
      </c>
    </row>
    <row r="157" spans="1:10" x14ac:dyDescent="0.3">
      <c r="A157">
        <v>155</v>
      </c>
      <c r="B157">
        <v>2571</v>
      </c>
      <c r="C157" t="b">
        <v>1</v>
      </c>
      <c r="D157">
        <v>8040</v>
      </c>
      <c r="E157">
        <v>8096</v>
      </c>
      <c r="F157">
        <v>234.13333</v>
      </c>
      <c r="G157">
        <v>173.53334000000001</v>
      </c>
      <c r="H157">
        <v>1.3492124000000001</v>
      </c>
      <c r="I157">
        <v>-0.34921237999999999</v>
      </c>
      <c r="J157">
        <v>0.42567455999999998</v>
      </c>
    </row>
    <row r="158" spans="1:10" x14ac:dyDescent="0.3">
      <c r="A158">
        <v>156</v>
      </c>
      <c r="B158">
        <v>2586</v>
      </c>
      <c r="C158" t="b">
        <v>1</v>
      </c>
      <c r="D158">
        <v>8032</v>
      </c>
      <c r="E158">
        <v>8088</v>
      </c>
      <c r="F158">
        <v>234.13333</v>
      </c>
      <c r="G158">
        <v>174.6</v>
      </c>
      <c r="H158">
        <v>1.3409698000000001</v>
      </c>
      <c r="I158">
        <v>-0.34096977000000001</v>
      </c>
      <c r="J158">
        <v>0.42717339999999998</v>
      </c>
    </row>
    <row r="159" spans="1:10" x14ac:dyDescent="0.3">
      <c r="A159">
        <v>157</v>
      </c>
      <c r="B159">
        <v>2602</v>
      </c>
      <c r="C159" t="b">
        <v>1</v>
      </c>
      <c r="D159">
        <v>8040</v>
      </c>
      <c r="E159">
        <v>8072</v>
      </c>
      <c r="F159">
        <v>232.53334000000001</v>
      </c>
      <c r="G159">
        <v>175.66667000000001</v>
      </c>
      <c r="H159">
        <v>1.3237190999999999</v>
      </c>
      <c r="I159">
        <v>-0.32371917</v>
      </c>
      <c r="J159">
        <v>0.43034460000000002</v>
      </c>
    </row>
    <row r="160" spans="1:10" x14ac:dyDescent="0.3">
      <c r="A160">
        <v>158</v>
      </c>
      <c r="B160">
        <v>2618</v>
      </c>
      <c r="C160" t="b">
        <v>1</v>
      </c>
      <c r="D160">
        <v>8088</v>
      </c>
      <c r="E160">
        <v>8104</v>
      </c>
      <c r="F160">
        <v>230.4</v>
      </c>
      <c r="G160">
        <v>176.73334</v>
      </c>
      <c r="H160">
        <v>1.3036589999999999</v>
      </c>
      <c r="I160">
        <v>-0.30365892999999999</v>
      </c>
      <c r="J160">
        <v>0.43409204000000001</v>
      </c>
    </row>
    <row r="161" spans="1:10" x14ac:dyDescent="0.3">
      <c r="A161">
        <v>159</v>
      </c>
      <c r="B161">
        <v>2634</v>
      </c>
      <c r="C161" t="b">
        <v>1</v>
      </c>
      <c r="D161">
        <v>8024</v>
      </c>
      <c r="E161">
        <v>8088</v>
      </c>
      <c r="F161">
        <v>228.26666</v>
      </c>
      <c r="G161">
        <v>177.26666</v>
      </c>
      <c r="H161">
        <v>1.2877022</v>
      </c>
      <c r="I161">
        <v>-0.28770214</v>
      </c>
      <c r="J161">
        <v>0.43711983999999998</v>
      </c>
    </row>
    <row r="162" spans="1:10" x14ac:dyDescent="0.3">
      <c r="A162">
        <v>160</v>
      </c>
      <c r="B162">
        <v>2650</v>
      </c>
      <c r="C162" t="b">
        <v>1</v>
      </c>
      <c r="D162">
        <v>7960</v>
      </c>
      <c r="E162">
        <v>8072</v>
      </c>
      <c r="F162">
        <v>225.6</v>
      </c>
      <c r="G162">
        <v>177.26666</v>
      </c>
      <c r="H162">
        <v>1.272659</v>
      </c>
      <c r="I162">
        <v>-0.27265894000000002</v>
      </c>
      <c r="J162">
        <v>0.44001322999999998</v>
      </c>
    </row>
    <row r="163" spans="1:10" x14ac:dyDescent="0.3">
      <c r="A163">
        <v>161</v>
      </c>
      <c r="B163">
        <v>2666</v>
      </c>
      <c r="C163" t="b">
        <v>1</v>
      </c>
      <c r="D163">
        <v>8088</v>
      </c>
      <c r="E163">
        <v>8104</v>
      </c>
      <c r="F163">
        <v>223.46665999999999</v>
      </c>
      <c r="G163">
        <v>176.73334</v>
      </c>
      <c r="H163">
        <v>1.2644285</v>
      </c>
      <c r="I163">
        <v>-0.26442843999999999</v>
      </c>
      <c r="J163">
        <v>0.44161250000000002</v>
      </c>
    </row>
    <row r="164" spans="1:10" x14ac:dyDescent="0.3">
      <c r="A164">
        <v>162</v>
      </c>
      <c r="B164">
        <v>2681</v>
      </c>
      <c r="C164" t="b">
        <v>1</v>
      </c>
      <c r="D164">
        <v>8056</v>
      </c>
      <c r="E164">
        <v>8080</v>
      </c>
      <c r="F164">
        <v>222.93333000000001</v>
      </c>
      <c r="G164">
        <v>176.2</v>
      </c>
      <c r="H164">
        <v>1.2652289999999999</v>
      </c>
      <c r="I164">
        <v>-0.26522892999999997</v>
      </c>
      <c r="J164">
        <v>0.44145649999999997</v>
      </c>
    </row>
    <row r="165" spans="1:10" x14ac:dyDescent="0.3">
      <c r="A165">
        <v>163</v>
      </c>
      <c r="B165">
        <v>2697</v>
      </c>
      <c r="C165" t="b">
        <v>1</v>
      </c>
      <c r="D165">
        <v>8064</v>
      </c>
      <c r="E165">
        <v>8072</v>
      </c>
      <c r="F165">
        <v>222.4</v>
      </c>
      <c r="G165">
        <v>175.13333</v>
      </c>
      <c r="H165">
        <v>1.2698896</v>
      </c>
      <c r="I165">
        <v>-0.26988960000000001</v>
      </c>
      <c r="J165">
        <v>0.44055006000000002</v>
      </c>
    </row>
    <row r="166" spans="1:10" x14ac:dyDescent="0.3">
      <c r="A166">
        <v>164</v>
      </c>
      <c r="B166">
        <v>2713</v>
      </c>
      <c r="C166" t="b">
        <v>1</v>
      </c>
      <c r="D166">
        <v>8016</v>
      </c>
      <c r="E166">
        <v>8080</v>
      </c>
      <c r="F166">
        <v>221.86667</v>
      </c>
      <c r="G166">
        <v>174.06666999999999</v>
      </c>
      <c r="H166">
        <v>1.2746074000000001</v>
      </c>
      <c r="I166">
        <v>-0.27460744999999998</v>
      </c>
      <c r="J166">
        <v>0.43963629999999998</v>
      </c>
    </row>
    <row r="167" spans="1:10" x14ac:dyDescent="0.3">
      <c r="A167">
        <v>165</v>
      </c>
      <c r="B167">
        <v>2729</v>
      </c>
      <c r="C167" t="b">
        <v>1</v>
      </c>
      <c r="D167">
        <v>8072</v>
      </c>
      <c r="E167">
        <v>8072</v>
      </c>
      <c r="F167">
        <v>221.86667</v>
      </c>
      <c r="G167">
        <v>173</v>
      </c>
      <c r="H167">
        <v>1.2824663000000001</v>
      </c>
      <c r="I167">
        <v>-0.2824663</v>
      </c>
      <c r="J167">
        <v>0.43812256999999999</v>
      </c>
    </row>
    <row r="168" spans="1:10" x14ac:dyDescent="0.3">
      <c r="A168">
        <v>166</v>
      </c>
      <c r="B168">
        <v>2745</v>
      </c>
      <c r="C168" t="b">
        <v>1</v>
      </c>
      <c r="D168">
        <v>8032</v>
      </c>
      <c r="E168">
        <v>8088</v>
      </c>
      <c r="F168">
        <v>219.73334</v>
      </c>
      <c r="G168">
        <v>173</v>
      </c>
      <c r="H168">
        <v>1.2701349</v>
      </c>
      <c r="I168">
        <v>-0.27013490000000001</v>
      </c>
      <c r="J168">
        <v>0.44050245999999998</v>
      </c>
    </row>
    <row r="169" spans="1:10" x14ac:dyDescent="0.3">
      <c r="A169">
        <v>167</v>
      </c>
      <c r="B169">
        <v>2761</v>
      </c>
      <c r="C169" t="b">
        <v>1</v>
      </c>
      <c r="D169">
        <v>8088</v>
      </c>
      <c r="E169">
        <v>8080</v>
      </c>
      <c r="F169">
        <v>218.13333</v>
      </c>
      <c r="G169">
        <v>173</v>
      </c>
      <c r="H169">
        <v>1.2608862999999999</v>
      </c>
      <c r="I169">
        <v>-0.26088630000000002</v>
      </c>
      <c r="J169">
        <v>0.44230439999999999</v>
      </c>
    </row>
    <row r="170" spans="1:10" x14ac:dyDescent="0.3">
      <c r="A170">
        <v>168</v>
      </c>
      <c r="B170">
        <v>2777</v>
      </c>
      <c r="C170" t="b">
        <v>1</v>
      </c>
      <c r="D170">
        <v>8072</v>
      </c>
      <c r="E170">
        <v>8040</v>
      </c>
      <c r="F170">
        <v>217.06666999999999</v>
      </c>
      <c r="G170">
        <v>173</v>
      </c>
      <c r="H170">
        <v>1.2547206</v>
      </c>
      <c r="I170">
        <v>-0.25472060000000002</v>
      </c>
      <c r="J170">
        <v>0.44351395999999998</v>
      </c>
    </row>
    <row r="171" spans="1:10" x14ac:dyDescent="0.3">
      <c r="A171">
        <v>169</v>
      </c>
      <c r="B171">
        <v>2793</v>
      </c>
      <c r="C171" t="b">
        <v>1</v>
      </c>
      <c r="D171">
        <v>8016</v>
      </c>
      <c r="E171">
        <v>8096</v>
      </c>
      <c r="F171">
        <v>216</v>
      </c>
      <c r="G171">
        <v>171.4</v>
      </c>
      <c r="H171">
        <v>1.2602100000000001</v>
      </c>
      <c r="I171">
        <v>-0.26021007000000002</v>
      </c>
      <c r="J171">
        <v>0.44243674999999999</v>
      </c>
    </row>
    <row r="172" spans="1:10" x14ac:dyDescent="0.3">
      <c r="A172">
        <v>170</v>
      </c>
      <c r="B172">
        <v>2808</v>
      </c>
      <c r="C172" t="b">
        <v>1</v>
      </c>
      <c r="D172">
        <v>8024</v>
      </c>
      <c r="E172">
        <v>8064</v>
      </c>
      <c r="F172">
        <v>212.26666</v>
      </c>
      <c r="G172">
        <v>170.33332999999999</v>
      </c>
      <c r="H172">
        <v>1.246184</v>
      </c>
      <c r="I172">
        <v>-0.24618396000000001</v>
      </c>
      <c r="J172">
        <v>0.44519952000000002</v>
      </c>
    </row>
    <row r="173" spans="1:10" x14ac:dyDescent="0.3">
      <c r="A173">
        <v>171</v>
      </c>
      <c r="B173">
        <v>2824</v>
      </c>
      <c r="C173" t="b">
        <v>1</v>
      </c>
      <c r="D173">
        <v>8000</v>
      </c>
      <c r="E173">
        <v>8072</v>
      </c>
      <c r="F173">
        <v>209.6</v>
      </c>
      <c r="G173">
        <v>168.73334</v>
      </c>
      <c r="H173">
        <v>1.2421968000000001</v>
      </c>
      <c r="I173">
        <v>-0.24219677000000001</v>
      </c>
      <c r="J173">
        <v>0.44599119999999998</v>
      </c>
    </row>
    <row r="174" spans="1:10" x14ac:dyDescent="0.3">
      <c r="A174">
        <v>172</v>
      </c>
      <c r="B174">
        <v>2840</v>
      </c>
      <c r="C174" t="b">
        <v>1</v>
      </c>
      <c r="D174">
        <v>8072</v>
      </c>
      <c r="E174">
        <v>8096</v>
      </c>
      <c r="F174">
        <v>208.53334000000001</v>
      </c>
      <c r="G174">
        <v>167.13333</v>
      </c>
      <c r="H174">
        <v>1.2477065000000001</v>
      </c>
      <c r="I174">
        <v>-0.24770647000000001</v>
      </c>
      <c r="J174">
        <v>0.44489792</v>
      </c>
    </row>
    <row r="175" spans="1:10" x14ac:dyDescent="0.3">
      <c r="A175">
        <v>173</v>
      </c>
      <c r="B175">
        <v>2855</v>
      </c>
      <c r="C175" t="b">
        <v>1</v>
      </c>
      <c r="D175">
        <v>8088</v>
      </c>
      <c r="E175">
        <v>8096</v>
      </c>
      <c r="F175">
        <v>207.46665999999999</v>
      </c>
      <c r="G175">
        <v>167.13333</v>
      </c>
      <c r="H175">
        <v>1.2413243</v>
      </c>
      <c r="I175">
        <v>-0.24132426000000001</v>
      </c>
      <c r="J175">
        <v>0.44616482000000002</v>
      </c>
    </row>
    <row r="176" spans="1:10" x14ac:dyDescent="0.3">
      <c r="A176">
        <v>174</v>
      </c>
      <c r="B176">
        <v>2871</v>
      </c>
      <c r="C176" t="b">
        <v>1</v>
      </c>
      <c r="D176">
        <v>8072</v>
      </c>
      <c r="E176">
        <v>8080</v>
      </c>
      <c r="F176">
        <v>209.6</v>
      </c>
      <c r="G176">
        <v>166.6</v>
      </c>
      <c r="H176">
        <v>1.2581032999999999</v>
      </c>
      <c r="I176">
        <v>-0.25810322000000002</v>
      </c>
      <c r="J176">
        <v>0.44284954999999998</v>
      </c>
    </row>
    <row r="177" spans="1:10" x14ac:dyDescent="0.3">
      <c r="A177">
        <v>175</v>
      </c>
      <c r="B177">
        <v>2887</v>
      </c>
      <c r="C177" t="b">
        <v>1</v>
      </c>
      <c r="D177">
        <v>8024</v>
      </c>
      <c r="E177">
        <v>8120</v>
      </c>
      <c r="F177">
        <v>212.26666</v>
      </c>
      <c r="G177">
        <v>167.13333</v>
      </c>
      <c r="H177">
        <v>1.2700438000000001</v>
      </c>
      <c r="I177">
        <v>-0.27004388000000001</v>
      </c>
      <c r="J177">
        <v>0.44052010000000003</v>
      </c>
    </row>
    <row r="178" spans="1:10" x14ac:dyDescent="0.3">
      <c r="A178">
        <v>176</v>
      </c>
      <c r="B178">
        <v>2903</v>
      </c>
      <c r="C178" t="b">
        <v>1</v>
      </c>
      <c r="D178">
        <v>8056</v>
      </c>
      <c r="E178">
        <v>8120</v>
      </c>
      <c r="F178">
        <v>214.4</v>
      </c>
      <c r="G178">
        <v>167.66667000000001</v>
      </c>
      <c r="H178">
        <v>1.2787275</v>
      </c>
      <c r="I178">
        <v>-0.27872755999999999</v>
      </c>
      <c r="J178">
        <v>0.43884142999999998</v>
      </c>
    </row>
    <row r="179" spans="1:10" x14ac:dyDescent="0.3">
      <c r="A179">
        <v>177</v>
      </c>
      <c r="B179">
        <v>2919</v>
      </c>
      <c r="C179" t="b">
        <v>1</v>
      </c>
      <c r="D179">
        <v>8064</v>
      </c>
      <c r="E179">
        <v>8104</v>
      </c>
      <c r="F179">
        <v>214.93333000000001</v>
      </c>
      <c r="G179">
        <v>168.73334</v>
      </c>
      <c r="H179">
        <v>1.2738048</v>
      </c>
      <c r="I179">
        <v>-0.27380478000000003</v>
      </c>
      <c r="J179">
        <v>0.43979147000000002</v>
      </c>
    </row>
    <row r="180" spans="1:10" x14ac:dyDescent="0.3">
      <c r="A180">
        <v>178</v>
      </c>
      <c r="B180">
        <v>2935</v>
      </c>
      <c r="C180" t="b">
        <v>1</v>
      </c>
      <c r="D180">
        <v>8072</v>
      </c>
      <c r="E180">
        <v>8112</v>
      </c>
      <c r="F180">
        <v>215.46665999999999</v>
      </c>
      <c r="G180">
        <v>170.86667</v>
      </c>
      <c r="H180">
        <v>1.2610222</v>
      </c>
      <c r="I180">
        <v>-0.26102217999999999</v>
      </c>
      <c r="J180">
        <v>0.44227784999999997</v>
      </c>
    </row>
    <row r="181" spans="1:10" x14ac:dyDescent="0.3">
      <c r="A181">
        <v>179</v>
      </c>
      <c r="B181">
        <v>2951</v>
      </c>
      <c r="C181" t="b">
        <v>1</v>
      </c>
      <c r="D181">
        <v>8024</v>
      </c>
      <c r="E181">
        <v>8088</v>
      </c>
      <c r="F181">
        <v>215.46665999999999</v>
      </c>
      <c r="G181">
        <v>173</v>
      </c>
      <c r="H181">
        <v>1.2454721</v>
      </c>
      <c r="I181">
        <v>-0.24547200999999999</v>
      </c>
      <c r="J181">
        <v>0.44534063000000002</v>
      </c>
    </row>
    <row r="182" spans="1:10" x14ac:dyDescent="0.3">
      <c r="A182">
        <v>180</v>
      </c>
      <c r="B182">
        <v>2982</v>
      </c>
      <c r="C182" t="b">
        <v>1</v>
      </c>
      <c r="D182">
        <v>8032</v>
      </c>
      <c r="E182">
        <v>8080</v>
      </c>
      <c r="F182">
        <v>214.93333000000001</v>
      </c>
      <c r="G182">
        <v>174.6</v>
      </c>
      <c r="H182">
        <v>1.2310041</v>
      </c>
      <c r="I182">
        <v>-0.23100415999999999</v>
      </c>
      <c r="J182">
        <v>0.44822869999999998</v>
      </c>
    </row>
    <row r="183" spans="1:10" x14ac:dyDescent="0.3">
      <c r="A183">
        <v>181</v>
      </c>
      <c r="B183">
        <v>2998</v>
      </c>
      <c r="C183" t="b">
        <v>1</v>
      </c>
      <c r="D183">
        <v>8040</v>
      </c>
      <c r="E183">
        <v>8040</v>
      </c>
      <c r="F183">
        <v>213.86667</v>
      </c>
      <c r="G183">
        <v>175.13333</v>
      </c>
      <c r="H183">
        <v>1.2211647999999999</v>
      </c>
      <c r="I183">
        <v>-0.22116485</v>
      </c>
      <c r="J183">
        <v>0.45021420000000001</v>
      </c>
    </row>
    <row r="184" spans="1:10" x14ac:dyDescent="0.3">
      <c r="A184">
        <v>182</v>
      </c>
      <c r="B184">
        <v>3014</v>
      </c>
      <c r="C184" t="b">
        <v>1</v>
      </c>
      <c r="D184">
        <v>8048</v>
      </c>
      <c r="E184">
        <v>8048</v>
      </c>
      <c r="F184">
        <v>212.26666</v>
      </c>
      <c r="G184">
        <v>175.13333</v>
      </c>
      <c r="H184">
        <v>1.212029</v>
      </c>
      <c r="I184">
        <v>-0.21202892000000001</v>
      </c>
      <c r="J184">
        <v>0.45207365999999999</v>
      </c>
    </row>
    <row r="185" spans="1:10" x14ac:dyDescent="0.3">
      <c r="A185">
        <v>183</v>
      </c>
      <c r="B185">
        <v>3030</v>
      </c>
      <c r="C185" t="b">
        <v>1</v>
      </c>
      <c r="D185">
        <v>7984</v>
      </c>
      <c r="E185">
        <v>8088</v>
      </c>
      <c r="F185">
        <v>209.6</v>
      </c>
      <c r="G185">
        <v>175.13333</v>
      </c>
      <c r="H185">
        <v>1.1968025</v>
      </c>
      <c r="I185">
        <v>-0.19680248</v>
      </c>
      <c r="J185">
        <v>0.45520705</v>
      </c>
    </row>
    <row r="186" spans="1:10" x14ac:dyDescent="0.3">
      <c r="A186">
        <v>184</v>
      </c>
      <c r="B186">
        <v>3045</v>
      </c>
      <c r="C186" t="b">
        <v>1</v>
      </c>
      <c r="D186">
        <v>8064</v>
      </c>
      <c r="E186">
        <v>8080</v>
      </c>
      <c r="F186">
        <v>207.46665999999999</v>
      </c>
      <c r="G186">
        <v>175.13333</v>
      </c>
      <c r="H186">
        <v>1.1846212</v>
      </c>
      <c r="I186">
        <v>-0.18462121000000001</v>
      </c>
      <c r="J186">
        <v>0.45774527999999998</v>
      </c>
    </row>
    <row r="187" spans="1:10" x14ac:dyDescent="0.3">
      <c r="A187">
        <v>185</v>
      </c>
      <c r="B187">
        <v>3061</v>
      </c>
      <c r="C187" t="b">
        <v>1</v>
      </c>
      <c r="D187">
        <v>8064</v>
      </c>
      <c r="E187">
        <v>8088</v>
      </c>
      <c r="F187">
        <v>208.53334000000001</v>
      </c>
      <c r="G187">
        <v>175.13333</v>
      </c>
      <c r="H187">
        <v>1.1907118999999999</v>
      </c>
      <c r="I187">
        <v>-0.19071189</v>
      </c>
      <c r="J187">
        <v>0.45647260000000001</v>
      </c>
    </row>
    <row r="188" spans="1:10" x14ac:dyDescent="0.3">
      <c r="A188">
        <v>186</v>
      </c>
      <c r="B188">
        <v>3078</v>
      </c>
      <c r="C188" t="b">
        <v>1</v>
      </c>
      <c r="D188">
        <v>8064</v>
      </c>
      <c r="E188">
        <v>8096</v>
      </c>
      <c r="F188">
        <v>211.2</v>
      </c>
      <c r="G188">
        <v>176.2</v>
      </c>
      <c r="H188">
        <v>1.1986380000000001</v>
      </c>
      <c r="I188">
        <v>-0.19863792</v>
      </c>
      <c r="J188">
        <v>0.45482704000000002</v>
      </c>
    </row>
    <row r="189" spans="1:10" x14ac:dyDescent="0.3">
      <c r="A189">
        <v>187</v>
      </c>
      <c r="B189">
        <v>3094</v>
      </c>
      <c r="C189" t="b">
        <v>1</v>
      </c>
      <c r="D189">
        <v>8072</v>
      </c>
      <c r="E189">
        <v>8064</v>
      </c>
      <c r="F189">
        <v>213.86667</v>
      </c>
      <c r="G189">
        <v>177.26666</v>
      </c>
      <c r="H189">
        <v>1.2064686</v>
      </c>
      <c r="I189">
        <v>-0.20646864000000001</v>
      </c>
      <c r="J189">
        <v>0.45321289999999997</v>
      </c>
    </row>
    <row r="190" spans="1:10" x14ac:dyDescent="0.3">
      <c r="A190">
        <v>188</v>
      </c>
      <c r="B190">
        <v>3110</v>
      </c>
      <c r="C190" t="b">
        <v>1</v>
      </c>
      <c r="D190">
        <v>8064</v>
      </c>
      <c r="E190">
        <v>8080</v>
      </c>
      <c r="F190">
        <v>216.53334000000001</v>
      </c>
      <c r="G190">
        <v>176.2</v>
      </c>
      <c r="H190">
        <v>1.2289066</v>
      </c>
      <c r="I190">
        <v>-0.22890659999999999</v>
      </c>
      <c r="J190">
        <v>0.44865048000000002</v>
      </c>
    </row>
    <row r="191" spans="1:10" x14ac:dyDescent="0.3">
      <c r="A191">
        <v>189</v>
      </c>
      <c r="B191">
        <v>3125</v>
      </c>
      <c r="C191" t="b">
        <v>1</v>
      </c>
      <c r="D191">
        <v>8072</v>
      </c>
      <c r="E191">
        <v>8080</v>
      </c>
      <c r="F191">
        <v>216</v>
      </c>
      <c r="G191">
        <v>176.2</v>
      </c>
      <c r="H191">
        <v>1.2258796999999999</v>
      </c>
      <c r="I191">
        <v>-0.22587969999999999</v>
      </c>
      <c r="J191">
        <v>0.44926055999999998</v>
      </c>
    </row>
    <row r="192" spans="1:10" x14ac:dyDescent="0.3">
      <c r="A192">
        <v>190</v>
      </c>
      <c r="B192">
        <v>3141</v>
      </c>
      <c r="C192" t="b">
        <v>1</v>
      </c>
      <c r="D192">
        <v>8024</v>
      </c>
      <c r="E192">
        <v>8072</v>
      </c>
      <c r="F192">
        <v>215.46665999999999</v>
      </c>
      <c r="G192">
        <v>175.13333</v>
      </c>
      <c r="H192">
        <v>1.2303006999999999</v>
      </c>
      <c r="I192">
        <v>-0.2303007</v>
      </c>
      <c r="J192">
        <v>0.44837004000000003</v>
      </c>
    </row>
    <row r="193" spans="1:10" x14ac:dyDescent="0.3">
      <c r="A193">
        <v>191</v>
      </c>
      <c r="B193">
        <v>3156</v>
      </c>
      <c r="C193" t="b">
        <v>1</v>
      </c>
      <c r="D193">
        <v>8104</v>
      </c>
      <c r="E193">
        <v>8064</v>
      </c>
      <c r="F193">
        <v>215.46665999999999</v>
      </c>
      <c r="G193">
        <v>173.53334000000001</v>
      </c>
      <c r="H193">
        <v>1.2416441</v>
      </c>
      <c r="I193">
        <v>-0.24164416</v>
      </c>
      <c r="J193">
        <v>0.44610113000000001</v>
      </c>
    </row>
    <row r="194" spans="1:10" x14ac:dyDescent="0.3">
      <c r="A194">
        <v>192</v>
      </c>
      <c r="B194">
        <v>3172</v>
      </c>
      <c r="C194" t="b">
        <v>1</v>
      </c>
      <c r="D194">
        <v>8088</v>
      </c>
      <c r="E194">
        <v>8040</v>
      </c>
      <c r="F194">
        <v>216</v>
      </c>
      <c r="G194">
        <v>171.4</v>
      </c>
      <c r="H194">
        <v>1.2602100000000001</v>
      </c>
      <c r="I194">
        <v>-0.26021007000000002</v>
      </c>
      <c r="J194">
        <v>0.44243674999999999</v>
      </c>
    </row>
    <row r="195" spans="1:10" x14ac:dyDescent="0.3">
      <c r="A195">
        <v>193</v>
      </c>
      <c r="B195">
        <v>3188</v>
      </c>
      <c r="C195" t="b">
        <v>1</v>
      </c>
      <c r="D195">
        <v>8016</v>
      </c>
      <c r="E195">
        <v>8096</v>
      </c>
      <c r="F195">
        <v>216.53334000000001</v>
      </c>
      <c r="G195">
        <v>168.73334</v>
      </c>
      <c r="H195">
        <v>1.2832873</v>
      </c>
      <c r="I195">
        <v>-0.28328725999999999</v>
      </c>
      <c r="J195">
        <v>0.43796507000000001</v>
      </c>
    </row>
    <row r="196" spans="1:10" x14ac:dyDescent="0.3">
      <c r="A196">
        <v>194</v>
      </c>
      <c r="B196">
        <v>3204</v>
      </c>
      <c r="C196" t="b">
        <v>1</v>
      </c>
      <c r="D196">
        <v>8016</v>
      </c>
      <c r="E196">
        <v>8096</v>
      </c>
      <c r="F196">
        <v>214.4</v>
      </c>
      <c r="G196">
        <v>166.06666999999999</v>
      </c>
      <c r="H196">
        <v>1.2910477</v>
      </c>
      <c r="I196">
        <v>-0.29104774999999999</v>
      </c>
      <c r="J196">
        <v>0.43648150000000002</v>
      </c>
    </row>
    <row r="197" spans="1:10" x14ac:dyDescent="0.3">
      <c r="A197">
        <v>195</v>
      </c>
      <c r="B197">
        <v>3220</v>
      </c>
      <c r="C197" t="b">
        <v>1</v>
      </c>
      <c r="D197">
        <v>8008</v>
      </c>
      <c r="E197">
        <v>8096</v>
      </c>
      <c r="F197">
        <v>211.73334</v>
      </c>
      <c r="G197">
        <v>165.53334000000001</v>
      </c>
      <c r="H197">
        <v>1.2790978</v>
      </c>
      <c r="I197">
        <v>-0.27909782999999999</v>
      </c>
      <c r="J197">
        <v>0.43877011999999999</v>
      </c>
    </row>
    <row r="198" spans="1:10" x14ac:dyDescent="0.3">
      <c r="A198">
        <v>196</v>
      </c>
      <c r="B198">
        <v>3236</v>
      </c>
      <c r="C198" t="b">
        <v>1</v>
      </c>
      <c r="D198">
        <v>8072</v>
      </c>
      <c r="E198">
        <v>8088</v>
      </c>
      <c r="F198">
        <v>210.13333</v>
      </c>
      <c r="G198">
        <v>166.06666999999999</v>
      </c>
      <c r="H198">
        <v>1.2653551999999999</v>
      </c>
      <c r="I198">
        <v>-0.26535530000000002</v>
      </c>
      <c r="J198">
        <v>0.44143185000000001</v>
      </c>
    </row>
    <row r="199" spans="1:10" x14ac:dyDescent="0.3">
      <c r="A199">
        <v>197</v>
      </c>
      <c r="B199">
        <v>3252</v>
      </c>
      <c r="C199" t="b">
        <v>1</v>
      </c>
      <c r="D199">
        <v>8096</v>
      </c>
      <c r="E199">
        <v>8104</v>
      </c>
      <c r="F199">
        <v>208.53334000000001</v>
      </c>
      <c r="G199">
        <v>167.13333</v>
      </c>
      <c r="H199">
        <v>1.2477065000000001</v>
      </c>
      <c r="I199">
        <v>-0.24770647000000001</v>
      </c>
      <c r="J199">
        <v>0.44489792</v>
      </c>
    </row>
    <row r="200" spans="1:10" x14ac:dyDescent="0.3">
      <c r="A200">
        <v>198</v>
      </c>
      <c r="B200">
        <v>3268</v>
      </c>
      <c r="C200" t="b">
        <v>1</v>
      </c>
      <c r="D200">
        <v>8008</v>
      </c>
      <c r="E200">
        <v>8104</v>
      </c>
      <c r="F200">
        <v>207.46665999999999</v>
      </c>
      <c r="G200">
        <v>168.2</v>
      </c>
      <c r="H200">
        <v>1.2334522000000001</v>
      </c>
      <c r="I200">
        <v>-0.23345221999999999</v>
      </c>
      <c r="J200">
        <v>0.44773737000000002</v>
      </c>
    </row>
    <row r="201" spans="1:10" x14ac:dyDescent="0.3">
      <c r="A201">
        <v>199</v>
      </c>
      <c r="B201">
        <v>3298</v>
      </c>
      <c r="C201" t="b">
        <v>1</v>
      </c>
      <c r="D201">
        <v>8080</v>
      </c>
      <c r="E201">
        <v>8072</v>
      </c>
      <c r="F201">
        <v>209.6</v>
      </c>
      <c r="G201">
        <v>169.26666</v>
      </c>
      <c r="H201">
        <v>1.2382827999999999</v>
      </c>
      <c r="I201">
        <v>-0.23828286000000001</v>
      </c>
      <c r="J201">
        <v>0.44677106</v>
      </c>
    </row>
    <row r="202" spans="1:10" x14ac:dyDescent="0.3">
      <c r="A202">
        <v>200</v>
      </c>
      <c r="B202">
        <v>3314</v>
      </c>
      <c r="C202" t="b">
        <v>1</v>
      </c>
      <c r="D202">
        <v>8008</v>
      </c>
      <c r="E202">
        <v>8072</v>
      </c>
      <c r="F202">
        <v>211.2</v>
      </c>
      <c r="G202">
        <v>169.8</v>
      </c>
      <c r="H202">
        <v>1.2438163</v>
      </c>
      <c r="I202">
        <v>-0.24381621000000001</v>
      </c>
      <c r="J202">
        <v>0.44566929999999999</v>
      </c>
    </row>
    <row r="203" spans="1:10" x14ac:dyDescent="0.3">
      <c r="A203">
        <v>201</v>
      </c>
      <c r="B203">
        <v>3330</v>
      </c>
      <c r="C203" t="b">
        <v>1</v>
      </c>
      <c r="D203">
        <v>8048</v>
      </c>
      <c r="E203">
        <v>8096</v>
      </c>
      <c r="F203">
        <v>210.13333</v>
      </c>
      <c r="G203">
        <v>170.33332999999999</v>
      </c>
      <c r="H203">
        <v>1.2336594999999999</v>
      </c>
      <c r="I203">
        <v>-0.23365952000000001</v>
      </c>
      <c r="J203">
        <v>0.44769579999999998</v>
      </c>
    </row>
    <row r="204" spans="1:10" x14ac:dyDescent="0.3">
      <c r="A204">
        <v>202</v>
      </c>
      <c r="B204">
        <v>3346</v>
      </c>
      <c r="C204" t="b">
        <v>1</v>
      </c>
      <c r="D204">
        <v>8040</v>
      </c>
      <c r="E204">
        <v>8064</v>
      </c>
      <c r="F204">
        <v>208.53334000000001</v>
      </c>
      <c r="G204">
        <v>169.26666</v>
      </c>
      <c r="H204">
        <v>1.2319812000000001</v>
      </c>
      <c r="I204">
        <v>-0.23198116999999999</v>
      </c>
      <c r="J204">
        <v>0.44803247000000002</v>
      </c>
    </row>
    <row r="205" spans="1:10" x14ac:dyDescent="0.3">
      <c r="A205">
        <v>203</v>
      </c>
      <c r="B205">
        <v>3361</v>
      </c>
      <c r="C205" t="b">
        <v>1</v>
      </c>
      <c r="D205">
        <v>8080</v>
      </c>
      <c r="E205">
        <v>8096</v>
      </c>
      <c r="F205">
        <v>207.46665999999999</v>
      </c>
      <c r="G205">
        <v>168.73334</v>
      </c>
      <c r="H205">
        <v>1.2295535</v>
      </c>
      <c r="I205">
        <v>-0.22955345999999999</v>
      </c>
      <c r="J205">
        <v>0.44852027</v>
      </c>
    </row>
    <row r="206" spans="1:10" x14ac:dyDescent="0.3">
      <c r="A206">
        <v>204</v>
      </c>
      <c r="B206">
        <v>3377</v>
      </c>
      <c r="C206" t="b">
        <v>1</v>
      </c>
      <c r="D206">
        <v>8080</v>
      </c>
      <c r="E206">
        <v>8104</v>
      </c>
      <c r="F206">
        <v>206.4</v>
      </c>
      <c r="G206">
        <v>169.8</v>
      </c>
      <c r="H206">
        <v>1.2155476999999999</v>
      </c>
      <c r="I206">
        <v>-0.21554765000000001</v>
      </c>
      <c r="J206">
        <v>0.45135566999999999</v>
      </c>
    </row>
    <row r="207" spans="1:10" x14ac:dyDescent="0.3">
      <c r="A207">
        <v>205</v>
      </c>
      <c r="B207">
        <v>3393</v>
      </c>
      <c r="C207" t="b">
        <v>1</v>
      </c>
      <c r="D207">
        <v>8104</v>
      </c>
      <c r="E207">
        <v>8112</v>
      </c>
      <c r="F207">
        <v>207.46665999999999</v>
      </c>
      <c r="G207">
        <v>170.86667</v>
      </c>
      <c r="H207">
        <v>1.214202</v>
      </c>
      <c r="I207">
        <v>-0.21420205</v>
      </c>
      <c r="J207">
        <v>0.45162999999999998</v>
      </c>
    </row>
    <row r="208" spans="1:10" x14ac:dyDescent="0.3">
      <c r="A208">
        <v>206</v>
      </c>
      <c r="B208">
        <v>3408</v>
      </c>
      <c r="C208" t="b">
        <v>1</v>
      </c>
      <c r="D208">
        <v>8032</v>
      </c>
      <c r="E208">
        <v>8112</v>
      </c>
      <c r="F208">
        <v>208</v>
      </c>
      <c r="G208">
        <v>173</v>
      </c>
      <c r="H208">
        <v>1.2023121000000001</v>
      </c>
      <c r="I208">
        <v>-0.20231214</v>
      </c>
      <c r="J208">
        <v>0.45406824000000001</v>
      </c>
    </row>
    <row r="209" spans="1:10" x14ac:dyDescent="0.3">
      <c r="A209">
        <v>207</v>
      </c>
      <c r="B209">
        <v>3424</v>
      </c>
      <c r="C209" t="b">
        <v>1</v>
      </c>
      <c r="D209">
        <v>8064</v>
      </c>
      <c r="E209">
        <v>8080</v>
      </c>
      <c r="F209">
        <v>208.53334000000001</v>
      </c>
      <c r="G209">
        <v>175.13333</v>
      </c>
      <c r="H209">
        <v>1.1907118999999999</v>
      </c>
      <c r="I209">
        <v>-0.19071189</v>
      </c>
      <c r="J209">
        <v>0.45647260000000001</v>
      </c>
    </row>
    <row r="210" spans="1:10" x14ac:dyDescent="0.3">
      <c r="A210">
        <v>208</v>
      </c>
      <c r="B210">
        <v>3441</v>
      </c>
      <c r="C210" t="b">
        <v>1</v>
      </c>
      <c r="D210">
        <v>8040</v>
      </c>
      <c r="E210">
        <v>8088</v>
      </c>
      <c r="F210">
        <v>208</v>
      </c>
      <c r="G210">
        <v>177.26666</v>
      </c>
      <c r="H210">
        <v>1.1733735000000001</v>
      </c>
      <c r="I210">
        <v>-0.17337348</v>
      </c>
      <c r="J210">
        <v>0.46011419999999997</v>
      </c>
    </row>
    <row r="211" spans="1:10" x14ac:dyDescent="0.3">
      <c r="A211">
        <v>209</v>
      </c>
      <c r="B211">
        <v>3456</v>
      </c>
      <c r="C211" t="b">
        <v>1</v>
      </c>
      <c r="D211">
        <v>8032</v>
      </c>
      <c r="E211">
        <v>8088</v>
      </c>
      <c r="F211">
        <v>209.06666999999999</v>
      </c>
      <c r="G211">
        <v>178.33332999999999</v>
      </c>
      <c r="H211">
        <v>1.1723364999999999</v>
      </c>
      <c r="I211">
        <v>-0.17233646999999999</v>
      </c>
      <c r="J211">
        <v>0.46033384999999999</v>
      </c>
    </row>
    <row r="212" spans="1:10" x14ac:dyDescent="0.3">
      <c r="A212">
        <v>210</v>
      </c>
      <c r="B212">
        <v>3471</v>
      </c>
      <c r="C212" t="b">
        <v>1</v>
      </c>
      <c r="D212">
        <v>8024</v>
      </c>
      <c r="E212">
        <v>8096</v>
      </c>
      <c r="F212">
        <v>210.13333</v>
      </c>
      <c r="G212">
        <v>177.8</v>
      </c>
      <c r="H212">
        <v>1.1818522</v>
      </c>
      <c r="I212">
        <v>-0.18185224</v>
      </c>
      <c r="J212">
        <v>0.45832615999999998</v>
      </c>
    </row>
    <row r="213" spans="1:10" x14ac:dyDescent="0.3">
      <c r="A213">
        <v>211</v>
      </c>
      <c r="B213">
        <v>3487</v>
      </c>
      <c r="C213" t="b">
        <v>1</v>
      </c>
      <c r="D213">
        <v>8016</v>
      </c>
      <c r="E213">
        <v>8072</v>
      </c>
      <c r="F213">
        <v>211.2</v>
      </c>
      <c r="G213">
        <v>177.26666</v>
      </c>
      <c r="H213">
        <v>1.1914252999999999</v>
      </c>
      <c r="I213">
        <v>-0.19142534999999999</v>
      </c>
      <c r="J213">
        <v>0.45632398000000002</v>
      </c>
    </row>
    <row r="214" spans="1:10" x14ac:dyDescent="0.3">
      <c r="A214">
        <v>212</v>
      </c>
      <c r="B214">
        <v>3504</v>
      </c>
      <c r="C214" t="b">
        <v>1</v>
      </c>
      <c r="D214">
        <v>8016</v>
      </c>
      <c r="E214">
        <v>8072</v>
      </c>
      <c r="F214">
        <v>211.73334</v>
      </c>
      <c r="G214">
        <v>176.73334</v>
      </c>
      <c r="H214">
        <v>1.1980385</v>
      </c>
      <c r="I214">
        <v>-0.19803846999999999</v>
      </c>
      <c r="J214">
        <v>0.45495108000000001</v>
      </c>
    </row>
    <row r="215" spans="1:10" x14ac:dyDescent="0.3">
      <c r="A215">
        <v>213</v>
      </c>
      <c r="B215">
        <v>3519</v>
      </c>
      <c r="C215" t="b">
        <v>1</v>
      </c>
      <c r="D215">
        <v>8072</v>
      </c>
      <c r="E215">
        <v>8080</v>
      </c>
      <c r="F215">
        <v>212.26666</v>
      </c>
      <c r="G215">
        <v>175.66667000000001</v>
      </c>
      <c r="H215">
        <v>1.2083491</v>
      </c>
      <c r="I215">
        <v>-0.20834910000000001</v>
      </c>
      <c r="J215">
        <v>0.45282695000000001</v>
      </c>
    </row>
    <row r="216" spans="1:10" x14ac:dyDescent="0.3">
      <c r="A216">
        <v>214</v>
      </c>
      <c r="B216">
        <v>3535</v>
      </c>
      <c r="C216" t="b">
        <v>1</v>
      </c>
      <c r="D216">
        <v>8088</v>
      </c>
      <c r="E216">
        <v>8104</v>
      </c>
      <c r="F216">
        <v>209.06666999999999</v>
      </c>
      <c r="G216">
        <v>174.6</v>
      </c>
      <c r="H216">
        <v>1.1974035999999999</v>
      </c>
      <c r="I216">
        <v>-0.19740353999999999</v>
      </c>
      <c r="J216">
        <v>0.45508253999999998</v>
      </c>
    </row>
    <row r="217" spans="1:10" x14ac:dyDescent="0.3">
      <c r="A217">
        <v>215</v>
      </c>
      <c r="B217">
        <v>3551</v>
      </c>
      <c r="C217" t="b">
        <v>1</v>
      </c>
      <c r="D217">
        <v>8064</v>
      </c>
      <c r="E217">
        <v>8088</v>
      </c>
      <c r="F217">
        <v>208.53334000000001</v>
      </c>
      <c r="G217">
        <v>174.06666999999999</v>
      </c>
      <c r="H217">
        <v>1.1980084</v>
      </c>
      <c r="I217">
        <v>-0.19800847999999999</v>
      </c>
      <c r="J217">
        <v>0.45495730000000001</v>
      </c>
    </row>
    <row r="218" spans="1:10" x14ac:dyDescent="0.3">
      <c r="A218">
        <v>216</v>
      </c>
      <c r="B218">
        <v>3567</v>
      </c>
      <c r="C218" t="b">
        <v>1</v>
      </c>
      <c r="D218">
        <v>8120</v>
      </c>
      <c r="E218">
        <v>8056</v>
      </c>
      <c r="F218">
        <v>210.13333</v>
      </c>
      <c r="G218">
        <v>173</v>
      </c>
      <c r="H218">
        <v>1.2146435</v>
      </c>
      <c r="I218">
        <v>-0.21464353999999999</v>
      </c>
      <c r="J218">
        <v>0.45153992999999998</v>
      </c>
    </row>
    <row r="219" spans="1:10" x14ac:dyDescent="0.3">
      <c r="A219">
        <v>217</v>
      </c>
      <c r="B219">
        <v>3583</v>
      </c>
      <c r="C219" t="b">
        <v>1</v>
      </c>
      <c r="D219">
        <v>8104</v>
      </c>
      <c r="E219">
        <v>8088</v>
      </c>
      <c r="F219">
        <v>213.33332999999999</v>
      </c>
      <c r="G219">
        <v>174.06666999999999</v>
      </c>
      <c r="H219">
        <v>1.225584</v>
      </c>
      <c r="I219">
        <v>-0.22558405000000001</v>
      </c>
      <c r="J219">
        <v>0.44932026000000003</v>
      </c>
    </row>
    <row r="220" spans="1:10" x14ac:dyDescent="0.3">
      <c r="A220">
        <v>218</v>
      </c>
      <c r="B220">
        <v>3599</v>
      </c>
      <c r="C220" t="b">
        <v>1</v>
      </c>
      <c r="D220">
        <v>8048</v>
      </c>
      <c r="E220">
        <v>8104</v>
      </c>
      <c r="F220">
        <v>216</v>
      </c>
      <c r="G220">
        <v>175.13333</v>
      </c>
      <c r="H220">
        <v>1.2333460000000001</v>
      </c>
      <c r="I220">
        <v>-0.23334603000000001</v>
      </c>
      <c r="J220">
        <v>0.44775863999999999</v>
      </c>
    </row>
    <row r="221" spans="1:10" x14ac:dyDescent="0.3">
      <c r="A221">
        <v>219</v>
      </c>
      <c r="B221">
        <v>3615</v>
      </c>
      <c r="C221" t="b">
        <v>1</v>
      </c>
      <c r="D221">
        <v>8080</v>
      </c>
      <c r="E221">
        <v>8104</v>
      </c>
      <c r="F221">
        <v>218.13333</v>
      </c>
      <c r="G221">
        <v>174.6</v>
      </c>
      <c r="H221">
        <v>1.2493316999999999</v>
      </c>
      <c r="I221">
        <v>-0.24933176000000001</v>
      </c>
      <c r="J221">
        <v>0.44457647</v>
      </c>
    </row>
    <row r="222" spans="1:10" x14ac:dyDescent="0.3">
      <c r="A222">
        <v>220</v>
      </c>
      <c r="B222">
        <v>3631</v>
      </c>
      <c r="C222" t="b">
        <v>1</v>
      </c>
      <c r="D222">
        <v>8040</v>
      </c>
      <c r="E222">
        <v>8056</v>
      </c>
      <c r="F222">
        <v>218.13333</v>
      </c>
      <c r="G222">
        <v>174.06666999999999</v>
      </c>
      <c r="H222">
        <v>1.2531597999999999</v>
      </c>
      <c r="I222">
        <v>-0.25315969999999999</v>
      </c>
      <c r="J222">
        <v>0.44382115999999999</v>
      </c>
    </row>
    <row r="223" spans="1:10" x14ac:dyDescent="0.3">
      <c r="A223">
        <v>221</v>
      </c>
      <c r="B223">
        <v>3647</v>
      </c>
      <c r="C223" t="b">
        <v>1</v>
      </c>
      <c r="D223">
        <v>8072</v>
      </c>
      <c r="E223">
        <v>8088</v>
      </c>
      <c r="F223">
        <v>217.6</v>
      </c>
      <c r="G223">
        <v>173</v>
      </c>
      <c r="H223">
        <v>1.2578035999999999</v>
      </c>
      <c r="I223">
        <v>-0.25780350000000002</v>
      </c>
      <c r="J223">
        <v>0.44290835000000001</v>
      </c>
    </row>
    <row r="224" spans="1:10" x14ac:dyDescent="0.3">
      <c r="A224">
        <v>222</v>
      </c>
      <c r="B224">
        <v>3663</v>
      </c>
      <c r="C224" t="b">
        <v>1</v>
      </c>
      <c r="D224">
        <v>8064</v>
      </c>
      <c r="E224">
        <v>8072</v>
      </c>
      <c r="F224">
        <v>216.53334000000001</v>
      </c>
      <c r="G224">
        <v>171.93333000000001</v>
      </c>
      <c r="H224">
        <v>1.2594029</v>
      </c>
      <c r="I224">
        <v>-0.25940289999999999</v>
      </c>
      <c r="J224">
        <v>0.44259480000000001</v>
      </c>
    </row>
    <row r="225" spans="1:10" x14ac:dyDescent="0.3">
      <c r="A225">
        <v>223</v>
      </c>
      <c r="B225">
        <v>3679</v>
      </c>
      <c r="C225" t="b">
        <v>1</v>
      </c>
      <c r="D225">
        <v>8072</v>
      </c>
      <c r="E225">
        <v>8072</v>
      </c>
      <c r="F225">
        <v>217.06666999999999</v>
      </c>
      <c r="G225">
        <v>169.8</v>
      </c>
      <c r="H225">
        <v>1.2783667000000001</v>
      </c>
      <c r="I225">
        <v>-0.27836667999999998</v>
      </c>
      <c r="J225">
        <v>0.43891089999999999</v>
      </c>
    </row>
    <row r="226" spans="1:10" x14ac:dyDescent="0.3">
      <c r="A226">
        <v>224</v>
      </c>
      <c r="B226">
        <v>3694</v>
      </c>
      <c r="C226" t="b">
        <v>1</v>
      </c>
      <c r="D226">
        <v>8032</v>
      </c>
      <c r="E226">
        <v>8096</v>
      </c>
      <c r="F226">
        <v>218.66667000000001</v>
      </c>
      <c r="G226">
        <v>168.73334</v>
      </c>
      <c r="H226">
        <v>1.2959305000000001</v>
      </c>
      <c r="I226">
        <v>-0.29593047</v>
      </c>
      <c r="J226">
        <v>0.43555325</v>
      </c>
    </row>
    <row r="227" spans="1:10" x14ac:dyDescent="0.3">
      <c r="A227">
        <v>225</v>
      </c>
      <c r="B227">
        <v>3711</v>
      </c>
      <c r="C227" t="b">
        <v>1</v>
      </c>
      <c r="D227">
        <v>8016</v>
      </c>
      <c r="E227">
        <v>8104</v>
      </c>
      <c r="F227">
        <v>220.8</v>
      </c>
      <c r="G227">
        <v>168.73334</v>
      </c>
      <c r="H227">
        <v>1.3085737</v>
      </c>
      <c r="I227">
        <v>-0.30857366000000003</v>
      </c>
      <c r="J227">
        <v>0.43316789999999999</v>
      </c>
    </row>
    <row r="228" spans="1:10" x14ac:dyDescent="0.3">
      <c r="A228">
        <v>226</v>
      </c>
      <c r="B228">
        <v>3727</v>
      </c>
      <c r="C228" t="b">
        <v>1</v>
      </c>
      <c r="D228">
        <v>8104</v>
      </c>
      <c r="E228">
        <v>8104</v>
      </c>
      <c r="F228">
        <v>222.93333000000001</v>
      </c>
      <c r="G228">
        <v>169.26666</v>
      </c>
      <c r="H228">
        <v>1.3170539999999999</v>
      </c>
      <c r="I228">
        <v>-0.317054</v>
      </c>
      <c r="J228">
        <v>0.43158249999999998</v>
      </c>
    </row>
    <row r="229" spans="1:10" x14ac:dyDescent="0.3">
      <c r="A229">
        <v>227</v>
      </c>
      <c r="B229">
        <v>3742</v>
      </c>
      <c r="C229" t="b">
        <v>1</v>
      </c>
      <c r="D229">
        <v>8096</v>
      </c>
      <c r="E229">
        <v>8080</v>
      </c>
      <c r="F229">
        <v>226.13333</v>
      </c>
      <c r="G229">
        <v>169.8</v>
      </c>
      <c r="H229">
        <v>1.3317627999999999</v>
      </c>
      <c r="I229">
        <v>-0.33176282000000001</v>
      </c>
      <c r="J229">
        <v>0.42886006999999998</v>
      </c>
    </row>
    <row r="230" spans="1:10" x14ac:dyDescent="0.3">
      <c r="A230">
        <v>228</v>
      </c>
      <c r="B230">
        <v>3758</v>
      </c>
      <c r="C230" t="b">
        <v>1</v>
      </c>
      <c r="D230">
        <v>8056</v>
      </c>
      <c r="E230">
        <v>8064</v>
      </c>
      <c r="F230">
        <v>228.26666</v>
      </c>
      <c r="G230">
        <v>170.86667</v>
      </c>
      <c r="H230">
        <v>1.3359344</v>
      </c>
      <c r="I230">
        <v>-0.33593440000000002</v>
      </c>
      <c r="J230">
        <v>0.42809419999999998</v>
      </c>
    </row>
    <row r="231" spans="1:10" x14ac:dyDescent="0.3">
      <c r="A231">
        <v>229</v>
      </c>
      <c r="B231">
        <v>3774</v>
      </c>
      <c r="C231" t="b">
        <v>1</v>
      </c>
      <c r="D231">
        <v>8064</v>
      </c>
      <c r="E231">
        <v>8104</v>
      </c>
      <c r="F231">
        <v>230.93333000000001</v>
      </c>
      <c r="G231">
        <v>172.46665999999999</v>
      </c>
      <c r="H231">
        <v>1.3390027</v>
      </c>
      <c r="I231">
        <v>-0.33900276000000001</v>
      </c>
      <c r="J231">
        <v>0.42753259999999998</v>
      </c>
    </row>
    <row r="232" spans="1:10" x14ac:dyDescent="0.3">
      <c r="A232">
        <v>230</v>
      </c>
      <c r="B232">
        <v>3790</v>
      </c>
      <c r="C232" t="b">
        <v>1</v>
      </c>
      <c r="D232">
        <v>8072</v>
      </c>
      <c r="E232">
        <v>8072</v>
      </c>
      <c r="F232">
        <v>231.46665999999999</v>
      </c>
      <c r="G232">
        <v>172.46665999999999</v>
      </c>
      <c r="H232">
        <v>1.3420951000000001</v>
      </c>
      <c r="I232">
        <v>-0.34209509999999999</v>
      </c>
      <c r="J232">
        <v>0.42696815999999999</v>
      </c>
    </row>
    <row r="233" spans="1:10" x14ac:dyDescent="0.3">
      <c r="A233">
        <v>231</v>
      </c>
      <c r="B233">
        <v>3806</v>
      </c>
      <c r="C233" t="b">
        <v>1</v>
      </c>
      <c r="D233">
        <v>8032</v>
      </c>
      <c r="E233">
        <v>8040</v>
      </c>
      <c r="F233">
        <v>230.93333000000001</v>
      </c>
      <c r="G233">
        <v>171.93333000000001</v>
      </c>
      <c r="H233">
        <v>1.3431561999999999</v>
      </c>
      <c r="I233">
        <v>-0.34315625</v>
      </c>
      <c r="J233">
        <v>0.42677477000000003</v>
      </c>
    </row>
    <row r="234" spans="1:10" x14ac:dyDescent="0.3">
      <c r="A234">
        <v>232</v>
      </c>
      <c r="B234">
        <v>3821</v>
      </c>
      <c r="C234" t="b">
        <v>1</v>
      </c>
      <c r="D234">
        <v>8008</v>
      </c>
      <c r="E234">
        <v>8096</v>
      </c>
      <c r="F234">
        <v>228.8</v>
      </c>
      <c r="G234">
        <v>170.86667</v>
      </c>
      <c r="H234">
        <v>1.3390557999999999</v>
      </c>
      <c r="I234">
        <v>-0.33905580000000002</v>
      </c>
      <c r="J234">
        <v>0.42752293000000002</v>
      </c>
    </row>
    <row r="235" spans="1:10" x14ac:dyDescent="0.3">
      <c r="A235">
        <v>233</v>
      </c>
      <c r="B235">
        <v>3837</v>
      </c>
      <c r="C235" t="b">
        <v>1</v>
      </c>
      <c r="D235">
        <v>8016</v>
      </c>
      <c r="E235">
        <v>8104</v>
      </c>
      <c r="F235">
        <v>225.06666999999999</v>
      </c>
      <c r="G235">
        <v>171.4</v>
      </c>
      <c r="H235">
        <v>1.3131077</v>
      </c>
      <c r="I235">
        <v>-0.31310779999999999</v>
      </c>
      <c r="J235">
        <v>0.4323188</v>
      </c>
    </row>
    <row r="236" spans="1:10" x14ac:dyDescent="0.3">
      <c r="A236">
        <v>234</v>
      </c>
      <c r="B236">
        <v>3853</v>
      </c>
      <c r="C236" t="b">
        <v>1</v>
      </c>
      <c r="D236">
        <v>7984</v>
      </c>
      <c r="E236">
        <v>8040</v>
      </c>
      <c r="F236">
        <v>220.8</v>
      </c>
      <c r="G236">
        <v>170.33332999999999</v>
      </c>
      <c r="H236">
        <v>1.2962818</v>
      </c>
      <c r="I236">
        <v>-0.29628184000000002</v>
      </c>
      <c r="J236">
        <v>0.4354866</v>
      </c>
    </row>
    <row r="237" spans="1:10" x14ac:dyDescent="0.3">
      <c r="A237">
        <v>235</v>
      </c>
      <c r="B237">
        <v>3868</v>
      </c>
      <c r="C237" t="b">
        <v>1</v>
      </c>
      <c r="D237">
        <v>8056</v>
      </c>
      <c r="E237">
        <v>8080</v>
      </c>
      <c r="F237">
        <v>216.53334000000001</v>
      </c>
      <c r="G237">
        <v>169.8</v>
      </c>
      <c r="H237">
        <v>1.2752258000000001</v>
      </c>
      <c r="I237">
        <v>-0.27522580000000002</v>
      </c>
      <c r="J237">
        <v>0.43951679999999999</v>
      </c>
    </row>
    <row r="238" spans="1:10" x14ac:dyDescent="0.3">
      <c r="A238">
        <v>236</v>
      </c>
      <c r="B238">
        <v>3884</v>
      </c>
      <c r="C238" t="b">
        <v>1</v>
      </c>
      <c r="D238">
        <v>8072</v>
      </c>
      <c r="E238">
        <v>8104</v>
      </c>
      <c r="F238">
        <v>212.8</v>
      </c>
      <c r="G238">
        <v>170.33332999999999</v>
      </c>
      <c r="H238">
        <v>1.2493151</v>
      </c>
      <c r="I238">
        <v>-0.24931513</v>
      </c>
      <c r="J238">
        <v>0.44457977999999998</v>
      </c>
    </row>
    <row r="239" spans="1:10" x14ac:dyDescent="0.3">
      <c r="A239">
        <v>237</v>
      </c>
      <c r="B239">
        <v>3900</v>
      </c>
      <c r="C239" t="b">
        <v>1</v>
      </c>
      <c r="D239">
        <v>8064</v>
      </c>
      <c r="E239">
        <v>8096</v>
      </c>
      <c r="F239">
        <v>212.26666</v>
      </c>
      <c r="G239">
        <v>170.86667</v>
      </c>
      <c r="H239">
        <v>1.2422941999999999</v>
      </c>
      <c r="I239">
        <v>-0.24229415000000001</v>
      </c>
      <c r="J239">
        <v>0.44597182000000002</v>
      </c>
    </row>
    <row r="240" spans="1:10" x14ac:dyDescent="0.3">
      <c r="A240">
        <v>238</v>
      </c>
      <c r="B240">
        <v>3916</v>
      </c>
      <c r="C240" t="b">
        <v>1</v>
      </c>
      <c r="D240">
        <v>8096</v>
      </c>
      <c r="E240">
        <v>8056</v>
      </c>
      <c r="F240">
        <v>211.73334</v>
      </c>
      <c r="G240">
        <v>171.4</v>
      </c>
      <c r="H240">
        <v>1.2353171000000001</v>
      </c>
      <c r="I240">
        <v>-0.23531706999999999</v>
      </c>
      <c r="J240">
        <v>0.44736382000000002</v>
      </c>
    </row>
    <row r="241" spans="1:10" x14ac:dyDescent="0.3">
      <c r="A241">
        <v>239</v>
      </c>
      <c r="B241">
        <v>3932</v>
      </c>
      <c r="C241" t="b">
        <v>1</v>
      </c>
      <c r="D241">
        <v>8080</v>
      </c>
      <c r="E241">
        <v>8104</v>
      </c>
      <c r="F241">
        <v>212.26666</v>
      </c>
      <c r="G241">
        <v>173</v>
      </c>
      <c r="H241">
        <v>1.2269749999999999</v>
      </c>
      <c r="I241">
        <v>-0.22697492999999999</v>
      </c>
      <c r="J241">
        <v>0.44903964000000002</v>
      </c>
    </row>
    <row r="242" spans="1:10" x14ac:dyDescent="0.3">
      <c r="A242">
        <v>240</v>
      </c>
      <c r="B242">
        <v>3948</v>
      </c>
      <c r="C242" t="b">
        <v>1</v>
      </c>
      <c r="D242">
        <v>8120</v>
      </c>
      <c r="E242">
        <v>8104</v>
      </c>
      <c r="F242">
        <v>213.33332999999999</v>
      </c>
      <c r="G242">
        <v>174.06666999999999</v>
      </c>
      <c r="H242">
        <v>1.225584</v>
      </c>
      <c r="I242">
        <v>-0.22558405000000001</v>
      </c>
      <c r="J242">
        <v>0.44932026000000003</v>
      </c>
    </row>
    <row r="243" spans="1:10" x14ac:dyDescent="0.3">
      <c r="A243">
        <v>241</v>
      </c>
      <c r="B243">
        <v>3964</v>
      </c>
      <c r="C243" t="b">
        <v>1</v>
      </c>
      <c r="D243">
        <v>8096</v>
      </c>
      <c r="E243">
        <v>8064</v>
      </c>
      <c r="F243">
        <v>215.46665999999999</v>
      </c>
      <c r="G243">
        <v>174.06666999999999</v>
      </c>
      <c r="H243">
        <v>1.2378397999999999</v>
      </c>
      <c r="I243">
        <v>-0.23783988</v>
      </c>
      <c r="J243">
        <v>0.44685950000000002</v>
      </c>
    </row>
    <row r="244" spans="1:10" x14ac:dyDescent="0.3">
      <c r="A244">
        <v>242</v>
      </c>
      <c r="B244">
        <v>3980</v>
      </c>
      <c r="C244" t="b">
        <v>1</v>
      </c>
      <c r="D244">
        <v>8072</v>
      </c>
      <c r="E244">
        <v>8080</v>
      </c>
      <c r="F244">
        <v>217.06666999999999</v>
      </c>
      <c r="G244">
        <v>173</v>
      </c>
      <c r="H244">
        <v>1.2547206</v>
      </c>
      <c r="I244">
        <v>-0.25472060000000002</v>
      </c>
      <c r="J244">
        <v>0.44351395999999998</v>
      </c>
    </row>
    <row r="245" spans="1:10" x14ac:dyDescent="0.3">
      <c r="A245">
        <v>243</v>
      </c>
      <c r="B245">
        <v>3996</v>
      </c>
      <c r="C245" t="b">
        <v>1</v>
      </c>
      <c r="D245">
        <v>8000</v>
      </c>
      <c r="E245">
        <v>8088</v>
      </c>
      <c r="F245">
        <v>218.66667000000001</v>
      </c>
      <c r="G245">
        <v>172.46665999999999</v>
      </c>
      <c r="H245">
        <v>1.2678779</v>
      </c>
      <c r="I245">
        <v>-0.26787793999999998</v>
      </c>
      <c r="J245">
        <v>0.44094083000000001</v>
      </c>
    </row>
    <row r="246" spans="1:10" x14ac:dyDescent="0.3">
      <c r="A246">
        <v>244</v>
      </c>
      <c r="B246">
        <v>4011</v>
      </c>
      <c r="C246" t="b">
        <v>1</v>
      </c>
      <c r="D246">
        <v>8048</v>
      </c>
      <c r="E246">
        <v>8096</v>
      </c>
      <c r="F246">
        <v>219.2</v>
      </c>
      <c r="G246">
        <v>171.4</v>
      </c>
      <c r="H246">
        <v>1.2788799</v>
      </c>
      <c r="I246">
        <v>-0.27887984999999998</v>
      </c>
      <c r="J246">
        <v>0.43881209999999998</v>
      </c>
    </row>
    <row r="247" spans="1:10" x14ac:dyDescent="0.3">
      <c r="A247">
        <v>245</v>
      </c>
      <c r="B247">
        <v>4028</v>
      </c>
      <c r="C247" t="b">
        <v>1</v>
      </c>
      <c r="D247">
        <v>8088</v>
      </c>
      <c r="E247">
        <v>8096</v>
      </c>
      <c r="F247">
        <v>219.2</v>
      </c>
      <c r="G247">
        <v>171.93333000000001</v>
      </c>
      <c r="H247">
        <v>1.2749127</v>
      </c>
      <c r="I247">
        <v>-0.27491273999999999</v>
      </c>
      <c r="J247">
        <v>0.4395773</v>
      </c>
    </row>
    <row r="248" spans="1:10" x14ac:dyDescent="0.3">
      <c r="A248">
        <v>246</v>
      </c>
      <c r="B248">
        <v>4043</v>
      </c>
      <c r="C248" t="b">
        <v>1</v>
      </c>
      <c r="D248">
        <v>8080</v>
      </c>
      <c r="E248">
        <v>8104</v>
      </c>
      <c r="F248">
        <v>219.73334</v>
      </c>
      <c r="G248">
        <v>173.53334000000001</v>
      </c>
      <c r="H248">
        <v>1.2662313000000001</v>
      </c>
      <c r="I248">
        <v>-0.26623123999999998</v>
      </c>
      <c r="J248">
        <v>0.44126125999999999</v>
      </c>
    </row>
    <row r="249" spans="1:10" x14ac:dyDescent="0.3">
      <c r="A249">
        <v>247</v>
      </c>
      <c r="B249">
        <v>4059</v>
      </c>
      <c r="C249" t="b">
        <v>1</v>
      </c>
      <c r="D249">
        <v>8080</v>
      </c>
      <c r="E249">
        <v>8104</v>
      </c>
      <c r="F249">
        <v>221.33332999999999</v>
      </c>
      <c r="G249">
        <v>175.13333</v>
      </c>
      <c r="H249">
        <v>1.2637989999999999</v>
      </c>
      <c r="I249">
        <v>-0.26379898000000002</v>
      </c>
      <c r="J249">
        <v>0.44173532999999998</v>
      </c>
    </row>
    <row r="250" spans="1:10" x14ac:dyDescent="0.3">
      <c r="A250">
        <v>248</v>
      </c>
      <c r="B250">
        <v>4075</v>
      </c>
      <c r="C250" t="b">
        <v>1</v>
      </c>
      <c r="D250">
        <v>8072</v>
      </c>
      <c r="E250">
        <v>8096</v>
      </c>
      <c r="F250">
        <v>224.53334000000001</v>
      </c>
      <c r="G250">
        <v>175.13333</v>
      </c>
      <c r="H250">
        <v>1.2820708999999999</v>
      </c>
      <c r="I250">
        <v>-0.28207084999999998</v>
      </c>
      <c r="J250">
        <v>0.43819848</v>
      </c>
    </row>
    <row r="251" spans="1:10" x14ac:dyDescent="0.3">
      <c r="A251">
        <v>249</v>
      </c>
      <c r="B251">
        <v>4091</v>
      </c>
      <c r="C251" t="b">
        <v>1</v>
      </c>
      <c r="D251">
        <v>8048</v>
      </c>
      <c r="E251">
        <v>8112</v>
      </c>
      <c r="F251">
        <v>228.8</v>
      </c>
      <c r="G251">
        <v>177.26666</v>
      </c>
      <c r="H251">
        <v>1.2907108</v>
      </c>
      <c r="I251">
        <v>-0.29071084000000003</v>
      </c>
      <c r="J251">
        <v>0.43654573000000002</v>
      </c>
    </row>
    <row r="252" spans="1:10" x14ac:dyDescent="0.3">
      <c r="A252">
        <v>250</v>
      </c>
      <c r="B252">
        <v>4106</v>
      </c>
      <c r="C252" t="b">
        <v>1</v>
      </c>
      <c r="D252">
        <v>8048</v>
      </c>
      <c r="E252">
        <v>8104</v>
      </c>
      <c r="F252">
        <v>232.53334000000001</v>
      </c>
      <c r="G252">
        <v>178.86667</v>
      </c>
      <c r="H252">
        <v>1.3000373000000001</v>
      </c>
      <c r="I252">
        <v>-0.30003730000000001</v>
      </c>
      <c r="J252">
        <v>0.43477553000000002</v>
      </c>
    </row>
    <row r="253" spans="1:10" x14ac:dyDescent="0.3">
      <c r="A253">
        <v>251</v>
      </c>
      <c r="B253">
        <v>4122</v>
      </c>
      <c r="C253" t="b">
        <v>1</v>
      </c>
      <c r="D253">
        <v>8032</v>
      </c>
      <c r="E253">
        <v>8072</v>
      </c>
      <c r="F253">
        <v>234.66667000000001</v>
      </c>
      <c r="G253">
        <v>179.4</v>
      </c>
      <c r="H253">
        <v>1.3080639999999999</v>
      </c>
      <c r="I253">
        <v>-0.30806398000000002</v>
      </c>
      <c r="J253">
        <v>0.43326356999999999</v>
      </c>
    </row>
    <row r="254" spans="1:10" x14ac:dyDescent="0.3">
      <c r="A254">
        <v>252</v>
      </c>
      <c r="B254">
        <v>4138</v>
      </c>
      <c r="C254" t="b">
        <v>1</v>
      </c>
      <c r="D254">
        <v>8024</v>
      </c>
      <c r="E254">
        <v>8080</v>
      </c>
      <c r="F254">
        <v>234.13333</v>
      </c>
      <c r="G254">
        <v>179.4</v>
      </c>
      <c r="H254">
        <v>1.305091</v>
      </c>
      <c r="I254">
        <v>-0.30509108000000001</v>
      </c>
      <c r="J254">
        <v>0.43382232999999998</v>
      </c>
    </row>
    <row r="255" spans="1:10" x14ac:dyDescent="0.3">
      <c r="A255">
        <v>253</v>
      </c>
      <c r="B255">
        <v>4154</v>
      </c>
      <c r="C255" t="b">
        <v>1</v>
      </c>
      <c r="D255">
        <v>8024</v>
      </c>
      <c r="E255">
        <v>8104</v>
      </c>
      <c r="F255">
        <v>232</v>
      </c>
      <c r="G255">
        <v>181</v>
      </c>
      <c r="H255">
        <v>1.281768</v>
      </c>
      <c r="I255">
        <v>-0.28176795999999998</v>
      </c>
      <c r="J255">
        <v>0.43825665000000003</v>
      </c>
    </row>
    <row r="256" spans="1:10" x14ac:dyDescent="0.3">
      <c r="A256">
        <v>254</v>
      </c>
      <c r="B256">
        <v>4170</v>
      </c>
      <c r="C256" t="b">
        <v>1</v>
      </c>
      <c r="D256">
        <v>8064</v>
      </c>
      <c r="E256">
        <v>8080</v>
      </c>
      <c r="F256">
        <v>229.33332999999999</v>
      </c>
      <c r="G256">
        <v>179.93333000000001</v>
      </c>
      <c r="H256">
        <v>1.2745461</v>
      </c>
      <c r="I256">
        <v>-0.27454610000000002</v>
      </c>
      <c r="J256">
        <v>0.43964815000000002</v>
      </c>
    </row>
    <row r="257" spans="1:10" x14ac:dyDescent="0.3">
      <c r="A257">
        <v>255</v>
      </c>
      <c r="B257">
        <v>4186</v>
      </c>
      <c r="C257" t="b">
        <v>1</v>
      </c>
      <c r="D257">
        <v>8056</v>
      </c>
      <c r="E257">
        <v>8080</v>
      </c>
      <c r="F257">
        <v>226.13333</v>
      </c>
      <c r="G257">
        <v>178.33332999999999</v>
      </c>
      <c r="H257">
        <v>1.2680374000000001</v>
      </c>
      <c r="I257">
        <v>-0.26803739999999998</v>
      </c>
      <c r="J257">
        <v>0.44090983</v>
      </c>
    </row>
    <row r="258" spans="1:10" x14ac:dyDescent="0.3">
      <c r="A258">
        <v>256</v>
      </c>
      <c r="B258">
        <v>4202</v>
      </c>
      <c r="C258" t="b">
        <v>1</v>
      </c>
      <c r="D258">
        <v>8064</v>
      </c>
      <c r="E258">
        <v>8112</v>
      </c>
      <c r="F258">
        <v>223.46665999999999</v>
      </c>
      <c r="G258">
        <v>177.26666</v>
      </c>
      <c r="H258">
        <v>1.2606242999999999</v>
      </c>
      <c r="I258">
        <v>-0.26062429999999998</v>
      </c>
      <c r="J258">
        <v>0.44235565999999998</v>
      </c>
    </row>
    <row r="259" spans="1:10" x14ac:dyDescent="0.3">
      <c r="A259">
        <v>257</v>
      </c>
      <c r="B259">
        <v>4218</v>
      </c>
      <c r="C259" t="b">
        <v>1</v>
      </c>
      <c r="D259">
        <v>8064</v>
      </c>
      <c r="E259">
        <v>8104</v>
      </c>
      <c r="F259">
        <v>221.33332999999999</v>
      </c>
      <c r="G259">
        <v>178.86667</v>
      </c>
      <c r="H259">
        <v>1.2374208</v>
      </c>
      <c r="I259">
        <v>-0.23742075000000001</v>
      </c>
      <c r="J259">
        <v>0.44694319999999998</v>
      </c>
    </row>
    <row r="260" spans="1:10" x14ac:dyDescent="0.3">
      <c r="A260">
        <v>258</v>
      </c>
      <c r="B260">
        <v>4234</v>
      </c>
      <c r="C260" t="b">
        <v>1</v>
      </c>
      <c r="D260">
        <v>8120</v>
      </c>
      <c r="E260">
        <v>8088</v>
      </c>
      <c r="F260">
        <v>220.26666</v>
      </c>
      <c r="G260">
        <v>178.86667</v>
      </c>
      <c r="H260">
        <v>1.2314571999999999</v>
      </c>
      <c r="I260">
        <v>-0.2314573</v>
      </c>
      <c r="J260">
        <v>0.44813764</v>
      </c>
    </row>
    <row r="261" spans="1:10" x14ac:dyDescent="0.3">
      <c r="A261">
        <v>259</v>
      </c>
      <c r="B261">
        <v>4266</v>
      </c>
      <c r="C261" t="b">
        <v>1</v>
      </c>
      <c r="D261">
        <v>8080</v>
      </c>
      <c r="E261">
        <v>8064</v>
      </c>
      <c r="F261">
        <v>219.73334</v>
      </c>
      <c r="G261">
        <v>178.86667</v>
      </c>
      <c r="H261">
        <v>1.2284755999999999</v>
      </c>
      <c r="I261">
        <v>-0.2284756</v>
      </c>
      <c r="J261">
        <v>0.44873722999999999</v>
      </c>
    </row>
    <row r="262" spans="1:10" x14ac:dyDescent="0.3">
      <c r="A262">
        <v>260</v>
      </c>
      <c r="B262">
        <v>4298</v>
      </c>
      <c r="C262" t="b">
        <v>1</v>
      </c>
      <c r="D262">
        <v>8064</v>
      </c>
      <c r="E262">
        <v>8096</v>
      </c>
      <c r="F262">
        <v>219.2</v>
      </c>
      <c r="G262">
        <v>179.4</v>
      </c>
      <c r="H262">
        <v>1.2218506</v>
      </c>
      <c r="I262">
        <v>-0.22185062999999999</v>
      </c>
      <c r="J262">
        <v>0.45007527000000003</v>
      </c>
    </row>
    <row r="263" spans="1:10" x14ac:dyDescent="0.3">
      <c r="A263">
        <v>261</v>
      </c>
      <c r="B263">
        <v>4329</v>
      </c>
      <c r="C263" t="b">
        <v>1</v>
      </c>
      <c r="D263">
        <v>8048</v>
      </c>
      <c r="E263">
        <v>8088</v>
      </c>
      <c r="F263">
        <v>218.66667000000001</v>
      </c>
      <c r="G263">
        <v>178.86667</v>
      </c>
      <c r="H263">
        <v>1.2225121000000001</v>
      </c>
      <c r="I263">
        <v>-0.22251213</v>
      </c>
      <c r="J263">
        <v>0.44994129999999999</v>
      </c>
    </row>
    <row r="264" spans="1:10" x14ac:dyDescent="0.3">
      <c r="A264">
        <v>262</v>
      </c>
      <c r="B264">
        <v>4345</v>
      </c>
      <c r="C264" t="b">
        <v>1</v>
      </c>
      <c r="D264">
        <v>8072</v>
      </c>
      <c r="E264">
        <v>8104</v>
      </c>
      <c r="F264">
        <v>218.13333</v>
      </c>
      <c r="G264">
        <v>178.33332999999999</v>
      </c>
      <c r="H264">
        <v>1.2231776000000001</v>
      </c>
      <c r="I264">
        <v>-0.2231776</v>
      </c>
      <c r="J264">
        <v>0.4498066</v>
      </c>
    </row>
    <row r="265" spans="1:10" x14ac:dyDescent="0.3">
      <c r="A265">
        <v>263</v>
      </c>
      <c r="B265">
        <v>4360</v>
      </c>
      <c r="C265" t="b">
        <v>1</v>
      </c>
      <c r="D265">
        <v>8064</v>
      </c>
      <c r="E265">
        <v>8104</v>
      </c>
      <c r="F265">
        <v>217.06666999999999</v>
      </c>
      <c r="G265">
        <v>178.33332999999999</v>
      </c>
      <c r="H265">
        <v>1.2171962999999999</v>
      </c>
      <c r="I265">
        <v>-0.21719628999999999</v>
      </c>
      <c r="J265">
        <v>0.45102006</v>
      </c>
    </row>
    <row r="266" spans="1:10" x14ac:dyDescent="0.3">
      <c r="A266">
        <v>264</v>
      </c>
      <c r="B266">
        <v>4383</v>
      </c>
      <c r="C266" t="b">
        <v>1</v>
      </c>
      <c r="D266">
        <v>8064</v>
      </c>
      <c r="E266">
        <v>8096</v>
      </c>
      <c r="F266">
        <v>216</v>
      </c>
      <c r="G266">
        <v>177.8</v>
      </c>
      <c r="H266">
        <v>1.2148482</v>
      </c>
      <c r="I266">
        <v>-0.21484812</v>
      </c>
      <c r="J266">
        <v>0.45149824</v>
      </c>
    </row>
    <row r="267" spans="1:10" x14ac:dyDescent="0.3">
      <c r="A267">
        <v>265</v>
      </c>
      <c r="B267">
        <v>4400</v>
      </c>
      <c r="C267" t="b">
        <v>1</v>
      </c>
      <c r="D267">
        <v>8040</v>
      </c>
      <c r="E267">
        <v>8088</v>
      </c>
      <c r="F267">
        <v>215.46665999999999</v>
      </c>
      <c r="G267">
        <v>177.26666</v>
      </c>
      <c r="H267">
        <v>1.2154944999999999</v>
      </c>
      <c r="I267">
        <v>-0.21549452999999999</v>
      </c>
      <c r="J267">
        <v>0.45136648000000001</v>
      </c>
    </row>
    <row r="268" spans="1:10" x14ac:dyDescent="0.3">
      <c r="A268">
        <v>266</v>
      </c>
      <c r="B268">
        <v>4417</v>
      </c>
      <c r="C268" t="b">
        <v>1</v>
      </c>
      <c r="D268">
        <v>8096</v>
      </c>
      <c r="E268">
        <v>8080</v>
      </c>
      <c r="F268">
        <v>216.53334000000001</v>
      </c>
      <c r="G268">
        <v>176.73334</v>
      </c>
      <c r="H268">
        <v>1.225198</v>
      </c>
      <c r="I268">
        <v>-0.22519805000000001</v>
      </c>
      <c r="J268">
        <v>0.44939822000000001</v>
      </c>
    </row>
    <row r="269" spans="1:10" x14ac:dyDescent="0.3">
      <c r="A269">
        <v>267</v>
      </c>
      <c r="B269">
        <v>4433</v>
      </c>
      <c r="C269" t="b">
        <v>1</v>
      </c>
      <c r="D269">
        <v>8072</v>
      </c>
      <c r="E269">
        <v>8112</v>
      </c>
      <c r="F269">
        <v>217.6</v>
      </c>
      <c r="G269">
        <v>176.73334</v>
      </c>
      <c r="H269">
        <v>1.2312335000000001</v>
      </c>
      <c r="I269">
        <v>-0.23123350000000001</v>
      </c>
      <c r="J269">
        <v>0.44818258</v>
      </c>
    </row>
    <row r="270" spans="1:10" x14ac:dyDescent="0.3">
      <c r="A270">
        <v>268</v>
      </c>
      <c r="B270">
        <v>4449</v>
      </c>
      <c r="C270" t="b">
        <v>1</v>
      </c>
      <c r="D270">
        <v>8064</v>
      </c>
      <c r="E270">
        <v>8104</v>
      </c>
      <c r="F270">
        <v>219.73334</v>
      </c>
      <c r="G270">
        <v>176.2</v>
      </c>
      <c r="H270">
        <v>1.2470677999999999</v>
      </c>
      <c r="I270">
        <v>-0.24706776</v>
      </c>
      <c r="J270">
        <v>0.44502439999999999</v>
      </c>
    </row>
    <row r="271" spans="1:10" x14ac:dyDescent="0.3">
      <c r="A271">
        <v>269</v>
      </c>
      <c r="B271">
        <v>4465</v>
      </c>
      <c r="C271" t="b">
        <v>1</v>
      </c>
      <c r="D271">
        <v>8048</v>
      </c>
      <c r="E271">
        <v>8096</v>
      </c>
      <c r="F271">
        <v>221.86667</v>
      </c>
      <c r="G271">
        <v>177.26666</v>
      </c>
      <c r="H271">
        <v>1.2515984</v>
      </c>
      <c r="I271">
        <v>-0.2515984</v>
      </c>
      <c r="J271">
        <v>0.44412892999999998</v>
      </c>
    </row>
    <row r="272" spans="1:10" x14ac:dyDescent="0.3">
      <c r="A272">
        <v>270</v>
      </c>
      <c r="B272">
        <v>4481</v>
      </c>
      <c r="C272" t="b">
        <v>1</v>
      </c>
      <c r="D272">
        <v>8032</v>
      </c>
      <c r="E272">
        <v>8104</v>
      </c>
      <c r="F272">
        <v>224</v>
      </c>
      <c r="G272">
        <v>178.86667</v>
      </c>
      <c r="H272">
        <v>1.2523295000000001</v>
      </c>
      <c r="I272">
        <v>-0.25232947</v>
      </c>
      <c r="J272">
        <v>0.44398478000000002</v>
      </c>
    </row>
    <row r="273" spans="1:10" x14ac:dyDescent="0.3">
      <c r="A273">
        <v>271</v>
      </c>
      <c r="B273">
        <v>4497</v>
      </c>
      <c r="C273" t="b">
        <v>1</v>
      </c>
      <c r="D273">
        <v>8064</v>
      </c>
      <c r="E273">
        <v>8080</v>
      </c>
      <c r="F273">
        <v>224.53334000000001</v>
      </c>
      <c r="G273">
        <v>180.46665999999999</v>
      </c>
      <c r="H273">
        <v>1.2441819000000001</v>
      </c>
      <c r="I273">
        <v>-0.24418184000000001</v>
      </c>
      <c r="J273">
        <v>0.44559670000000001</v>
      </c>
    </row>
    <row r="274" spans="1:10" x14ac:dyDescent="0.3">
      <c r="A274">
        <v>272</v>
      </c>
      <c r="B274">
        <v>4513</v>
      </c>
      <c r="C274" t="b">
        <v>1</v>
      </c>
      <c r="D274">
        <v>8104</v>
      </c>
      <c r="E274">
        <v>8104</v>
      </c>
      <c r="F274">
        <v>224.53334000000001</v>
      </c>
      <c r="G274">
        <v>180.46665999999999</v>
      </c>
      <c r="H274">
        <v>1.2441819000000001</v>
      </c>
      <c r="I274">
        <v>-0.24418184000000001</v>
      </c>
      <c r="J274">
        <v>0.44559670000000001</v>
      </c>
    </row>
    <row r="275" spans="1:10" x14ac:dyDescent="0.3">
      <c r="A275">
        <v>273</v>
      </c>
      <c r="B275">
        <v>4530</v>
      </c>
      <c r="C275" t="b">
        <v>1</v>
      </c>
      <c r="D275">
        <v>8008</v>
      </c>
      <c r="E275">
        <v>8080</v>
      </c>
      <c r="F275">
        <v>223.46665999999999</v>
      </c>
      <c r="G275">
        <v>181</v>
      </c>
      <c r="H275">
        <v>1.2346225</v>
      </c>
      <c r="I275">
        <v>-0.23462242999999999</v>
      </c>
      <c r="J275">
        <v>0.44750287999999999</v>
      </c>
    </row>
    <row r="276" spans="1:10" x14ac:dyDescent="0.3">
      <c r="A276">
        <v>274</v>
      </c>
      <c r="B276">
        <v>4545</v>
      </c>
      <c r="C276" t="b">
        <v>1</v>
      </c>
      <c r="D276">
        <v>8008</v>
      </c>
      <c r="E276">
        <v>8048</v>
      </c>
      <c r="F276">
        <v>221.33332999999999</v>
      </c>
      <c r="G276">
        <v>180.46665999999999</v>
      </c>
      <c r="H276">
        <v>1.22645</v>
      </c>
      <c r="I276">
        <v>-0.22644997</v>
      </c>
      <c r="J276">
        <v>0.44914549999999998</v>
      </c>
    </row>
    <row r="277" spans="1:10" x14ac:dyDescent="0.3">
      <c r="A277">
        <v>275</v>
      </c>
      <c r="B277">
        <v>4561</v>
      </c>
      <c r="C277" t="b">
        <v>1</v>
      </c>
      <c r="D277">
        <v>8072</v>
      </c>
      <c r="E277">
        <v>8080</v>
      </c>
      <c r="F277">
        <v>221.33332999999999</v>
      </c>
      <c r="G277">
        <v>179.4</v>
      </c>
      <c r="H277">
        <v>1.2337421</v>
      </c>
      <c r="I277">
        <v>-0.23374212</v>
      </c>
      <c r="J277">
        <v>0.44767921999999999</v>
      </c>
    </row>
    <row r="278" spans="1:10" x14ac:dyDescent="0.3">
      <c r="A278">
        <v>276</v>
      </c>
      <c r="B278">
        <v>4577</v>
      </c>
      <c r="C278" t="b">
        <v>1</v>
      </c>
      <c r="D278">
        <v>8000</v>
      </c>
      <c r="E278">
        <v>8080</v>
      </c>
      <c r="F278">
        <v>217.6</v>
      </c>
      <c r="G278">
        <v>178.86667</v>
      </c>
      <c r="H278">
        <v>1.2165486999999999</v>
      </c>
      <c r="I278">
        <v>-0.21654867</v>
      </c>
      <c r="J278">
        <v>0.45115185000000002</v>
      </c>
    </row>
    <row r="279" spans="1:10" x14ac:dyDescent="0.3">
      <c r="A279">
        <v>277</v>
      </c>
      <c r="B279">
        <v>4593</v>
      </c>
      <c r="C279" t="b">
        <v>1</v>
      </c>
      <c r="D279">
        <v>8024</v>
      </c>
      <c r="E279">
        <v>8088</v>
      </c>
      <c r="F279">
        <v>213.33332999999999</v>
      </c>
      <c r="G279">
        <v>178.33332999999999</v>
      </c>
      <c r="H279">
        <v>1.1962615999999999</v>
      </c>
      <c r="I279">
        <v>-0.19626168999999999</v>
      </c>
      <c r="J279">
        <v>0.45531914000000001</v>
      </c>
    </row>
    <row r="280" spans="1:10" x14ac:dyDescent="0.3">
      <c r="A280">
        <v>278</v>
      </c>
      <c r="B280">
        <v>4608</v>
      </c>
      <c r="C280" t="b">
        <v>1</v>
      </c>
      <c r="D280">
        <v>8024</v>
      </c>
      <c r="E280">
        <v>8080</v>
      </c>
      <c r="F280">
        <v>210.66667000000001</v>
      </c>
      <c r="G280">
        <v>177.26666</v>
      </c>
      <c r="H280">
        <v>1.1884167000000001</v>
      </c>
      <c r="I280">
        <v>-0.18841674999999999</v>
      </c>
      <c r="J280">
        <v>0.45695134999999998</v>
      </c>
    </row>
    <row r="281" spans="1:10" x14ac:dyDescent="0.3">
      <c r="A281">
        <v>279</v>
      </c>
      <c r="B281">
        <v>4624</v>
      </c>
      <c r="C281" t="b">
        <v>1</v>
      </c>
      <c r="D281">
        <v>8048</v>
      </c>
      <c r="E281">
        <v>8112</v>
      </c>
      <c r="F281">
        <v>208</v>
      </c>
      <c r="G281">
        <v>176.2</v>
      </c>
      <c r="H281">
        <v>1.1804768000000001</v>
      </c>
      <c r="I281">
        <v>-0.18047674999999999</v>
      </c>
      <c r="J281">
        <v>0.45861527000000002</v>
      </c>
    </row>
    <row r="282" spans="1:10" x14ac:dyDescent="0.3">
      <c r="A282">
        <v>280</v>
      </c>
      <c r="B282">
        <v>4640</v>
      </c>
      <c r="C282" t="b">
        <v>1</v>
      </c>
      <c r="D282">
        <v>8048</v>
      </c>
      <c r="E282">
        <v>8080</v>
      </c>
      <c r="F282">
        <v>205.33332999999999</v>
      </c>
      <c r="G282">
        <v>175.13333</v>
      </c>
      <c r="H282">
        <v>1.1724399999999999</v>
      </c>
      <c r="I282">
        <v>-0.17244003999999999</v>
      </c>
      <c r="J282">
        <v>0.4603119</v>
      </c>
    </row>
    <row r="283" spans="1:10" x14ac:dyDescent="0.3">
      <c r="A283">
        <v>281</v>
      </c>
      <c r="B283">
        <v>4656</v>
      </c>
      <c r="C283" t="b">
        <v>1</v>
      </c>
      <c r="D283">
        <v>8048</v>
      </c>
      <c r="E283">
        <v>8064</v>
      </c>
      <c r="F283">
        <v>204.26666</v>
      </c>
      <c r="G283">
        <v>174.06666999999999</v>
      </c>
      <c r="H283">
        <v>1.1734967000000001</v>
      </c>
      <c r="I283">
        <v>-0.17349671999999999</v>
      </c>
      <c r="J283">
        <v>0.46008812999999998</v>
      </c>
    </row>
    <row r="284" spans="1:10" x14ac:dyDescent="0.3">
      <c r="A284">
        <v>282</v>
      </c>
      <c r="B284">
        <v>4672</v>
      </c>
      <c r="C284" t="b">
        <v>1</v>
      </c>
      <c r="D284">
        <v>8032</v>
      </c>
      <c r="E284">
        <v>8080</v>
      </c>
      <c r="F284">
        <v>203.2</v>
      </c>
      <c r="G284">
        <v>173</v>
      </c>
      <c r="H284">
        <v>1.1745665000000001</v>
      </c>
      <c r="I284">
        <v>-0.17456646000000001</v>
      </c>
      <c r="J284">
        <v>0.45986176000000001</v>
      </c>
    </row>
    <row r="285" spans="1:10" x14ac:dyDescent="0.3">
      <c r="A285">
        <v>283</v>
      </c>
      <c r="B285">
        <v>4688</v>
      </c>
      <c r="C285" t="b">
        <v>1</v>
      </c>
      <c r="D285">
        <v>8016</v>
      </c>
      <c r="E285">
        <v>8080</v>
      </c>
      <c r="F285">
        <v>202.13333</v>
      </c>
      <c r="G285">
        <v>171.93333000000001</v>
      </c>
      <c r="H285">
        <v>1.1756494</v>
      </c>
      <c r="I285">
        <v>-0.17564946000000001</v>
      </c>
      <c r="J285">
        <v>0.45963287000000003</v>
      </c>
    </row>
    <row r="286" spans="1:10" x14ac:dyDescent="0.3">
      <c r="A286">
        <v>284</v>
      </c>
      <c r="B286">
        <v>4704</v>
      </c>
      <c r="C286" t="b">
        <v>1</v>
      </c>
      <c r="D286">
        <v>8104</v>
      </c>
      <c r="E286">
        <v>8096</v>
      </c>
      <c r="F286">
        <v>201.06666999999999</v>
      </c>
      <c r="G286">
        <v>170.86667</v>
      </c>
      <c r="H286">
        <v>1.1767460000000001</v>
      </c>
      <c r="I286">
        <v>-0.17674598</v>
      </c>
      <c r="J286">
        <v>0.45940130000000001</v>
      </c>
    </row>
    <row r="287" spans="1:10" x14ac:dyDescent="0.3">
      <c r="A287">
        <v>285</v>
      </c>
      <c r="B287">
        <v>4720</v>
      </c>
      <c r="C287" t="b">
        <v>1</v>
      </c>
      <c r="D287">
        <v>8040</v>
      </c>
      <c r="E287">
        <v>8072</v>
      </c>
      <c r="F287">
        <v>199.46665999999999</v>
      </c>
      <c r="G287">
        <v>169.26666</v>
      </c>
      <c r="H287">
        <v>1.1784167000000001</v>
      </c>
      <c r="I287">
        <v>-0.17841667999999999</v>
      </c>
      <c r="J287">
        <v>0.45904899999999998</v>
      </c>
    </row>
    <row r="288" spans="1:10" x14ac:dyDescent="0.3">
      <c r="A288">
        <v>286</v>
      </c>
      <c r="B288">
        <v>4736</v>
      </c>
      <c r="C288" t="b">
        <v>1</v>
      </c>
      <c r="D288">
        <v>8040</v>
      </c>
      <c r="E288">
        <v>8088</v>
      </c>
      <c r="F288">
        <v>197.86667</v>
      </c>
      <c r="G288">
        <v>167.66667000000001</v>
      </c>
      <c r="H288">
        <v>1.1801193000000001</v>
      </c>
      <c r="I288">
        <v>-0.18011926</v>
      </c>
      <c r="J288">
        <v>0.45869051999999999</v>
      </c>
    </row>
    <row r="289" spans="1:10" x14ac:dyDescent="0.3">
      <c r="A289">
        <v>287</v>
      </c>
      <c r="B289">
        <v>4751</v>
      </c>
      <c r="C289" t="b">
        <v>1</v>
      </c>
      <c r="D289">
        <v>8048</v>
      </c>
      <c r="E289">
        <v>8104</v>
      </c>
      <c r="F289">
        <v>196.26666</v>
      </c>
      <c r="G289">
        <v>166.6</v>
      </c>
      <c r="H289">
        <v>1.1780710999999999</v>
      </c>
      <c r="I289">
        <v>-0.17807116000000001</v>
      </c>
      <c r="J289">
        <v>0.45912182000000001</v>
      </c>
    </row>
    <row r="290" spans="1:10" x14ac:dyDescent="0.3">
      <c r="A290">
        <v>288</v>
      </c>
      <c r="B290">
        <v>4767</v>
      </c>
      <c r="C290" t="b">
        <v>1</v>
      </c>
      <c r="D290">
        <v>8088</v>
      </c>
      <c r="E290">
        <v>8088</v>
      </c>
      <c r="F290">
        <v>196.26666</v>
      </c>
      <c r="G290">
        <v>166.06666999999999</v>
      </c>
      <c r="H290">
        <v>1.1818546000000001</v>
      </c>
      <c r="I290">
        <v>-0.18185467</v>
      </c>
      <c r="J290">
        <v>0.45832568000000001</v>
      </c>
    </row>
    <row r="291" spans="1:10" x14ac:dyDescent="0.3">
      <c r="A291">
        <v>289</v>
      </c>
      <c r="B291">
        <v>4783</v>
      </c>
      <c r="C291" t="b">
        <v>1</v>
      </c>
      <c r="D291">
        <v>8096</v>
      </c>
      <c r="E291">
        <v>8096</v>
      </c>
      <c r="F291">
        <v>197.33332999999999</v>
      </c>
      <c r="G291">
        <v>166.6</v>
      </c>
      <c r="H291">
        <v>1.1844737999999999</v>
      </c>
      <c r="I291">
        <v>-0.18447371000000001</v>
      </c>
      <c r="J291">
        <v>0.45777615999999999</v>
      </c>
    </row>
    <row r="292" spans="1:10" x14ac:dyDescent="0.3">
      <c r="A292">
        <v>290</v>
      </c>
      <c r="B292">
        <v>4799</v>
      </c>
      <c r="C292" t="b">
        <v>1</v>
      </c>
      <c r="D292">
        <v>8000</v>
      </c>
      <c r="E292">
        <v>8088</v>
      </c>
      <c r="F292">
        <v>196.26666</v>
      </c>
      <c r="G292">
        <v>167.13333</v>
      </c>
      <c r="H292">
        <v>1.1743119</v>
      </c>
      <c r="I292">
        <v>-0.17431192000000001</v>
      </c>
      <c r="J292">
        <v>0.45991559999999998</v>
      </c>
    </row>
    <row r="293" spans="1:10" x14ac:dyDescent="0.3">
      <c r="A293">
        <v>291</v>
      </c>
      <c r="B293">
        <v>4815</v>
      </c>
      <c r="C293" t="b">
        <v>1</v>
      </c>
      <c r="D293">
        <v>8048</v>
      </c>
      <c r="E293">
        <v>8080</v>
      </c>
      <c r="F293">
        <v>198.93333000000001</v>
      </c>
      <c r="G293">
        <v>167.66667000000001</v>
      </c>
      <c r="H293">
        <v>1.1864811</v>
      </c>
      <c r="I293">
        <v>-0.18648108999999999</v>
      </c>
      <c r="J293">
        <v>0.45735589999999998</v>
      </c>
    </row>
    <row r="294" spans="1:10" x14ac:dyDescent="0.3">
      <c r="A294">
        <v>292</v>
      </c>
      <c r="B294">
        <v>4831</v>
      </c>
      <c r="C294" t="b">
        <v>1</v>
      </c>
      <c r="D294">
        <v>8064</v>
      </c>
      <c r="E294">
        <v>8088</v>
      </c>
      <c r="F294">
        <v>202.66667000000001</v>
      </c>
      <c r="G294">
        <v>168.2</v>
      </c>
      <c r="H294">
        <v>1.2049148000000001</v>
      </c>
      <c r="I294">
        <v>-0.20491483999999999</v>
      </c>
      <c r="J294">
        <v>0.45353225000000003</v>
      </c>
    </row>
    <row r="295" spans="1:10" x14ac:dyDescent="0.3">
      <c r="A295">
        <v>293</v>
      </c>
      <c r="B295">
        <v>4846</v>
      </c>
      <c r="C295" t="b">
        <v>1</v>
      </c>
      <c r="D295">
        <v>8040</v>
      </c>
      <c r="E295">
        <v>8080</v>
      </c>
      <c r="F295">
        <v>204.26666</v>
      </c>
      <c r="G295">
        <v>168.73334</v>
      </c>
      <c r="H295">
        <v>1.2105887</v>
      </c>
      <c r="I295">
        <v>-0.21058864999999999</v>
      </c>
      <c r="J295">
        <v>0.4523682</v>
      </c>
    </row>
    <row r="296" spans="1:10" x14ac:dyDescent="0.3">
      <c r="A296">
        <v>294</v>
      </c>
      <c r="B296">
        <v>4862</v>
      </c>
      <c r="C296" t="b">
        <v>1</v>
      </c>
      <c r="D296">
        <v>7992</v>
      </c>
      <c r="E296">
        <v>8080</v>
      </c>
      <c r="F296">
        <v>205.33332999999999</v>
      </c>
      <c r="G296">
        <v>168.73334</v>
      </c>
      <c r="H296">
        <v>1.2169102000000001</v>
      </c>
      <c r="I296">
        <v>-0.21691025999999999</v>
      </c>
      <c r="J296">
        <v>0.45107827</v>
      </c>
    </row>
    <row r="297" spans="1:10" x14ac:dyDescent="0.3">
      <c r="A297">
        <v>295</v>
      </c>
      <c r="B297">
        <v>4878</v>
      </c>
      <c r="C297" t="b">
        <v>1</v>
      </c>
      <c r="D297">
        <v>8088</v>
      </c>
      <c r="E297">
        <v>8104</v>
      </c>
      <c r="F297">
        <v>206.93333000000001</v>
      </c>
      <c r="G297">
        <v>168.73334</v>
      </c>
      <c r="H297">
        <v>1.2263926999999999</v>
      </c>
      <c r="I297">
        <v>-0.2263927</v>
      </c>
      <c r="J297">
        <v>0.44915703000000001</v>
      </c>
    </row>
    <row r="298" spans="1:10" x14ac:dyDescent="0.3">
      <c r="A298">
        <v>296</v>
      </c>
      <c r="B298">
        <v>4894</v>
      </c>
      <c r="C298" t="b">
        <v>1</v>
      </c>
      <c r="D298">
        <v>8024</v>
      </c>
      <c r="E298">
        <v>8072</v>
      </c>
      <c r="F298">
        <v>206.4</v>
      </c>
      <c r="G298">
        <v>168.73334</v>
      </c>
      <c r="H298">
        <v>1.2232319</v>
      </c>
      <c r="I298">
        <v>-0.22323185000000001</v>
      </c>
      <c r="J298">
        <v>0.44979563</v>
      </c>
    </row>
    <row r="299" spans="1:10" x14ac:dyDescent="0.3">
      <c r="A299">
        <v>297</v>
      </c>
      <c r="B299">
        <v>4910</v>
      </c>
      <c r="C299" t="b">
        <v>1</v>
      </c>
      <c r="D299">
        <v>8088</v>
      </c>
      <c r="E299">
        <v>8088</v>
      </c>
      <c r="F299">
        <v>205.86667</v>
      </c>
      <c r="G299">
        <v>168.73334</v>
      </c>
      <c r="H299">
        <v>1.2200711</v>
      </c>
      <c r="I299">
        <v>-0.22007109999999999</v>
      </c>
      <c r="J299">
        <v>0.45043602999999999</v>
      </c>
    </row>
    <row r="300" spans="1:10" x14ac:dyDescent="0.3">
      <c r="A300">
        <v>298</v>
      </c>
      <c r="B300">
        <v>4926</v>
      </c>
      <c r="C300" t="b">
        <v>1</v>
      </c>
      <c r="D300">
        <v>8064</v>
      </c>
      <c r="E300">
        <v>8080</v>
      </c>
      <c r="F300">
        <v>206.93333000000001</v>
      </c>
      <c r="G300">
        <v>168.73334</v>
      </c>
      <c r="H300">
        <v>1.2263926999999999</v>
      </c>
      <c r="I300">
        <v>-0.2263927</v>
      </c>
      <c r="J300">
        <v>0.44915703000000001</v>
      </c>
    </row>
    <row r="301" spans="1:10" x14ac:dyDescent="0.3">
      <c r="A301">
        <v>299</v>
      </c>
      <c r="B301">
        <v>4942</v>
      </c>
      <c r="C301" t="b">
        <v>1</v>
      </c>
      <c r="D301">
        <v>8040</v>
      </c>
      <c r="E301">
        <v>8096</v>
      </c>
      <c r="F301">
        <v>208</v>
      </c>
      <c r="G301">
        <v>169.26666</v>
      </c>
      <c r="H301">
        <v>1.2288302</v>
      </c>
      <c r="I301">
        <v>-0.22883028</v>
      </c>
      <c r="J301">
        <v>0.44866582999999999</v>
      </c>
    </row>
    <row r="302" spans="1:10" x14ac:dyDescent="0.3">
      <c r="A302">
        <v>300</v>
      </c>
      <c r="B302">
        <v>4958</v>
      </c>
      <c r="C302" t="b">
        <v>1</v>
      </c>
      <c r="D302">
        <v>8072</v>
      </c>
      <c r="E302">
        <v>8096</v>
      </c>
      <c r="F302">
        <v>209.6</v>
      </c>
      <c r="G302">
        <v>169.8</v>
      </c>
      <c r="H302">
        <v>1.2343934000000001</v>
      </c>
      <c r="I302">
        <v>-0.23439341999999999</v>
      </c>
      <c r="J302">
        <v>0.44754875</v>
      </c>
    </row>
    <row r="303" spans="1:10" x14ac:dyDescent="0.3">
      <c r="A303">
        <v>301</v>
      </c>
      <c r="B303">
        <v>4974</v>
      </c>
      <c r="C303" t="b">
        <v>1</v>
      </c>
      <c r="D303">
        <v>8000</v>
      </c>
      <c r="E303">
        <v>8088</v>
      </c>
      <c r="F303">
        <v>211.2</v>
      </c>
      <c r="G303">
        <v>170.33332999999999</v>
      </c>
      <c r="H303">
        <v>1.2399217</v>
      </c>
      <c r="I303">
        <v>-0.23992174999999999</v>
      </c>
      <c r="J303">
        <v>0.44644418000000002</v>
      </c>
    </row>
    <row r="304" spans="1:10" x14ac:dyDescent="0.3">
      <c r="A304">
        <v>302</v>
      </c>
      <c r="B304">
        <v>4990</v>
      </c>
      <c r="C304" t="b">
        <v>1</v>
      </c>
      <c r="D304">
        <v>8064</v>
      </c>
      <c r="E304">
        <v>8080</v>
      </c>
      <c r="F304">
        <v>212.8</v>
      </c>
      <c r="G304">
        <v>170.33332999999999</v>
      </c>
      <c r="H304">
        <v>1.2493151</v>
      </c>
      <c r="I304">
        <v>-0.24931513</v>
      </c>
      <c r="J304">
        <v>0.44457977999999998</v>
      </c>
    </row>
    <row r="305" spans="1:10" x14ac:dyDescent="0.3">
      <c r="A305">
        <v>303</v>
      </c>
      <c r="B305">
        <v>5006</v>
      </c>
      <c r="C305" t="b">
        <v>1</v>
      </c>
      <c r="D305">
        <v>8048</v>
      </c>
      <c r="E305">
        <v>8088</v>
      </c>
      <c r="F305">
        <v>212.8</v>
      </c>
      <c r="G305">
        <v>170.33332999999999</v>
      </c>
      <c r="H305">
        <v>1.2493151</v>
      </c>
      <c r="I305">
        <v>-0.24931513</v>
      </c>
      <c r="J305">
        <v>0.44457977999999998</v>
      </c>
    </row>
    <row r="306" spans="1:10" x14ac:dyDescent="0.3">
      <c r="A306">
        <v>304</v>
      </c>
      <c r="B306">
        <v>5021</v>
      </c>
      <c r="C306" t="b">
        <v>1</v>
      </c>
      <c r="D306">
        <v>8072</v>
      </c>
      <c r="E306">
        <v>8064</v>
      </c>
      <c r="F306">
        <v>213.86667</v>
      </c>
      <c r="G306">
        <v>170.33332999999999</v>
      </c>
      <c r="H306">
        <v>1.2555772999999999</v>
      </c>
      <c r="I306">
        <v>-0.25557735999999998</v>
      </c>
      <c r="J306">
        <v>0.44334546000000002</v>
      </c>
    </row>
    <row r="307" spans="1:10" x14ac:dyDescent="0.3">
      <c r="A307">
        <v>305</v>
      </c>
      <c r="B307">
        <v>5037</v>
      </c>
      <c r="C307" t="b">
        <v>1</v>
      </c>
      <c r="D307">
        <v>8048</v>
      </c>
      <c r="E307">
        <v>8072</v>
      </c>
      <c r="F307">
        <v>213.86667</v>
      </c>
      <c r="G307">
        <v>169.8</v>
      </c>
      <c r="H307">
        <v>1.2595209999999999</v>
      </c>
      <c r="I307">
        <v>-0.259521</v>
      </c>
      <c r="J307">
        <v>0.44257166999999997</v>
      </c>
    </row>
    <row r="308" spans="1:10" x14ac:dyDescent="0.3">
      <c r="A308">
        <v>306</v>
      </c>
      <c r="B308">
        <v>5053</v>
      </c>
      <c r="C308" t="b">
        <v>1</v>
      </c>
      <c r="D308">
        <v>8072</v>
      </c>
      <c r="E308">
        <v>8064</v>
      </c>
      <c r="F308">
        <v>214.93333000000001</v>
      </c>
      <c r="G308">
        <v>168.73334</v>
      </c>
      <c r="H308">
        <v>1.2738048</v>
      </c>
      <c r="I308">
        <v>-0.27380478000000003</v>
      </c>
      <c r="J308">
        <v>0.43979147000000002</v>
      </c>
    </row>
    <row r="309" spans="1:10" x14ac:dyDescent="0.3">
      <c r="A309">
        <v>307</v>
      </c>
      <c r="B309">
        <v>5069</v>
      </c>
      <c r="C309" t="b">
        <v>1</v>
      </c>
      <c r="D309">
        <v>8048</v>
      </c>
      <c r="E309">
        <v>8080</v>
      </c>
      <c r="F309">
        <v>213.86667</v>
      </c>
      <c r="G309">
        <v>167.66667000000001</v>
      </c>
      <c r="H309">
        <v>1.2755467</v>
      </c>
      <c r="I309">
        <v>-0.27554669999999998</v>
      </c>
      <c r="J309">
        <v>0.43945485000000001</v>
      </c>
    </row>
    <row r="310" spans="1:10" x14ac:dyDescent="0.3">
      <c r="A310">
        <v>308</v>
      </c>
      <c r="B310">
        <v>5085</v>
      </c>
      <c r="C310" t="b">
        <v>1</v>
      </c>
      <c r="D310">
        <v>8056</v>
      </c>
      <c r="E310">
        <v>8104</v>
      </c>
      <c r="F310">
        <v>214.4</v>
      </c>
      <c r="G310">
        <v>166.6</v>
      </c>
      <c r="H310">
        <v>1.2869147000000001</v>
      </c>
      <c r="I310">
        <v>-0.28691467999999998</v>
      </c>
      <c r="J310">
        <v>0.43727033999999998</v>
      </c>
    </row>
    <row r="311" spans="1:10" x14ac:dyDescent="0.3">
      <c r="A311">
        <v>309</v>
      </c>
      <c r="B311">
        <v>5100</v>
      </c>
      <c r="C311" t="b">
        <v>1</v>
      </c>
      <c r="D311">
        <v>8088</v>
      </c>
      <c r="E311">
        <v>8080</v>
      </c>
      <c r="F311">
        <v>215.46665999999999</v>
      </c>
      <c r="G311">
        <v>166.6</v>
      </c>
      <c r="H311">
        <v>1.2933171999999999</v>
      </c>
      <c r="I311">
        <v>-0.29331722999999998</v>
      </c>
      <c r="J311">
        <v>0.43604957999999999</v>
      </c>
    </row>
    <row r="312" spans="1:10" x14ac:dyDescent="0.3">
      <c r="A312">
        <v>310</v>
      </c>
      <c r="B312">
        <v>5116</v>
      </c>
      <c r="C312" t="b">
        <v>1</v>
      </c>
      <c r="D312">
        <v>8080</v>
      </c>
      <c r="E312">
        <v>8080</v>
      </c>
      <c r="F312">
        <v>217.06666999999999</v>
      </c>
      <c r="G312">
        <v>166.6</v>
      </c>
      <c r="H312">
        <v>1.302921</v>
      </c>
      <c r="I312">
        <v>-0.30292111999999999</v>
      </c>
      <c r="J312">
        <v>0.43423109999999998</v>
      </c>
    </row>
    <row r="313" spans="1:10" x14ac:dyDescent="0.3">
      <c r="A313">
        <v>311</v>
      </c>
      <c r="B313">
        <v>5133</v>
      </c>
      <c r="C313" t="b">
        <v>1</v>
      </c>
      <c r="D313">
        <v>8104</v>
      </c>
      <c r="E313">
        <v>8056</v>
      </c>
      <c r="F313">
        <v>219.73334</v>
      </c>
      <c r="G313">
        <v>166.6</v>
      </c>
      <c r="H313">
        <v>1.3189275</v>
      </c>
      <c r="I313">
        <v>-0.31892756</v>
      </c>
      <c r="J313">
        <v>0.43123381999999999</v>
      </c>
    </row>
    <row r="314" spans="1:10" x14ac:dyDescent="0.3">
      <c r="A314">
        <v>312</v>
      </c>
      <c r="B314">
        <v>5148</v>
      </c>
      <c r="C314" t="b">
        <v>1</v>
      </c>
      <c r="D314">
        <v>8120</v>
      </c>
      <c r="E314">
        <v>8088</v>
      </c>
      <c r="F314">
        <v>222.93333000000001</v>
      </c>
      <c r="G314">
        <v>166.6</v>
      </c>
      <c r="H314">
        <v>1.3381352</v>
      </c>
      <c r="I314">
        <v>-0.33813520000000002</v>
      </c>
      <c r="J314">
        <v>0.42769128000000001</v>
      </c>
    </row>
    <row r="315" spans="1:10" x14ac:dyDescent="0.3">
      <c r="A315">
        <v>313</v>
      </c>
      <c r="B315">
        <v>5164</v>
      </c>
      <c r="C315" t="b">
        <v>1</v>
      </c>
      <c r="D315">
        <v>8024</v>
      </c>
      <c r="E315">
        <v>8104</v>
      </c>
      <c r="F315">
        <v>224.53334000000001</v>
      </c>
      <c r="G315">
        <v>166.6</v>
      </c>
      <c r="H315">
        <v>1.3477391000000001</v>
      </c>
      <c r="I315">
        <v>-0.34773910000000002</v>
      </c>
      <c r="J315">
        <v>0.42594169999999998</v>
      </c>
    </row>
    <row r="316" spans="1:10" x14ac:dyDescent="0.3">
      <c r="A316">
        <v>314</v>
      </c>
      <c r="B316">
        <v>5180</v>
      </c>
      <c r="C316" t="b">
        <v>1</v>
      </c>
      <c r="D316">
        <v>8080</v>
      </c>
      <c r="E316">
        <v>8064</v>
      </c>
      <c r="F316">
        <v>225.6</v>
      </c>
      <c r="G316">
        <v>166.06666999999999</v>
      </c>
      <c r="H316">
        <v>1.3584906000000001</v>
      </c>
      <c r="I316">
        <v>-0.35849061999999998</v>
      </c>
      <c r="J316">
        <v>0.42399997</v>
      </c>
    </row>
    <row r="317" spans="1:10" x14ac:dyDescent="0.3">
      <c r="A317">
        <v>315</v>
      </c>
      <c r="B317">
        <v>5196</v>
      </c>
      <c r="C317" t="b">
        <v>1</v>
      </c>
      <c r="D317">
        <v>8080</v>
      </c>
      <c r="E317">
        <v>8080</v>
      </c>
      <c r="F317">
        <v>226.66667000000001</v>
      </c>
      <c r="G317">
        <v>165.53334000000001</v>
      </c>
      <c r="H317">
        <v>1.3693112999999999</v>
      </c>
      <c r="I317">
        <v>-0.36931130000000001</v>
      </c>
      <c r="J317">
        <v>0.42206359999999998</v>
      </c>
    </row>
    <row r="318" spans="1:10" x14ac:dyDescent="0.3">
      <c r="A318">
        <v>316</v>
      </c>
      <c r="B318">
        <v>5211</v>
      </c>
      <c r="C318" t="b">
        <v>1</v>
      </c>
      <c r="D318">
        <v>8048</v>
      </c>
      <c r="E318">
        <v>8104</v>
      </c>
      <c r="F318">
        <v>227.73334</v>
      </c>
      <c r="G318">
        <v>165.53334000000001</v>
      </c>
      <c r="H318">
        <v>1.3757550999999999</v>
      </c>
      <c r="I318">
        <v>-0.37575510000000001</v>
      </c>
      <c r="J318">
        <v>0.42091882000000003</v>
      </c>
    </row>
    <row r="319" spans="1:10" x14ac:dyDescent="0.3">
      <c r="A319">
        <v>317</v>
      </c>
      <c r="B319">
        <v>5227</v>
      </c>
      <c r="C319" t="b">
        <v>1</v>
      </c>
      <c r="D319">
        <v>8104</v>
      </c>
      <c r="E319">
        <v>8088</v>
      </c>
      <c r="F319">
        <v>228.8</v>
      </c>
      <c r="G319">
        <v>165.53334000000001</v>
      </c>
      <c r="H319">
        <v>1.3821988999999999</v>
      </c>
      <c r="I319">
        <v>-0.38219890000000001</v>
      </c>
      <c r="J319">
        <v>0.41978021999999998</v>
      </c>
    </row>
    <row r="320" spans="1:10" x14ac:dyDescent="0.3">
      <c r="A320">
        <v>318</v>
      </c>
      <c r="B320">
        <v>5243</v>
      </c>
      <c r="C320" t="b">
        <v>1</v>
      </c>
      <c r="D320">
        <v>8008</v>
      </c>
      <c r="E320">
        <v>8088</v>
      </c>
      <c r="F320">
        <v>230.93333000000001</v>
      </c>
      <c r="G320">
        <v>165.53334000000001</v>
      </c>
      <c r="H320">
        <v>1.3950864999999999</v>
      </c>
      <c r="I320">
        <v>-0.39508652999999999</v>
      </c>
      <c r="J320">
        <v>0.41752145000000002</v>
      </c>
    </row>
    <row r="321" spans="1:10" x14ac:dyDescent="0.3">
      <c r="A321">
        <v>319</v>
      </c>
      <c r="B321">
        <v>5259</v>
      </c>
      <c r="C321" t="b">
        <v>1</v>
      </c>
      <c r="D321">
        <v>8080</v>
      </c>
      <c r="E321">
        <v>8120</v>
      </c>
      <c r="F321">
        <v>232</v>
      </c>
      <c r="G321">
        <v>165.53334000000001</v>
      </c>
      <c r="H321">
        <v>1.4015304</v>
      </c>
      <c r="I321">
        <v>-0.40153035999999998</v>
      </c>
      <c r="J321">
        <v>0.41640117999999998</v>
      </c>
    </row>
    <row r="322" spans="1:10" x14ac:dyDescent="0.3">
      <c r="A322">
        <v>320</v>
      </c>
      <c r="B322">
        <v>5275</v>
      </c>
      <c r="C322" t="b">
        <v>1</v>
      </c>
      <c r="D322">
        <v>8096</v>
      </c>
      <c r="E322">
        <v>8104</v>
      </c>
      <c r="F322">
        <v>234.13333</v>
      </c>
      <c r="G322">
        <v>167.13333</v>
      </c>
      <c r="H322">
        <v>1.4008776000000001</v>
      </c>
      <c r="I322">
        <v>-0.40087753999999998</v>
      </c>
      <c r="J322">
        <v>0.41651437000000002</v>
      </c>
    </row>
    <row r="323" spans="1:10" x14ac:dyDescent="0.3">
      <c r="A323">
        <v>321</v>
      </c>
      <c r="B323">
        <v>5291</v>
      </c>
      <c r="C323" t="b">
        <v>1</v>
      </c>
      <c r="D323">
        <v>8088</v>
      </c>
      <c r="E323">
        <v>8096</v>
      </c>
      <c r="F323">
        <v>235.73334</v>
      </c>
      <c r="G323">
        <v>168.73334</v>
      </c>
      <c r="H323">
        <v>1.3970762000000001</v>
      </c>
      <c r="I323">
        <v>-0.39707625000000002</v>
      </c>
      <c r="J323">
        <v>0.41717488000000003</v>
      </c>
    </row>
    <row r="324" spans="1:10" x14ac:dyDescent="0.3">
      <c r="A324">
        <v>322</v>
      </c>
      <c r="B324">
        <v>5307</v>
      </c>
      <c r="C324" t="b">
        <v>1</v>
      </c>
      <c r="D324">
        <v>8088</v>
      </c>
      <c r="E324">
        <v>8104</v>
      </c>
      <c r="F324">
        <v>238.4</v>
      </c>
      <c r="G324">
        <v>170.86667</v>
      </c>
      <c r="H324">
        <v>1.39524</v>
      </c>
      <c r="I324">
        <v>-0.39523989999999998</v>
      </c>
      <c r="J324">
        <v>0.4174947</v>
      </c>
    </row>
    <row r="325" spans="1:10" x14ac:dyDescent="0.3">
      <c r="A325">
        <v>323</v>
      </c>
      <c r="B325">
        <v>5323</v>
      </c>
      <c r="C325" t="b">
        <v>1</v>
      </c>
      <c r="D325">
        <v>8008</v>
      </c>
      <c r="E325">
        <v>8072</v>
      </c>
      <c r="F325">
        <v>240.53334000000001</v>
      </c>
      <c r="G325">
        <v>173</v>
      </c>
      <c r="H325">
        <v>1.3903661</v>
      </c>
      <c r="I325">
        <v>-0.39036613999999997</v>
      </c>
      <c r="J325">
        <v>0.41834596000000002</v>
      </c>
    </row>
    <row r="326" spans="1:10" x14ac:dyDescent="0.3">
      <c r="A326">
        <v>324</v>
      </c>
      <c r="B326">
        <v>5339</v>
      </c>
      <c r="C326" t="b">
        <v>1</v>
      </c>
      <c r="D326">
        <v>8056</v>
      </c>
      <c r="E326">
        <v>8096</v>
      </c>
      <c r="F326">
        <v>242.66667000000001</v>
      </c>
      <c r="G326">
        <v>174.06666999999999</v>
      </c>
      <c r="H326">
        <v>1.3941018999999999</v>
      </c>
      <c r="I326">
        <v>-0.39410191999999999</v>
      </c>
      <c r="J326">
        <v>0.41769317</v>
      </c>
    </row>
    <row r="327" spans="1:10" x14ac:dyDescent="0.3">
      <c r="A327">
        <v>325</v>
      </c>
      <c r="B327">
        <v>5354</v>
      </c>
      <c r="C327" t="b">
        <v>1</v>
      </c>
      <c r="D327">
        <v>8096</v>
      </c>
      <c r="E327">
        <v>8072</v>
      </c>
      <c r="F327">
        <v>243.73334</v>
      </c>
      <c r="G327">
        <v>175.13333</v>
      </c>
      <c r="H327">
        <v>1.3917016</v>
      </c>
      <c r="I327">
        <v>-0.39170159999999998</v>
      </c>
      <c r="J327">
        <v>0.41811237000000001</v>
      </c>
    </row>
    <row r="328" spans="1:10" x14ac:dyDescent="0.3">
      <c r="A328">
        <v>326</v>
      </c>
      <c r="B328">
        <v>5370</v>
      </c>
      <c r="C328" t="b">
        <v>1</v>
      </c>
      <c r="D328">
        <v>8120</v>
      </c>
      <c r="E328">
        <v>8080</v>
      </c>
      <c r="F328">
        <v>244.26666</v>
      </c>
      <c r="G328">
        <v>175.13333</v>
      </c>
      <c r="H328">
        <v>1.3947468999999999</v>
      </c>
      <c r="I328">
        <v>-0.39474683999999999</v>
      </c>
      <c r="J328">
        <v>0.41758065999999999</v>
      </c>
    </row>
    <row r="329" spans="1:10" x14ac:dyDescent="0.3">
      <c r="A329">
        <v>327</v>
      </c>
      <c r="B329">
        <v>5386</v>
      </c>
      <c r="C329" t="b">
        <v>1</v>
      </c>
      <c r="D329">
        <v>8104</v>
      </c>
      <c r="E329">
        <v>8080</v>
      </c>
      <c r="F329">
        <v>244.8</v>
      </c>
      <c r="G329">
        <v>175.13333</v>
      </c>
      <c r="H329">
        <v>1.3977922</v>
      </c>
      <c r="I329">
        <v>-0.39779219999999998</v>
      </c>
      <c r="J329">
        <v>0.41705029999999998</v>
      </c>
    </row>
    <row r="330" spans="1:10" x14ac:dyDescent="0.3">
      <c r="A330">
        <v>328</v>
      </c>
      <c r="B330">
        <v>5402</v>
      </c>
      <c r="C330" t="b">
        <v>1</v>
      </c>
      <c r="D330">
        <v>8048</v>
      </c>
      <c r="E330">
        <v>8096</v>
      </c>
      <c r="F330">
        <v>245.33332999999999</v>
      </c>
      <c r="G330">
        <v>175.13333</v>
      </c>
      <c r="H330">
        <v>1.4008373999999999</v>
      </c>
      <c r="I330">
        <v>-0.40083744999999998</v>
      </c>
      <c r="J330">
        <v>0.41652129999999998</v>
      </c>
    </row>
    <row r="331" spans="1:10" x14ac:dyDescent="0.3">
      <c r="A331">
        <v>329</v>
      </c>
      <c r="B331">
        <v>5418</v>
      </c>
      <c r="C331" t="b">
        <v>1</v>
      </c>
      <c r="D331">
        <v>8040</v>
      </c>
      <c r="E331">
        <v>8096</v>
      </c>
      <c r="F331">
        <v>246.4</v>
      </c>
      <c r="G331">
        <v>175.13333</v>
      </c>
      <c r="H331">
        <v>1.4069281</v>
      </c>
      <c r="I331">
        <v>-0.40692803</v>
      </c>
      <c r="J331">
        <v>0.41546735000000001</v>
      </c>
    </row>
    <row r="332" spans="1:10" x14ac:dyDescent="0.3">
      <c r="A332">
        <v>330</v>
      </c>
      <c r="B332">
        <v>5434</v>
      </c>
      <c r="C332" t="b">
        <v>1</v>
      </c>
      <c r="D332">
        <v>8064</v>
      </c>
      <c r="E332">
        <v>8096</v>
      </c>
      <c r="F332">
        <v>245.33332999999999</v>
      </c>
      <c r="G332">
        <v>176.2</v>
      </c>
      <c r="H332">
        <v>1.3923570999999999</v>
      </c>
      <c r="I332">
        <v>-0.39235716999999998</v>
      </c>
      <c r="J332">
        <v>0.41799777999999999</v>
      </c>
    </row>
    <row r="333" spans="1:10" x14ac:dyDescent="0.3">
      <c r="A333">
        <v>331</v>
      </c>
      <c r="B333">
        <v>5449</v>
      </c>
      <c r="C333" t="b">
        <v>1</v>
      </c>
      <c r="D333">
        <v>8040</v>
      </c>
      <c r="E333">
        <v>8096</v>
      </c>
      <c r="F333">
        <v>243.2</v>
      </c>
      <c r="G333">
        <v>176.73334</v>
      </c>
      <c r="H333">
        <v>1.3760844000000001</v>
      </c>
      <c r="I333">
        <v>-0.37608445000000001</v>
      </c>
      <c r="J333">
        <v>0.42086044</v>
      </c>
    </row>
    <row r="334" spans="1:10" x14ac:dyDescent="0.3">
      <c r="A334">
        <v>332</v>
      </c>
      <c r="B334">
        <v>5466</v>
      </c>
      <c r="C334" t="b">
        <v>1</v>
      </c>
      <c r="D334">
        <v>8048</v>
      </c>
      <c r="E334">
        <v>8056</v>
      </c>
      <c r="F334">
        <v>241.06666999999999</v>
      </c>
      <c r="G334">
        <v>177.26666</v>
      </c>
      <c r="H334">
        <v>1.3599098000000001</v>
      </c>
      <c r="I334">
        <v>-0.35990977000000002</v>
      </c>
      <c r="J334">
        <v>0.42374504000000002</v>
      </c>
    </row>
    <row r="335" spans="1:10" x14ac:dyDescent="0.3">
      <c r="A335">
        <v>333</v>
      </c>
      <c r="B335">
        <v>5482</v>
      </c>
      <c r="C335" t="b">
        <v>1</v>
      </c>
      <c r="D335">
        <v>8056</v>
      </c>
      <c r="E335">
        <v>8096</v>
      </c>
      <c r="F335">
        <v>238.93333000000001</v>
      </c>
      <c r="G335">
        <v>177.8</v>
      </c>
      <c r="H335">
        <v>1.3438319999999999</v>
      </c>
      <c r="I335">
        <v>-0.34383202000000002</v>
      </c>
      <c r="J335">
        <v>0.42665175</v>
      </c>
    </row>
    <row r="336" spans="1:10" x14ac:dyDescent="0.3">
      <c r="A336">
        <v>334</v>
      </c>
      <c r="B336">
        <v>5498</v>
      </c>
      <c r="C336" t="b">
        <v>1</v>
      </c>
      <c r="D336">
        <v>7976</v>
      </c>
      <c r="E336">
        <v>8064</v>
      </c>
      <c r="F336">
        <v>236.8</v>
      </c>
      <c r="G336">
        <v>178.33332999999999</v>
      </c>
      <c r="H336">
        <v>1.3278506000000001</v>
      </c>
      <c r="I336">
        <v>-0.32785051999999998</v>
      </c>
      <c r="J336">
        <v>0.42958084000000002</v>
      </c>
    </row>
    <row r="337" spans="1:10" x14ac:dyDescent="0.3">
      <c r="A337">
        <v>335</v>
      </c>
      <c r="B337">
        <v>5514</v>
      </c>
      <c r="C337" t="b">
        <v>1</v>
      </c>
      <c r="D337">
        <v>7992</v>
      </c>
      <c r="E337">
        <v>8080</v>
      </c>
      <c r="F337">
        <v>234.13333</v>
      </c>
      <c r="G337">
        <v>176.73334</v>
      </c>
      <c r="H337">
        <v>1.3247831000000001</v>
      </c>
      <c r="I337">
        <v>-0.32478306000000001</v>
      </c>
      <c r="J337">
        <v>0.43014767999999998</v>
      </c>
    </row>
    <row r="338" spans="1:10" x14ac:dyDescent="0.3">
      <c r="A338">
        <v>336</v>
      </c>
      <c r="B338">
        <v>5529</v>
      </c>
      <c r="C338" t="b">
        <v>1</v>
      </c>
      <c r="D338">
        <v>8016</v>
      </c>
      <c r="E338">
        <v>8096</v>
      </c>
      <c r="F338">
        <v>229.33332999999999</v>
      </c>
      <c r="G338">
        <v>175.66667000000001</v>
      </c>
      <c r="H338">
        <v>1.3055028</v>
      </c>
      <c r="I338">
        <v>-0.30550276999999998</v>
      </c>
      <c r="J338">
        <v>0.43374488</v>
      </c>
    </row>
    <row r="339" spans="1:10" x14ac:dyDescent="0.3">
      <c r="A339">
        <v>337</v>
      </c>
      <c r="B339">
        <v>5546</v>
      </c>
      <c r="C339" t="b">
        <v>1</v>
      </c>
      <c r="D339">
        <v>8088</v>
      </c>
      <c r="E339">
        <v>8088</v>
      </c>
      <c r="F339">
        <v>224.53334000000001</v>
      </c>
      <c r="G339">
        <v>174.6</v>
      </c>
      <c r="H339">
        <v>1.285987</v>
      </c>
      <c r="I339">
        <v>-0.28598701999999998</v>
      </c>
      <c r="J339">
        <v>0.4374478</v>
      </c>
    </row>
    <row r="340" spans="1:10" x14ac:dyDescent="0.3">
      <c r="A340">
        <v>338</v>
      </c>
      <c r="B340">
        <v>5561</v>
      </c>
      <c r="C340" t="b">
        <v>1</v>
      </c>
      <c r="D340">
        <v>8016</v>
      </c>
      <c r="E340">
        <v>8040</v>
      </c>
      <c r="F340">
        <v>219.73334</v>
      </c>
      <c r="G340">
        <v>173</v>
      </c>
      <c r="H340">
        <v>1.2701349</v>
      </c>
      <c r="I340">
        <v>-0.27013490000000001</v>
      </c>
      <c r="J340">
        <v>0.44050245999999998</v>
      </c>
    </row>
    <row r="341" spans="1:10" x14ac:dyDescent="0.3">
      <c r="A341">
        <v>339</v>
      </c>
      <c r="B341">
        <v>5577</v>
      </c>
      <c r="C341" t="b">
        <v>1</v>
      </c>
      <c r="D341">
        <v>8024</v>
      </c>
      <c r="E341">
        <v>8088</v>
      </c>
      <c r="F341">
        <v>214.93333000000001</v>
      </c>
      <c r="G341">
        <v>172.46665999999999</v>
      </c>
      <c r="H341">
        <v>1.2462312</v>
      </c>
      <c r="I341">
        <v>-0.24623121000000001</v>
      </c>
      <c r="J341">
        <v>0.44519013000000002</v>
      </c>
    </row>
    <row r="342" spans="1:10" x14ac:dyDescent="0.3">
      <c r="A342">
        <v>340</v>
      </c>
      <c r="B342">
        <v>5593</v>
      </c>
      <c r="C342" t="b">
        <v>1</v>
      </c>
      <c r="D342">
        <v>8032</v>
      </c>
      <c r="E342">
        <v>8088</v>
      </c>
      <c r="F342">
        <v>210.66667000000001</v>
      </c>
      <c r="G342">
        <v>171.93333000000001</v>
      </c>
      <c r="H342">
        <v>1.2252810999999999</v>
      </c>
      <c r="I342">
        <v>-0.22528113</v>
      </c>
      <c r="J342">
        <v>0.44938139999999999</v>
      </c>
    </row>
    <row r="343" spans="1:10" x14ac:dyDescent="0.3">
      <c r="A343">
        <v>341</v>
      </c>
      <c r="B343">
        <v>5609</v>
      </c>
      <c r="C343" t="b">
        <v>1</v>
      </c>
      <c r="D343">
        <v>8056</v>
      </c>
      <c r="E343">
        <v>8080</v>
      </c>
      <c r="F343">
        <v>206.93333000000001</v>
      </c>
      <c r="G343">
        <v>172.46665999999999</v>
      </c>
      <c r="H343">
        <v>1.1998454000000001</v>
      </c>
      <c r="I343">
        <v>-0.19984542999999999</v>
      </c>
      <c r="J343">
        <v>0.45457740000000002</v>
      </c>
    </row>
    <row r="344" spans="1:10" x14ac:dyDescent="0.3">
      <c r="A344">
        <v>342</v>
      </c>
      <c r="B344">
        <v>5625</v>
      </c>
      <c r="C344" t="b">
        <v>1</v>
      </c>
      <c r="D344">
        <v>8064</v>
      </c>
      <c r="E344">
        <v>8064</v>
      </c>
      <c r="F344">
        <v>202.66667000000001</v>
      </c>
      <c r="G344">
        <v>172.46665999999999</v>
      </c>
      <c r="H344">
        <v>1.1751064</v>
      </c>
      <c r="I344">
        <v>-0.17510638000000001</v>
      </c>
      <c r="J344">
        <v>0.45974764000000001</v>
      </c>
    </row>
    <row r="345" spans="1:10" x14ac:dyDescent="0.3">
      <c r="A345">
        <v>343</v>
      </c>
      <c r="B345">
        <v>5641</v>
      </c>
      <c r="C345" t="b">
        <v>1</v>
      </c>
      <c r="D345">
        <v>8096</v>
      </c>
      <c r="E345">
        <v>8104</v>
      </c>
      <c r="F345">
        <v>200</v>
      </c>
      <c r="G345">
        <v>173</v>
      </c>
      <c r="H345">
        <v>1.1560694</v>
      </c>
      <c r="I345">
        <v>-0.15606937000000001</v>
      </c>
      <c r="J345">
        <v>0.46380695999999999</v>
      </c>
    </row>
    <row r="346" spans="1:10" x14ac:dyDescent="0.3">
      <c r="A346">
        <v>344</v>
      </c>
      <c r="B346">
        <v>5657</v>
      </c>
      <c r="C346" t="b">
        <v>1</v>
      </c>
      <c r="D346">
        <v>8016</v>
      </c>
      <c r="E346">
        <v>8080</v>
      </c>
      <c r="F346">
        <v>197.33332999999999</v>
      </c>
      <c r="G346">
        <v>173</v>
      </c>
      <c r="H346">
        <v>1.140655</v>
      </c>
      <c r="I346">
        <v>-0.14065506999999999</v>
      </c>
      <c r="J346">
        <v>0.46714675</v>
      </c>
    </row>
    <row r="347" spans="1:10" x14ac:dyDescent="0.3">
      <c r="A347">
        <v>345</v>
      </c>
      <c r="B347">
        <v>5673</v>
      </c>
      <c r="C347" t="b">
        <v>1</v>
      </c>
      <c r="D347">
        <v>7992</v>
      </c>
      <c r="E347">
        <v>8064</v>
      </c>
      <c r="F347">
        <v>196.8</v>
      </c>
      <c r="G347">
        <v>171.93333000000001</v>
      </c>
      <c r="H347">
        <v>1.1446297000000001</v>
      </c>
      <c r="I347">
        <v>-0.14462971999999999</v>
      </c>
      <c r="J347">
        <v>0.46628097000000002</v>
      </c>
    </row>
    <row r="348" spans="1:10" x14ac:dyDescent="0.3">
      <c r="A348">
        <v>346</v>
      </c>
      <c r="B348">
        <v>5688</v>
      </c>
      <c r="C348" t="b">
        <v>1</v>
      </c>
      <c r="D348">
        <v>8056</v>
      </c>
      <c r="E348">
        <v>8088</v>
      </c>
      <c r="F348">
        <v>197.33332999999999</v>
      </c>
      <c r="G348">
        <v>170.86667</v>
      </c>
      <c r="H348">
        <v>1.1548966000000001</v>
      </c>
      <c r="I348">
        <v>-0.15489655999999999</v>
      </c>
      <c r="J348">
        <v>0.46405938000000002</v>
      </c>
    </row>
    <row r="349" spans="1:10" x14ac:dyDescent="0.3">
      <c r="A349">
        <v>347</v>
      </c>
      <c r="B349">
        <v>5704</v>
      </c>
      <c r="C349" t="b">
        <v>1</v>
      </c>
      <c r="D349">
        <v>8024</v>
      </c>
      <c r="E349">
        <v>8104</v>
      </c>
      <c r="F349">
        <v>195.73334</v>
      </c>
      <c r="G349">
        <v>170.33332999999999</v>
      </c>
      <c r="H349">
        <v>1.1491194</v>
      </c>
      <c r="I349">
        <v>-0.14911943999999999</v>
      </c>
      <c r="J349">
        <v>0.46530687999999998</v>
      </c>
    </row>
    <row r="350" spans="1:10" x14ac:dyDescent="0.3">
      <c r="A350">
        <v>348</v>
      </c>
      <c r="B350">
        <v>5720</v>
      </c>
      <c r="C350" t="b">
        <v>1</v>
      </c>
      <c r="D350">
        <v>8064</v>
      </c>
      <c r="E350">
        <v>8048</v>
      </c>
      <c r="F350">
        <v>194.13333</v>
      </c>
      <c r="G350">
        <v>169.26666</v>
      </c>
      <c r="H350">
        <v>1.1469083</v>
      </c>
      <c r="I350">
        <v>-0.14690824999999999</v>
      </c>
      <c r="J350">
        <v>0.46578609999999998</v>
      </c>
    </row>
    <row r="351" spans="1:10" x14ac:dyDescent="0.3">
      <c r="A351">
        <v>349</v>
      </c>
      <c r="B351">
        <v>5735</v>
      </c>
      <c r="C351" t="b">
        <v>1</v>
      </c>
      <c r="D351">
        <v>7984</v>
      </c>
      <c r="E351">
        <v>8088</v>
      </c>
      <c r="F351">
        <v>192.53334000000001</v>
      </c>
      <c r="G351">
        <v>168.73334</v>
      </c>
      <c r="H351">
        <v>1.1410509</v>
      </c>
      <c r="I351">
        <v>-0.14105097999999999</v>
      </c>
      <c r="J351">
        <v>0.46706036000000001</v>
      </c>
    </row>
    <row r="352" spans="1:10" x14ac:dyDescent="0.3">
      <c r="A352">
        <v>350</v>
      </c>
      <c r="B352">
        <v>5751</v>
      </c>
      <c r="C352" t="b">
        <v>1</v>
      </c>
      <c r="D352">
        <v>8000</v>
      </c>
      <c r="E352">
        <v>8120</v>
      </c>
      <c r="F352">
        <v>191.46665999999999</v>
      </c>
      <c r="G352">
        <v>169.26666</v>
      </c>
      <c r="H352">
        <v>1.131154</v>
      </c>
      <c r="I352">
        <v>-0.13115399</v>
      </c>
      <c r="J352">
        <v>0.46922933999999999</v>
      </c>
    </row>
    <row r="353" spans="1:10" x14ac:dyDescent="0.3">
      <c r="A353">
        <v>351</v>
      </c>
      <c r="B353">
        <v>5767</v>
      </c>
      <c r="C353" t="b">
        <v>1</v>
      </c>
      <c r="D353">
        <v>8072</v>
      </c>
      <c r="E353">
        <v>8088</v>
      </c>
      <c r="F353">
        <v>192</v>
      </c>
      <c r="G353">
        <v>169.8</v>
      </c>
      <c r="H353">
        <v>1.1307421</v>
      </c>
      <c r="I353">
        <v>-0.13074203000000001</v>
      </c>
      <c r="J353">
        <v>0.46932010000000002</v>
      </c>
    </row>
    <row r="354" spans="1:10" x14ac:dyDescent="0.3">
      <c r="A354">
        <v>352</v>
      </c>
      <c r="B354">
        <v>5783</v>
      </c>
      <c r="C354" t="b">
        <v>1</v>
      </c>
      <c r="D354">
        <v>8112</v>
      </c>
      <c r="E354">
        <v>8088</v>
      </c>
      <c r="F354">
        <v>195.2</v>
      </c>
      <c r="G354">
        <v>169.8</v>
      </c>
      <c r="H354">
        <v>1.1495877999999999</v>
      </c>
      <c r="I354">
        <v>-0.14958769999999999</v>
      </c>
      <c r="J354">
        <v>0.46520549999999999</v>
      </c>
    </row>
    <row r="355" spans="1:10" x14ac:dyDescent="0.3">
      <c r="A355">
        <v>353</v>
      </c>
      <c r="B355">
        <v>5799</v>
      </c>
      <c r="C355" t="b">
        <v>1</v>
      </c>
      <c r="D355">
        <v>8104</v>
      </c>
      <c r="E355">
        <v>8072</v>
      </c>
      <c r="F355">
        <v>198.93333000000001</v>
      </c>
      <c r="G355">
        <v>170.33332999999999</v>
      </c>
      <c r="H355">
        <v>1.1679062</v>
      </c>
      <c r="I355">
        <v>-0.1679061</v>
      </c>
      <c r="J355">
        <v>0.46127459999999998</v>
      </c>
    </row>
    <row r="356" spans="1:10" x14ac:dyDescent="0.3">
      <c r="A356">
        <v>354</v>
      </c>
      <c r="B356">
        <v>5815</v>
      </c>
      <c r="C356" t="b">
        <v>1</v>
      </c>
      <c r="D356">
        <v>8000</v>
      </c>
      <c r="E356">
        <v>8104</v>
      </c>
      <c r="F356">
        <v>202.66667000000001</v>
      </c>
      <c r="G356">
        <v>170.33332999999999</v>
      </c>
      <c r="H356">
        <v>1.189824</v>
      </c>
      <c r="I356">
        <v>-0.18982394</v>
      </c>
      <c r="J356">
        <v>0.4566577</v>
      </c>
    </row>
    <row r="357" spans="1:10" x14ac:dyDescent="0.3">
      <c r="A357">
        <v>355</v>
      </c>
      <c r="B357">
        <v>5831</v>
      </c>
      <c r="C357" t="b">
        <v>1</v>
      </c>
      <c r="D357">
        <v>8000</v>
      </c>
      <c r="E357">
        <v>8104</v>
      </c>
      <c r="F357">
        <v>205.86667</v>
      </c>
      <c r="G357">
        <v>170.33332999999999</v>
      </c>
      <c r="H357">
        <v>1.2086106999999999</v>
      </c>
      <c r="I357">
        <v>-0.20861061</v>
      </c>
      <c r="J357">
        <v>0.45277332999999997</v>
      </c>
    </row>
    <row r="358" spans="1:10" x14ac:dyDescent="0.3">
      <c r="A358">
        <v>356</v>
      </c>
      <c r="B358">
        <v>5847</v>
      </c>
      <c r="C358" t="b">
        <v>1</v>
      </c>
      <c r="D358">
        <v>8048</v>
      </c>
      <c r="E358">
        <v>8088</v>
      </c>
      <c r="F358">
        <v>206.93333000000001</v>
      </c>
      <c r="G358">
        <v>170.33332999999999</v>
      </c>
      <c r="H358">
        <v>1.2148728</v>
      </c>
      <c r="I358">
        <v>-0.21487284000000001</v>
      </c>
      <c r="J358">
        <v>0.45149317</v>
      </c>
    </row>
    <row r="359" spans="1:10" x14ac:dyDescent="0.3">
      <c r="A359">
        <v>357</v>
      </c>
      <c r="B359">
        <v>5863</v>
      </c>
      <c r="C359" t="b">
        <v>1</v>
      </c>
      <c r="D359">
        <v>8064</v>
      </c>
      <c r="E359">
        <v>8104</v>
      </c>
      <c r="F359">
        <v>208</v>
      </c>
      <c r="G359">
        <v>171.93333000000001</v>
      </c>
      <c r="H359">
        <v>1.2097713000000001</v>
      </c>
      <c r="I359">
        <v>-0.20977122000000001</v>
      </c>
      <c r="J359">
        <v>0.45253549999999998</v>
      </c>
    </row>
    <row r="360" spans="1:10" x14ac:dyDescent="0.3">
      <c r="A360">
        <v>358</v>
      </c>
      <c r="B360">
        <v>5878</v>
      </c>
      <c r="C360" t="b">
        <v>1</v>
      </c>
      <c r="D360">
        <v>8016</v>
      </c>
      <c r="E360">
        <v>8080</v>
      </c>
      <c r="F360">
        <v>205.33332999999999</v>
      </c>
      <c r="G360">
        <v>173</v>
      </c>
      <c r="H360">
        <v>1.1868979</v>
      </c>
      <c r="I360">
        <v>-0.18689784000000001</v>
      </c>
      <c r="J360">
        <v>0.45726874000000001</v>
      </c>
    </row>
    <row r="361" spans="1:10" x14ac:dyDescent="0.3">
      <c r="A361">
        <v>359</v>
      </c>
      <c r="B361">
        <v>5894</v>
      </c>
      <c r="C361" t="b">
        <v>1</v>
      </c>
      <c r="D361">
        <v>8016</v>
      </c>
      <c r="E361">
        <v>8064</v>
      </c>
      <c r="F361">
        <v>202.66667000000001</v>
      </c>
      <c r="G361">
        <v>173.53334000000001</v>
      </c>
      <c r="H361">
        <v>1.1678831999999999</v>
      </c>
      <c r="I361">
        <v>-0.16788318999999999</v>
      </c>
      <c r="J361">
        <v>0.46127944999999998</v>
      </c>
    </row>
    <row r="362" spans="1:10" x14ac:dyDescent="0.3">
      <c r="A362">
        <v>360</v>
      </c>
      <c r="B362">
        <v>5910</v>
      </c>
      <c r="C362" t="b">
        <v>1</v>
      </c>
      <c r="D362">
        <v>8040</v>
      </c>
      <c r="E362">
        <v>8088</v>
      </c>
      <c r="F362">
        <v>201.6</v>
      </c>
      <c r="G362">
        <v>174.06666999999999</v>
      </c>
      <c r="H362">
        <v>1.158177</v>
      </c>
      <c r="I362">
        <v>-0.15817698999999999</v>
      </c>
      <c r="J362">
        <v>0.46335401999999998</v>
      </c>
    </row>
    <row r="363" spans="1:10" x14ac:dyDescent="0.3">
      <c r="A363">
        <v>361</v>
      </c>
      <c r="B363">
        <v>5926</v>
      </c>
      <c r="C363" t="b">
        <v>1</v>
      </c>
      <c r="D363">
        <v>8056</v>
      </c>
      <c r="E363">
        <v>8104</v>
      </c>
      <c r="F363">
        <v>200.53334000000001</v>
      </c>
      <c r="G363">
        <v>174.6</v>
      </c>
      <c r="H363">
        <v>1.1485300000000001</v>
      </c>
      <c r="I363">
        <v>-0.14852998000000001</v>
      </c>
      <c r="J363">
        <v>0.46543449999999997</v>
      </c>
    </row>
    <row r="364" spans="1:10" x14ac:dyDescent="0.3">
      <c r="A364">
        <v>362</v>
      </c>
      <c r="B364">
        <v>5942</v>
      </c>
      <c r="C364" t="b">
        <v>1</v>
      </c>
      <c r="D364">
        <v>8064</v>
      </c>
      <c r="E364">
        <v>8056</v>
      </c>
      <c r="F364">
        <v>201.6</v>
      </c>
      <c r="G364">
        <v>174.06666999999999</v>
      </c>
      <c r="H364">
        <v>1.158177</v>
      </c>
      <c r="I364">
        <v>-0.15817698999999999</v>
      </c>
      <c r="J364">
        <v>0.46335401999999998</v>
      </c>
    </row>
    <row r="365" spans="1:10" x14ac:dyDescent="0.3">
      <c r="A365">
        <v>363</v>
      </c>
      <c r="B365">
        <v>5958</v>
      </c>
      <c r="C365" t="b">
        <v>1</v>
      </c>
      <c r="D365">
        <v>8064</v>
      </c>
      <c r="E365">
        <v>8080</v>
      </c>
      <c r="F365">
        <v>203.73334</v>
      </c>
      <c r="G365">
        <v>174.06666999999999</v>
      </c>
      <c r="H365">
        <v>1.1704327999999999</v>
      </c>
      <c r="I365">
        <v>-0.17043282000000001</v>
      </c>
      <c r="J365">
        <v>0.46073762000000001</v>
      </c>
    </row>
    <row r="366" spans="1:10" x14ac:dyDescent="0.3">
      <c r="A366">
        <v>364</v>
      </c>
      <c r="B366">
        <v>5974</v>
      </c>
      <c r="C366" t="b">
        <v>1</v>
      </c>
      <c r="D366">
        <v>8088</v>
      </c>
      <c r="E366">
        <v>8064</v>
      </c>
      <c r="F366">
        <v>206.4</v>
      </c>
      <c r="G366">
        <v>173.53334000000001</v>
      </c>
      <c r="H366">
        <v>1.1893967000000001</v>
      </c>
      <c r="I366">
        <v>-0.18939676999999999</v>
      </c>
      <c r="J366">
        <v>0.45674680000000001</v>
      </c>
    </row>
    <row r="367" spans="1:10" x14ac:dyDescent="0.3">
      <c r="A367">
        <v>365</v>
      </c>
      <c r="B367">
        <v>5989</v>
      </c>
      <c r="C367" t="b">
        <v>1</v>
      </c>
      <c r="D367">
        <v>8040</v>
      </c>
      <c r="E367">
        <v>8080</v>
      </c>
      <c r="F367">
        <v>209.06666999999999</v>
      </c>
      <c r="G367">
        <v>173</v>
      </c>
      <c r="H367">
        <v>1.2084779000000001</v>
      </c>
      <c r="I367">
        <v>-0.20847784</v>
      </c>
      <c r="J367">
        <v>0.45280057000000001</v>
      </c>
    </row>
    <row r="368" spans="1:10" x14ac:dyDescent="0.3">
      <c r="A368">
        <v>366</v>
      </c>
      <c r="B368">
        <v>6005</v>
      </c>
      <c r="C368" t="b">
        <v>1</v>
      </c>
      <c r="D368">
        <v>8120</v>
      </c>
      <c r="E368">
        <v>8112</v>
      </c>
      <c r="F368">
        <v>211.73334</v>
      </c>
      <c r="G368">
        <v>172.46665999999999</v>
      </c>
      <c r="H368">
        <v>1.2276769000000001</v>
      </c>
      <c r="I368">
        <v>-0.22767691000000001</v>
      </c>
      <c r="J368">
        <v>0.44889810000000002</v>
      </c>
    </row>
    <row r="369" spans="1:10" x14ac:dyDescent="0.3">
      <c r="A369">
        <v>367</v>
      </c>
      <c r="B369">
        <v>6021</v>
      </c>
      <c r="C369" t="b">
        <v>1</v>
      </c>
      <c r="D369">
        <v>8064</v>
      </c>
      <c r="E369">
        <v>8064</v>
      </c>
      <c r="F369">
        <v>211.73334</v>
      </c>
      <c r="G369">
        <v>171.93333000000001</v>
      </c>
      <c r="H369">
        <v>1.2314851</v>
      </c>
      <c r="I369">
        <v>-0.23148508000000001</v>
      </c>
      <c r="J369">
        <v>0.44813204000000001</v>
      </c>
    </row>
    <row r="370" spans="1:10" x14ac:dyDescent="0.3">
      <c r="A370">
        <v>368</v>
      </c>
      <c r="B370">
        <v>6036</v>
      </c>
      <c r="C370" t="b">
        <v>1</v>
      </c>
      <c r="D370">
        <v>8056</v>
      </c>
      <c r="E370">
        <v>8088</v>
      </c>
      <c r="F370">
        <v>211.2</v>
      </c>
      <c r="G370">
        <v>171.4</v>
      </c>
      <c r="H370">
        <v>1.2322054</v>
      </c>
      <c r="I370">
        <v>-0.23220539000000001</v>
      </c>
      <c r="J370">
        <v>0.44798747</v>
      </c>
    </row>
    <row r="371" spans="1:10" x14ac:dyDescent="0.3">
      <c r="A371">
        <v>369</v>
      </c>
      <c r="B371">
        <v>6052</v>
      </c>
      <c r="C371" t="b">
        <v>1</v>
      </c>
      <c r="D371">
        <v>8048</v>
      </c>
      <c r="E371">
        <v>8112</v>
      </c>
      <c r="F371">
        <v>210.13333</v>
      </c>
      <c r="G371">
        <v>171.4</v>
      </c>
      <c r="H371">
        <v>1.2259822</v>
      </c>
      <c r="I371">
        <v>-0.22598214</v>
      </c>
      <c r="J371">
        <v>0.44923990000000003</v>
      </c>
    </row>
    <row r="372" spans="1:10" x14ac:dyDescent="0.3">
      <c r="A372">
        <v>370</v>
      </c>
      <c r="B372">
        <v>6068</v>
      </c>
      <c r="C372" t="b">
        <v>1</v>
      </c>
      <c r="D372">
        <v>8048</v>
      </c>
      <c r="E372">
        <v>8112</v>
      </c>
      <c r="F372">
        <v>209.06666999999999</v>
      </c>
      <c r="G372">
        <v>173</v>
      </c>
      <c r="H372">
        <v>1.2084779000000001</v>
      </c>
      <c r="I372">
        <v>-0.20847784</v>
      </c>
      <c r="J372">
        <v>0.45280057000000001</v>
      </c>
    </row>
    <row r="373" spans="1:10" x14ac:dyDescent="0.3">
      <c r="A373">
        <v>371</v>
      </c>
      <c r="B373">
        <v>6084</v>
      </c>
      <c r="C373" t="b">
        <v>1</v>
      </c>
      <c r="D373">
        <v>8032</v>
      </c>
      <c r="E373">
        <v>8080</v>
      </c>
      <c r="F373">
        <v>209.06666999999999</v>
      </c>
      <c r="G373">
        <v>173</v>
      </c>
      <c r="H373">
        <v>1.2084779000000001</v>
      </c>
      <c r="I373">
        <v>-0.20847784</v>
      </c>
      <c r="J373">
        <v>0.45280057000000001</v>
      </c>
    </row>
    <row r="374" spans="1:10" x14ac:dyDescent="0.3">
      <c r="A374">
        <v>372</v>
      </c>
      <c r="B374">
        <v>6100</v>
      </c>
      <c r="C374" t="b">
        <v>1</v>
      </c>
      <c r="D374">
        <v>8064</v>
      </c>
      <c r="E374">
        <v>8104</v>
      </c>
      <c r="F374">
        <v>209.06666999999999</v>
      </c>
      <c r="G374">
        <v>173</v>
      </c>
      <c r="H374">
        <v>1.2084779000000001</v>
      </c>
      <c r="I374">
        <v>-0.20847784</v>
      </c>
      <c r="J374">
        <v>0.45280057000000001</v>
      </c>
    </row>
    <row r="375" spans="1:10" x14ac:dyDescent="0.3">
      <c r="A375">
        <v>373</v>
      </c>
      <c r="B375">
        <v>6116</v>
      </c>
      <c r="C375" t="b">
        <v>1</v>
      </c>
      <c r="D375">
        <v>8048</v>
      </c>
      <c r="E375">
        <v>8096</v>
      </c>
      <c r="F375">
        <v>211.2</v>
      </c>
      <c r="G375">
        <v>173</v>
      </c>
      <c r="H375">
        <v>1.2208091999999999</v>
      </c>
      <c r="I375">
        <v>-0.22080923999999999</v>
      </c>
      <c r="J375">
        <v>0.45028629999999997</v>
      </c>
    </row>
    <row r="376" spans="1:10" x14ac:dyDescent="0.3">
      <c r="A376">
        <v>374</v>
      </c>
      <c r="B376">
        <v>6132</v>
      </c>
      <c r="C376" t="b">
        <v>1</v>
      </c>
      <c r="D376">
        <v>8056</v>
      </c>
      <c r="E376">
        <v>8104</v>
      </c>
      <c r="F376">
        <v>213.33332999999999</v>
      </c>
      <c r="G376">
        <v>174.06666999999999</v>
      </c>
      <c r="H376">
        <v>1.225584</v>
      </c>
      <c r="I376">
        <v>-0.22558405000000001</v>
      </c>
      <c r="J376">
        <v>0.44932026000000003</v>
      </c>
    </row>
    <row r="377" spans="1:10" x14ac:dyDescent="0.3">
      <c r="A377">
        <v>375</v>
      </c>
      <c r="B377">
        <v>6148</v>
      </c>
      <c r="C377" t="b">
        <v>1</v>
      </c>
      <c r="D377">
        <v>8016</v>
      </c>
      <c r="E377">
        <v>8096</v>
      </c>
      <c r="F377">
        <v>213.86667</v>
      </c>
      <c r="G377">
        <v>174.6</v>
      </c>
      <c r="H377">
        <v>1.2248950000000001</v>
      </c>
      <c r="I377">
        <v>-0.22489497</v>
      </c>
      <c r="J377">
        <v>0.44945942999999999</v>
      </c>
    </row>
    <row r="378" spans="1:10" x14ac:dyDescent="0.3">
      <c r="A378">
        <v>376</v>
      </c>
      <c r="B378">
        <v>6163</v>
      </c>
      <c r="C378" t="b">
        <v>1</v>
      </c>
      <c r="D378">
        <v>8016</v>
      </c>
      <c r="E378">
        <v>8088</v>
      </c>
      <c r="F378">
        <v>214.4</v>
      </c>
      <c r="G378">
        <v>175.13333</v>
      </c>
      <c r="H378">
        <v>1.2242101000000001</v>
      </c>
      <c r="I378">
        <v>-0.2242101</v>
      </c>
      <c r="J378">
        <v>0.44959779999999999</v>
      </c>
    </row>
    <row r="379" spans="1:10" x14ac:dyDescent="0.3">
      <c r="A379">
        <v>377</v>
      </c>
      <c r="B379">
        <v>6179</v>
      </c>
      <c r="C379" t="b">
        <v>1</v>
      </c>
      <c r="D379">
        <v>8096</v>
      </c>
      <c r="E379">
        <v>8104</v>
      </c>
      <c r="F379">
        <v>214.93333000000001</v>
      </c>
      <c r="G379">
        <v>176.2</v>
      </c>
      <c r="H379">
        <v>1.2198260000000001</v>
      </c>
      <c r="I379">
        <v>-0.21982598</v>
      </c>
      <c r="J379">
        <v>0.45048577000000001</v>
      </c>
    </row>
    <row r="380" spans="1:10" x14ac:dyDescent="0.3">
      <c r="A380">
        <v>378</v>
      </c>
      <c r="B380">
        <v>6195</v>
      </c>
      <c r="C380" t="b">
        <v>1</v>
      </c>
      <c r="D380">
        <v>8024</v>
      </c>
      <c r="E380">
        <v>8064</v>
      </c>
      <c r="F380">
        <v>212.8</v>
      </c>
      <c r="G380">
        <v>177.26666</v>
      </c>
      <c r="H380">
        <v>1.2004513999999999</v>
      </c>
      <c r="I380">
        <v>-0.20045134000000001</v>
      </c>
      <c r="J380">
        <v>0.45445225</v>
      </c>
    </row>
    <row r="381" spans="1:10" x14ac:dyDescent="0.3">
      <c r="A381">
        <v>379</v>
      </c>
      <c r="B381">
        <v>6211</v>
      </c>
      <c r="C381" t="b">
        <v>1</v>
      </c>
      <c r="D381">
        <v>8056</v>
      </c>
      <c r="E381">
        <v>8096</v>
      </c>
      <c r="F381">
        <v>210.13333</v>
      </c>
      <c r="G381">
        <v>178.33332999999999</v>
      </c>
      <c r="H381">
        <v>1.1783178000000001</v>
      </c>
      <c r="I381">
        <v>-0.17831779</v>
      </c>
      <c r="J381">
        <v>0.45906982000000002</v>
      </c>
    </row>
    <row r="382" spans="1:10" x14ac:dyDescent="0.3">
      <c r="A382">
        <v>380</v>
      </c>
      <c r="B382">
        <v>6227</v>
      </c>
      <c r="C382" t="b">
        <v>1</v>
      </c>
      <c r="D382">
        <v>8024</v>
      </c>
      <c r="E382">
        <v>8088</v>
      </c>
      <c r="F382">
        <v>207.46665999999999</v>
      </c>
      <c r="G382">
        <v>178.86667</v>
      </c>
      <c r="H382">
        <v>1.1598955</v>
      </c>
      <c r="I382">
        <v>-0.15989558000000001</v>
      </c>
      <c r="J382">
        <v>0.46298537000000001</v>
      </c>
    </row>
    <row r="383" spans="1:10" x14ac:dyDescent="0.3">
      <c r="A383">
        <v>381</v>
      </c>
      <c r="B383">
        <v>6243</v>
      </c>
      <c r="C383" t="b">
        <v>1</v>
      </c>
      <c r="D383">
        <v>8064</v>
      </c>
      <c r="E383">
        <v>8112</v>
      </c>
      <c r="F383">
        <v>206.93333000000001</v>
      </c>
      <c r="G383">
        <v>179.93333000000001</v>
      </c>
      <c r="H383">
        <v>1.1500554999999999</v>
      </c>
      <c r="I383">
        <v>-0.15005557</v>
      </c>
      <c r="J383">
        <v>0.46510425</v>
      </c>
    </row>
    <row r="384" spans="1:10" x14ac:dyDescent="0.3">
      <c r="A384">
        <v>382</v>
      </c>
      <c r="B384">
        <v>6259</v>
      </c>
      <c r="C384" t="b">
        <v>1</v>
      </c>
      <c r="D384">
        <v>8056</v>
      </c>
      <c r="E384">
        <v>8120</v>
      </c>
      <c r="F384">
        <v>206.4</v>
      </c>
      <c r="G384">
        <v>181</v>
      </c>
      <c r="H384">
        <v>1.1403315000000001</v>
      </c>
      <c r="I384">
        <v>-0.14033145999999999</v>
      </c>
      <c r="J384">
        <v>0.46721736000000003</v>
      </c>
    </row>
    <row r="385" spans="1:10" x14ac:dyDescent="0.3">
      <c r="A385">
        <v>383</v>
      </c>
      <c r="B385">
        <v>6275</v>
      </c>
      <c r="C385" t="b">
        <v>1</v>
      </c>
      <c r="D385">
        <v>8112</v>
      </c>
      <c r="E385">
        <v>8096</v>
      </c>
      <c r="F385">
        <v>205.86667</v>
      </c>
      <c r="G385">
        <v>182.06666999999999</v>
      </c>
      <c r="H385">
        <v>1.1307213</v>
      </c>
      <c r="I385">
        <v>-0.13072136000000001</v>
      </c>
      <c r="J385">
        <v>0.46932462000000003</v>
      </c>
    </row>
    <row r="386" spans="1:10" x14ac:dyDescent="0.3">
      <c r="A386">
        <v>384</v>
      </c>
      <c r="B386">
        <v>6291</v>
      </c>
      <c r="C386" t="b">
        <v>1</v>
      </c>
      <c r="D386">
        <v>8048</v>
      </c>
      <c r="E386">
        <v>8088</v>
      </c>
      <c r="F386">
        <v>205.86667</v>
      </c>
      <c r="G386">
        <v>182.6</v>
      </c>
      <c r="H386">
        <v>1.1274188000000001</v>
      </c>
      <c r="I386">
        <v>-0.12741874</v>
      </c>
      <c r="J386">
        <v>0.4700532</v>
      </c>
    </row>
    <row r="387" spans="1:10" x14ac:dyDescent="0.3">
      <c r="A387">
        <v>385</v>
      </c>
      <c r="B387">
        <v>6306</v>
      </c>
      <c r="C387" t="b">
        <v>1</v>
      </c>
      <c r="D387">
        <v>8024</v>
      </c>
      <c r="E387">
        <v>8096</v>
      </c>
      <c r="F387">
        <v>205.86667</v>
      </c>
      <c r="G387">
        <v>181.53334000000001</v>
      </c>
      <c r="H387">
        <v>1.1340433000000001</v>
      </c>
      <c r="I387">
        <v>-0.1340433</v>
      </c>
      <c r="J387">
        <v>0.46859403999999999</v>
      </c>
    </row>
    <row r="388" spans="1:10" x14ac:dyDescent="0.3">
      <c r="A388">
        <v>386</v>
      </c>
      <c r="B388">
        <v>6323</v>
      </c>
      <c r="C388" t="b">
        <v>1</v>
      </c>
      <c r="D388">
        <v>8048</v>
      </c>
      <c r="E388">
        <v>8104</v>
      </c>
      <c r="F388">
        <v>205.86667</v>
      </c>
      <c r="G388">
        <v>182.06666999999999</v>
      </c>
      <c r="H388">
        <v>1.1307213</v>
      </c>
      <c r="I388">
        <v>-0.13072136000000001</v>
      </c>
      <c r="J388">
        <v>0.46932462000000003</v>
      </c>
    </row>
    <row r="389" spans="1:10" x14ac:dyDescent="0.3">
      <c r="A389">
        <v>387</v>
      </c>
      <c r="B389">
        <v>6338</v>
      </c>
      <c r="C389" t="b">
        <v>1</v>
      </c>
      <c r="D389">
        <v>8064</v>
      </c>
      <c r="E389">
        <v>8080</v>
      </c>
      <c r="F389">
        <v>205.86667</v>
      </c>
      <c r="G389">
        <v>181.53334000000001</v>
      </c>
      <c r="H389">
        <v>1.1340433000000001</v>
      </c>
      <c r="I389">
        <v>-0.1340433</v>
      </c>
      <c r="J389">
        <v>0.46859403999999999</v>
      </c>
    </row>
    <row r="390" spans="1:10" x14ac:dyDescent="0.3">
      <c r="A390">
        <v>388</v>
      </c>
      <c r="B390">
        <v>6354</v>
      </c>
      <c r="C390" t="b">
        <v>1</v>
      </c>
      <c r="D390">
        <v>8032</v>
      </c>
      <c r="E390">
        <v>8056</v>
      </c>
      <c r="F390">
        <v>205.86667</v>
      </c>
      <c r="G390">
        <v>180.46665999999999</v>
      </c>
      <c r="H390">
        <v>1.1407461999999999</v>
      </c>
      <c r="I390">
        <v>-0.14074627000000001</v>
      </c>
      <c r="J390">
        <v>0.46712684999999998</v>
      </c>
    </row>
    <row r="391" spans="1:10" x14ac:dyDescent="0.3">
      <c r="A391">
        <v>389</v>
      </c>
      <c r="B391">
        <v>6382</v>
      </c>
      <c r="C391" t="b">
        <v>1</v>
      </c>
      <c r="D391">
        <v>8096</v>
      </c>
      <c r="E391">
        <v>8096</v>
      </c>
      <c r="F391">
        <v>205.86667</v>
      </c>
      <c r="G391">
        <v>179.93333000000001</v>
      </c>
      <c r="H391">
        <v>1.1441275</v>
      </c>
      <c r="I391">
        <v>-0.14412746000000001</v>
      </c>
      <c r="J391">
        <v>0.46639019999999998</v>
      </c>
    </row>
    <row r="392" spans="1:10" x14ac:dyDescent="0.3">
      <c r="A392">
        <v>390</v>
      </c>
      <c r="B392">
        <v>6398</v>
      </c>
      <c r="C392" t="b">
        <v>1</v>
      </c>
      <c r="D392">
        <v>8048</v>
      </c>
      <c r="E392">
        <v>8104</v>
      </c>
      <c r="F392">
        <v>205.86667</v>
      </c>
      <c r="G392">
        <v>179.93333000000001</v>
      </c>
      <c r="H392">
        <v>1.1441275</v>
      </c>
      <c r="I392">
        <v>-0.14412746000000001</v>
      </c>
      <c r="J392">
        <v>0.46639019999999998</v>
      </c>
    </row>
    <row r="393" spans="1:10" x14ac:dyDescent="0.3">
      <c r="A393">
        <v>391</v>
      </c>
      <c r="B393">
        <v>6414</v>
      </c>
      <c r="C393" t="b">
        <v>1</v>
      </c>
      <c r="D393">
        <v>8104</v>
      </c>
      <c r="E393">
        <v>8112</v>
      </c>
      <c r="F393">
        <v>206.93333000000001</v>
      </c>
      <c r="G393">
        <v>179.93333000000001</v>
      </c>
      <c r="H393">
        <v>1.1500554999999999</v>
      </c>
      <c r="I393">
        <v>-0.15005557</v>
      </c>
      <c r="J393">
        <v>0.46510425</v>
      </c>
    </row>
    <row r="394" spans="1:10" x14ac:dyDescent="0.3">
      <c r="A394">
        <v>392</v>
      </c>
      <c r="B394">
        <v>6430</v>
      </c>
      <c r="C394" t="b">
        <v>1</v>
      </c>
      <c r="D394">
        <v>8088</v>
      </c>
      <c r="E394">
        <v>8064</v>
      </c>
      <c r="F394">
        <v>209.6</v>
      </c>
      <c r="G394">
        <v>179.93333000000001</v>
      </c>
      <c r="H394">
        <v>1.1648759</v>
      </c>
      <c r="I394">
        <v>-0.16487590999999999</v>
      </c>
      <c r="J394">
        <v>0.46192026000000003</v>
      </c>
    </row>
    <row r="395" spans="1:10" x14ac:dyDescent="0.3">
      <c r="A395">
        <v>393</v>
      </c>
      <c r="B395">
        <v>6445</v>
      </c>
      <c r="C395" t="b">
        <v>1</v>
      </c>
      <c r="D395">
        <v>8040</v>
      </c>
      <c r="E395">
        <v>8080</v>
      </c>
      <c r="F395">
        <v>213.86667</v>
      </c>
      <c r="G395">
        <v>179.93333000000001</v>
      </c>
      <c r="H395">
        <v>1.1885884</v>
      </c>
      <c r="I395">
        <v>-0.18858837000000001</v>
      </c>
      <c r="J395">
        <v>0.45691553000000001</v>
      </c>
    </row>
    <row r="396" spans="1:10" x14ac:dyDescent="0.3">
      <c r="A396">
        <v>394</v>
      </c>
      <c r="B396">
        <v>6462</v>
      </c>
      <c r="C396" t="b">
        <v>1</v>
      </c>
      <c r="D396">
        <v>8064</v>
      </c>
      <c r="E396">
        <v>8096</v>
      </c>
      <c r="F396">
        <v>216.53334000000001</v>
      </c>
      <c r="G396">
        <v>179.93333000000001</v>
      </c>
      <c r="H396">
        <v>1.2034087</v>
      </c>
      <c r="I396">
        <v>-0.2034087</v>
      </c>
      <c r="J396">
        <v>0.45384225</v>
      </c>
    </row>
    <row r="397" spans="1:10" x14ac:dyDescent="0.3">
      <c r="A397">
        <v>395</v>
      </c>
      <c r="B397">
        <v>6477</v>
      </c>
      <c r="C397" t="b">
        <v>1</v>
      </c>
      <c r="D397">
        <v>8096</v>
      </c>
      <c r="E397">
        <v>8048</v>
      </c>
      <c r="F397">
        <v>220.8</v>
      </c>
      <c r="G397">
        <v>179.4</v>
      </c>
      <c r="H397">
        <v>1.2307693</v>
      </c>
      <c r="I397">
        <v>-0.23076928999999999</v>
      </c>
      <c r="J397">
        <v>0.44827582999999999</v>
      </c>
    </row>
    <row r="398" spans="1:10" x14ac:dyDescent="0.3">
      <c r="A398">
        <v>396</v>
      </c>
      <c r="B398">
        <v>6493</v>
      </c>
      <c r="C398" t="b">
        <v>1</v>
      </c>
      <c r="D398">
        <v>8112</v>
      </c>
      <c r="E398">
        <v>8072</v>
      </c>
      <c r="F398">
        <v>222.93333000000001</v>
      </c>
      <c r="G398">
        <v>177.8</v>
      </c>
      <c r="H398">
        <v>1.2538433</v>
      </c>
      <c r="I398">
        <v>-0.25384325000000002</v>
      </c>
      <c r="J398">
        <v>0.44368657</v>
      </c>
    </row>
    <row r="399" spans="1:10" x14ac:dyDescent="0.3">
      <c r="A399">
        <v>397</v>
      </c>
      <c r="B399">
        <v>6509</v>
      </c>
      <c r="C399" t="b">
        <v>1</v>
      </c>
      <c r="D399">
        <v>8032</v>
      </c>
      <c r="E399">
        <v>8088</v>
      </c>
      <c r="F399">
        <v>223.46665999999999</v>
      </c>
      <c r="G399">
        <v>176.73334</v>
      </c>
      <c r="H399">
        <v>1.2644285</v>
      </c>
      <c r="I399">
        <v>-0.26442843999999999</v>
      </c>
      <c r="J399">
        <v>0.44161250000000002</v>
      </c>
    </row>
    <row r="400" spans="1:10" x14ac:dyDescent="0.3">
      <c r="A400">
        <v>398</v>
      </c>
      <c r="B400">
        <v>6525</v>
      </c>
      <c r="C400" t="b">
        <v>1</v>
      </c>
      <c r="D400">
        <v>8016</v>
      </c>
      <c r="E400">
        <v>8080</v>
      </c>
      <c r="F400">
        <v>224</v>
      </c>
      <c r="G400">
        <v>175.66667000000001</v>
      </c>
      <c r="H400">
        <v>1.2751423</v>
      </c>
      <c r="I400">
        <v>-0.27514228000000002</v>
      </c>
      <c r="J400">
        <v>0.43953293999999998</v>
      </c>
    </row>
    <row r="401" spans="1:10" x14ac:dyDescent="0.3">
      <c r="A401">
        <v>399</v>
      </c>
      <c r="B401">
        <v>6540</v>
      </c>
      <c r="C401" t="b">
        <v>1</v>
      </c>
      <c r="D401">
        <v>8048</v>
      </c>
      <c r="E401">
        <v>8096</v>
      </c>
      <c r="F401">
        <v>223.46665999999999</v>
      </c>
      <c r="G401">
        <v>174.6</v>
      </c>
      <c r="H401">
        <v>1.2798778</v>
      </c>
      <c r="I401">
        <v>-0.27987772</v>
      </c>
      <c r="J401">
        <v>0.43862002999999999</v>
      </c>
    </row>
    <row r="402" spans="1:10" x14ac:dyDescent="0.3">
      <c r="A402">
        <v>400</v>
      </c>
      <c r="B402">
        <v>6556</v>
      </c>
      <c r="C402" t="b">
        <v>1</v>
      </c>
      <c r="D402">
        <v>8064</v>
      </c>
      <c r="E402">
        <v>8088</v>
      </c>
      <c r="F402">
        <v>222.93333000000001</v>
      </c>
      <c r="G402">
        <v>174.06666999999999</v>
      </c>
      <c r="H402">
        <v>1.2807354</v>
      </c>
      <c r="I402">
        <v>-0.28073536999999998</v>
      </c>
      <c r="J402">
        <v>0.43845508</v>
      </c>
    </row>
    <row r="403" spans="1:10" x14ac:dyDescent="0.3">
      <c r="A403">
        <v>401</v>
      </c>
      <c r="B403">
        <v>6572</v>
      </c>
      <c r="C403" t="b">
        <v>1</v>
      </c>
      <c r="D403">
        <v>8016</v>
      </c>
      <c r="E403">
        <v>8088</v>
      </c>
      <c r="F403">
        <v>221.86667</v>
      </c>
      <c r="G403">
        <v>173.53334000000001</v>
      </c>
      <c r="H403">
        <v>1.2785248</v>
      </c>
      <c r="I403">
        <v>-0.27852473</v>
      </c>
      <c r="J403">
        <v>0.43888043999999998</v>
      </c>
    </row>
    <row r="404" spans="1:10" x14ac:dyDescent="0.3">
      <c r="A404">
        <v>402</v>
      </c>
      <c r="B404">
        <v>6588</v>
      </c>
      <c r="C404" t="b">
        <v>1</v>
      </c>
      <c r="D404">
        <v>8056</v>
      </c>
      <c r="E404">
        <v>8088</v>
      </c>
      <c r="F404">
        <v>221.86667</v>
      </c>
      <c r="G404">
        <v>173</v>
      </c>
      <c r="H404">
        <v>1.2824663000000001</v>
      </c>
      <c r="I404">
        <v>-0.2824663</v>
      </c>
      <c r="J404">
        <v>0.43812256999999999</v>
      </c>
    </row>
    <row r="405" spans="1:10" x14ac:dyDescent="0.3">
      <c r="A405">
        <v>403</v>
      </c>
      <c r="B405">
        <v>6604</v>
      </c>
      <c r="C405" t="b">
        <v>1</v>
      </c>
      <c r="D405">
        <v>8048</v>
      </c>
      <c r="E405">
        <v>8080</v>
      </c>
      <c r="F405">
        <v>221.86667</v>
      </c>
      <c r="G405">
        <v>173</v>
      </c>
      <c r="H405">
        <v>1.2824663000000001</v>
      </c>
      <c r="I405">
        <v>-0.2824663</v>
      </c>
      <c r="J405">
        <v>0.43812256999999999</v>
      </c>
    </row>
    <row r="406" spans="1:10" x14ac:dyDescent="0.3">
      <c r="A406">
        <v>404</v>
      </c>
      <c r="B406">
        <v>6620</v>
      </c>
      <c r="C406" t="b">
        <v>1</v>
      </c>
      <c r="D406">
        <v>8088</v>
      </c>
      <c r="E406">
        <v>8096</v>
      </c>
      <c r="F406">
        <v>222.4</v>
      </c>
      <c r="G406">
        <v>172.46665999999999</v>
      </c>
      <c r="H406">
        <v>1.2895246</v>
      </c>
      <c r="I406">
        <v>-0.28952455999999999</v>
      </c>
      <c r="J406">
        <v>0.43677192999999997</v>
      </c>
    </row>
    <row r="407" spans="1:10" x14ac:dyDescent="0.3">
      <c r="A407">
        <v>405</v>
      </c>
      <c r="B407">
        <v>6636</v>
      </c>
      <c r="C407" t="b">
        <v>1</v>
      </c>
      <c r="D407">
        <v>8048</v>
      </c>
      <c r="E407">
        <v>8096</v>
      </c>
      <c r="F407">
        <v>222.4</v>
      </c>
      <c r="G407">
        <v>171.93333000000001</v>
      </c>
      <c r="H407">
        <v>1.2935246</v>
      </c>
      <c r="I407">
        <v>-0.29352460000000002</v>
      </c>
      <c r="J407">
        <v>0.43601018000000002</v>
      </c>
    </row>
    <row r="408" spans="1:10" x14ac:dyDescent="0.3">
      <c r="A408">
        <v>406</v>
      </c>
      <c r="B408">
        <v>6651</v>
      </c>
      <c r="C408" t="b">
        <v>1</v>
      </c>
      <c r="D408">
        <v>8016</v>
      </c>
      <c r="E408">
        <v>8072</v>
      </c>
      <c r="F408">
        <v>221.33332999999999</v>
      </c>
      <c r="G408">
        <v>171.4</v>
      </c>
      <c r="H408">
        <v>1.2913264</v>
      </c>
      <c r="I408">
        <v>-0.29132634000000002</v>
      </c>
      <c r="J408">
        <v>0.43642842999999998</v>
      </c>
    </row>
    <row r="409" spans="1:10" x14ac:dyDescent="0.3">
      <c r="A409">
        <v>407</v>
      </c>
      <c r="B409">
        <v>6667</v>
      </c>
      <c r="C409" t="b">
        <v>1</v>
      </c>
      <c r="D409">
        <v>8040</v>
      </c>
      <c r="E409">
        <v>8080</v>
      </c>
      <c r="F409">
        <v>218.66667000000001</v>
      </c>
      <c r="G409">
        <v>170.33332999999999</v>
      </c>
      <c r="H409">
        <v>1.2837574</v>
      </c>
      <c r="I409">
        <v>-0.28375741999999998</v>
      </c>
      <c r="J409">
        <v>0.43787488000000002</v>
      </c>
    </row>
    <row r="410" spans="1:10" x14ac:dyDescent="0.3">
      <c r="A410">
        <v>408</v>
      </c>
      <c r="B410">
        <v>6683</v>
      </c>
      <c r="C410" t="b">
        <v>1</v>
      </c>
      <c r="D410">
        <v>8056</v>
      </c>
      <c r="E410">
        <v>8104</v>
      </c>
      <c r="F410">
        <v>216</v>
      </c>
      <c r="G410">
        <v>170.33332999999999</v>
      </c>
      <c r="H410">
        <v>1.2681017999999999</v>
      </c>
      <c r="I410">
        <v>-0.2681018</v>
      </c>
      <c r="J410">
        <v>0.44089735000000002</v>
      </c>
    </row>
    <row r="411" spans="1:10" x14ac:dyDescent="0.3">
      <c r="A411">
        <v>409</v>
      </c>
      <c r="B411">
        <v>6699</v>
      </c>
      <c r="C411" t="b">
        <v>1</v>
      </c>
      <c r="D411">
        <v>8032</v>
      </c>
      <c r="E411">
        <v>8104</v>
      </c>
      <c r="F411">
        <v>214.4</v>
      </c>
      <c r="G411">
        <v>170.33332999999999</v>
      </c>
      <c r="H411">
        <v>1.2587083999999999</v>
      </c>
      <c r="I411">
        <v>-0.25870841999999999</v>
      </c>
      <c r="J411">
        <v>0.44273087</v>
      </c>
    </row>
    <row r="412" spans="1:10" x14ac:dyDescent="0.3">
      <c r="A412">
        <v>410</v>
      </c>
      <c r="B412">
        <v>6715</v>
      </c>
      <c r="C412" t="b">
        <v>1</v>
      </c>
      <c r="D412">
        <v>8064</v>
      </c>
      <c r="E412">
        <v>8096</v>
      </c>
      <c r="F412">
        <v>211.2</v>
      </c>
      <c r="G412">
        <v>171.4</v>
      </c>
      <c r="H412">
        <v>1.2322054</v>
      </c>
      <c r="I412">
        <v>-0.23220539000000001</v>
      </c>
      <c r="J412">
        <v>0.44798747</v>
      </c>
    </row>
    <row r="413" spans="1:10" x14ac:dyDescent="0.3">
      <c r="A413">
        <v>411</v>
      </c>
      <c r="B413">
        <v>6731</v>
      </c>
      <c r="C413" t="b">
        <v>1</v>
      </c>
      <c r="D413">
        <v>8048</v>
      </c>
      <c r="E413">
        <v>8104</v>
      </c>
      <c r="F413">
        <v>208.53334000000001</v>
      </c>
      <c r="G413">
        <v>173.53334000000001</v>
      </c>
      <c r="H413">
        <v>1.2016903000000001</v>
      </c>
      <c r="I413">
        <v>-0.20169034999999999</v>
      </c>
      <c r="J413">
        <v>0.45419648000000001</v>
      </c>
    </row>
    <row r="414" spans="1:10" x14ac:dyDescent="0.3">
      <c r="A414">
        <v>412</v>
      </c>
      <c r="B414">
        <v>6747</v>
      </c>
      <c r="C414" t="b">
        <v>1</v>
      </c>
      <c r="D414">
        <v>8032</v>
      </c>
      <c r="E414">
        <v>8080</v>
      </c>
      <c r="F414">
        <v>207.46665999999999</v>
      </c>
      <c r="G414">
        <v>175.13333</v>
      </c>
      <c r="H414">
        <v>1.1846212</v>
      </c>
      <c r="I414">
        <v>-0.18462121000000001</v>
      </c>
      <c r="J414">
        <v>0.45774527999999998</v>
      </c>
    </row>
    <row r="415" spans="1:10" x14ac:dyDescent="0.3">
      <c r="A415">
        <v>413</v>
      </c>
      <c r="B415">
        <v>6763</v>
      </c>
      <c r="C415" t="b">
        <v>1</v>
      </c>
      <c r="D415">
        <v>8072</v>
      </c>
      <c r="E415">
        <v>8080</v>
      </c>
      <c r="F415">
        <v>206.4</v>
      </c>
      <c r="G415">
        <v>176.2</v>
      </c>
      <c r="H415">
        <v>1.1713960999999999</v>
      </c>
      <c r="I415">
        <v>-0.17139612000000001</v>
      </c>
      <c r="J415">
        <v>0.46053319999999998</v>
      </c>
    </row>
    <row r="416" spans="1:10" x14ac:dyDescent="0.3">
      <c r="A416">
        <v>414</v>
      </c>
      <c r="B416">
        <v>6779</v>
      </c>
      <c r="C416" t="b">
        <v>1</v>
      </c>
      <c r="D416">
        <v>8016</v>
      </c>
      <c r="E416">
        <v>8096</v>
      </c>
      <c r="F416">
        <v>206.4</v>
      </c>
      <c r="G416">
        <v>177.26666</v>
      </c>
      <c r="H416">
        <v>1.1643475000000001</v>
      </c>
      <c r="I416">
        <v>-0.16434747999999999</v>
      </c>
      <c r="J416">
        <v>0.46203300000000003</v>
      </c>
    </row>
    <row r="417" spans="1:10" x14ac:dyDescent="0.3">
      <c r="A417">
        <v>415</v>
      </c>
      <c r="B417">
        <v>6794</v>
      </c>
      <c r="C417" t="b">
        <v>1</v>
      </c>
      <c r="D417">
        <v>8056</v>
      </c>
      <c r="E417">
        <v>8080</v>
      </c>
      <c r="F417">
        <v>206.4</v>
      </c>
      <c r="G417">
        <v>176.73334</v>
      </c>
      <c r="H417">
        <v>1.1678611000000001</v>
      </c>
      <c r="I417">
        <v>-0.16786112</v>
      </c>
      <c r="J417">
        <v>0.46128416</v>
      </c>
    </row>
    <row r="418" spans="1:10" x14ac:dyDescent="0.3">
      <c r="A418">
        <v>416</v>
      </c>
      <c r="B418">
        <v>6810</v>
      </c>
      <c r="C418" t="b">
        <v>1</v>
      </c>
      <c r="D418">
        <v>8016</v>
      </c>
      <c r="E418">
        <v>8080</v>
      </c>
      <c r="F418">
        <v>206.4</v>
      </c>
      <c r="G418">
        <v>176.2</v>
      </c>
      <c r="H418">
        <v>1.1713960999999999</v>
      </c>
      <c r="I418">
        <v>-0.17139612000000001</v>
      </c>
      <c r="J418">
        <v>0.46053319999999998</v>
      </c>
    </row>
    <row r="419" spans="1:10" x14ac:dyDescent="0.3">
      <c r="A419">
        <v>417</v>
      </c>
      <c r="B419">
        <v>6826</v>
      </c>
      <c r="C419" t="b">
        <v>1</v>
      </c>
      <c r="D419">
        <v>8016</v>
      </c>
      <c r="E419">
        <v>8048</v>
      </c>
      <c r="F419">
        <v>204.26666</v>
      </c>
      <c r="G419">
        <v>175.66667000000001</v>
      </c>
      <c r="H419">
        <v>1.1628083</v>
      </c>
      <c r="I419">
        <v>-0.16280829999999999</v>
      </c>
      <c r="J419">
        <v>0.46236179999999999</v>
      </c>
    </row>
    <row r="420" spans="1:10" x14ac:dyDescent="0.3">
      <c r="A420">
        <v>418</v>
      </c>
      <c r="B420">
        <v>6842</v>
      </c>
      <c r="C420" t="b">
        <v>1</v>
      </c>
      <c r="D420">
        <v>8016</v>
      </c>
      <c r="E420">
        <v>8056</v>
      </c>
      <c r="F420">
        <v>202.13333</v>
      </c>
      <c r="G420">
        <v>175.13333</v>
      </c>
      <c r="H420">
        <v>1.1541682</v>
      </c>
      <c r="I420">
        <v>-0.15416825000000001</v>
      </c>
      <c r="J420">
        <v>0.46421630000000003</v>
      </c>
    </row>
    <row r="421" spans="1:10" x14ac:dyDescent="0.3">
      <c r="A421">
        <v>419</v>
      </c>
      <c r="B421">
        <v>6857</v>
      </c>
      <c r="C421" t="b">
        <v>1</v>
      </c>
      <c r="D421">
        <v>7984</v>
      </c>
      <c r="E421">
        <v>8080</v>
      </c>
      <c r="F421">
        <v>199.46665999999999</v>
      </c>
      <c r="G421">
        <v>174.6</v>
      </c>
      <c r="H421">
        <v>1.1424205999999999</v>
      </c>
      <c r="I421">
        <v>-0.14242070000000001</v>
      </c>
      <c r="J421">
        <v>0.46676177000000002</v>
      </c>
    </row>
    <row r="422" spans="1:10" x14ac:dyDescent="0.3">
      <c r="A422">
        <v>420</v>
      </c>
      <c r="B422">
        <v>6873</v>
      </c>
      <c r="C422" t="b">
        <v>1</v>
      </c>
      <c r="D422">
        <v>8104</v>
      </c>
      <c r="E422">
        <v>8104</v>
      </c>
      <c r="F422">
        <v>197.33332999999999</v>
      </c>
      <c r="G422">
        <v>174.06666999999999</v>
      </c>
      <c r="H422">
        <v>1.1336652</v>
      </c>
      <c r="I422">
        <v>-0.13366523</v>
      </c>
      <c r="J422">
        <v>0.46867706999999997</v>
      </c>
    </row>
    <row r="423" spans="1:10" x14ac:dyDescent="0.3">
      <c r="A423">
        <v>421</v>
      </c>
      <c r="B423">
        <v>6889</v>
      </c>
      <c r="C423" t="b">
        <v>1</v>
      </c>
      <c r="D423">
        <v>8064</v>
      </c>
      <c r="E423">
        <v>8064</v>
      </c>
      <c r="F423">
        <v>195.2</v>
      </c>
      <c r="G423">
        <v>172.46665999999999</v>
      </c>
      <c r="H423">
        <v>1.1318128999999999</v>
      </c>
      <c r="I423">
        <v>-0.13181295000000001</v>
      </c>
      <c r="J423">
        <v>0.46908432</v>
      </c>
    </row>
    <row r="424" spans="1:10" x14ac:dyDescent="0.3">
      <c r="A424">
        <v>422</v>
      </c>
      <c r="B424">
        <v>6905</v>
      </c>
      <c r="C424" t="b">
        <v>1</v>
      </c>
      <c r="D424">
        <v>8048</v>
      </c>
      <c r="E424">
        <v>8080</v>
      </c>
      <c r="F424">
        <v>195.2</v>
      </c>
      <c r="G424">
        <v>172.46665999999999</v>
      </c>
      <c r="H424">
        <v>1.1318128999999999</v>
      </c>
      <c r="I424">
        <v>-0.13181295000000001</v>
      </c>
      <c r="J424">
        <v>0.46908432</v>
      </c>
    </row>
    <row r="425" spans="1:10" x14ac:dyDescent="0.3">
      <c r="A425">
        <v>423</v>
      </c>
      <c r="B425">
        <v>6921</v>
      </c>
      <c r="C425" t="b">
        <v>1</v>
      </c>
      <c r="D425">
        <v>8088</v>
      </c>
      <c r="E425">
        <v>8080</v>
      </c>
      <c r="F425">
        <v>196.26666</v>
      </c>
      <c r="G425">
        <v>171.4</v>
      </c>
      <c r="H425">
        <v>1.1450796999999999</v>
      </c>
      <c r="I425">
        <v>-0.14507975000000001</v>
      </c>
      <c r="J425">
        <v>0.46618313</v>
      </c>
    </row>
    <row r="426" spans="1:10" x14ac:dyDescent="0.3">
      <c r="A426">
        <v>424</v>
      </c>
      <c r="B426">
        <v>6937</v>
      </c>
      <c r="C426" t="b">
        <v>1</v>
      </c>
      <c r="D426">
        <v>8000</v>
      </c>
      <c r="E426">
        <v>8080</v>
      </c>
      <c r="F426">
        <v>197.86667</v>
      </c>
      <c r="G426">
        <v>170.33332999999999</v>
      </c>
      <c r="H426">
        <v>1.1616439000000001</v>
      </c>
      <c r="I426">
        <v>-0.16164387999999999</v>
      </c>
      <c r="J426">
        <v>0.46261087000000001</v>
      </c>
    </row>
    <row r="427" spans="1:10" x14ac:dyDescent="0.3">
      <c r="A427">
        <v>425</v>
      </c>
      <c r="B427">
        <v>6953</v>
      </c>
      <c r="C427" t="b">
        <v>1</v>
      </c>
      <c r="D427">
        <v>8096</v>
      </c>
      <c r="E427">
        <v>8088</v>
      </c>
      <c r="F427">
        <v>199.46665999999999</v>
      </c>
      <c r="G427">
        <v>169.26666</v>
      </c>
      <c r="H427">
        <v>1.1784167000000001</v>
      </c>
      <c r="I427">
        <v>-0.17841667999999999</v>
      </c>
      <c r="J427">
        <v>0.45904899999999998</v>
      </c>
    </row>
    <row r="428" spans="1:10" x14ac:dyDescent="0.3">
      <c r="A428">
        <v>426</v>
      </c>
      <c r="B428">
        <v>6969</v>
      </c>
      <c r="C428" t="b">
        <v>1</v>
      </c>
      <c r="D428">
        <v>8088</v>
      </c>
      <c r="E428">
        <v>8072</v>
      </c>
      <c r="F428">
        <v>202.13333</v>
      </c>
      <c r="G428">
        <v>167.66667000000001</v>
      </c>
      <c r="H428">
        <v>1.2055665</v>
      </c>
      <c r="I428">
        <v>-0.20556656000000001</v>
      </c>
      <c r="J428">
        <v>0.45339826</v>
      </c>
    </row>
    <row r="429" spans="1:10" x14ac:dyDescent="0.3">
      <c r="A429">
        <v>427</v>
      </c>
      <c r="B429">
        <v>6985</v>
      </c>
      <c r="C429" t="b">
        <v>1</v>
      </c>
      <c r="D429">
        <v>8064</v>
      </c>
      <c r="E429">
        <v>8104</v>
      </c>
      <c r="F429">
        <v>204.8</v>
      </c>
      <c r="G429">
        <v>166.06666999999999</v>
      </c>
      <c r="H429">
        <v>1.2332396999999999</v>
      </c>
      <c r="I429">
        <v>-0.23323969999999999</v>
      </c>
      <c r="J429">
        <v>0.44777998000000002</v>
      </c>
    </row>
    <row r="430" spans="1:10" x14ac:dyDescent="0.3">
      <c r="A430">
        <v>428</v>
      </c>
      <c r="B430">
        <v>7001</v>
      </c>
      <c r="C430" t="b">
        <v>1</v>
      </c>
      <c r="D430">
        <v>8080</v>
      </c>
      <c r="E430">
        <v>8104</v>
      </c>
      <c r="F430">
        <v>206.93333000000001</v>
      </c>
      <c r="G430">
        <v>165.53334000000001</v>
      </c>
      <c r="H430">
        <v>1.2501005999999999</v>
      </c>
      <c r="I430">
        <v>-0.25010063999999999</v>
      </c>
      <c r="J430">
        <v>0.44442457000000002</v>
      </c>
    </row>
    <row r="431" spans="1:10" x14ac:dyDescent="0.3">
      <c r="A431">
        <v>429</v>
      </c>
      <c r="B431">
        <v>7017</v>
      </c>
      <c r="C431" t="b">
        <v>1</v>
      </c>
      <c r="D431">
        <v>8072</v>
      </c>
      <c r="E431">
        <v>8080</v>
      </c>
      <c r="F431">
        <v>209.06666999999999</v>
      </c>
      <c r="G431">
        <v>165</v>
      </c>
      <c r="H431">
        <v>1.2670707000000001</v>
      </c>
      <c r="I431">
        <v>-0.26707069999999999</v>
      </c>
      <c r="J431">
        <v>0.44109786000000001</v>
      </c>
    </row>
    <row r="432" spans="1:10" x14ac:dyDescent="0.3">
      <c r="A432">
        <v>430</v>
      </c>
      <c r="B432">
        <v>7032</v>
      </c>
      <c r="C432" t="b">
        <v>1</v>
      </c>
      <c r="D432">
        <v>8096</v>
      </c>
      <c r="E432">
        <v>8088</v>
      </c>
      <c r="F432">
        <v>211.2</v>
      </c>
      <c r="G432">
        <v>165.53334000000001</v>
      </c>
      <c r="H432">
        <v>1.2758759</v>
      </c>
      <c r="I432">
        <v>-0.27587590000000001</v>
      </c>
      <c r="J432">
        <v>0.43939129999999998</v>
      </c>
    </row>
    <row r="433" spans="1:10" x14ac:dyDescent="0.3">
      <c r="A433">
        <v>431</v>
      </c>
      <c r="B433">
        <v>7048</v>
      </c>
      <c r="C433" t="b">
        <v>1</v>
      </c>
      <c r="D433">
        <v>8072</v>
      </c>
      <c r="E433">
        <v>8120</v>
      </c>
      <c r="F433">
        <v>213.86667</v>
      </c>
      <c r="G433">
        <v>167.13333</v>
      </c>
      <c r="H433">
        <v>1.2796171000000001</v>
      </c>
      <c r="I433">
        <v>-0.27961710000000001</v>
      </c>
      <c r="J433">
        <v>0.43867015999999998</v>
      </c>
    </row>
    <row r="434" spans="1:10" x14ac:dyDescent="0.3">
      <c r="A434">
        <v>432</v>
      </c>
      <c r="B434">
        <v>7064</v>
      </c>
      <c r="C434" t="b">
        <v>1</v>
      </c>
      <c r="D434">
        <v>8104</v>
      </c>
      <c r="E434">
        <v>8032</v>
      </c>
      <c r="F434">
        <v>218.13333</v>
      </c>
      <c r="G434">
        <v>167.66667000000001</v>
      </c>
      <c r="H434">
        <v>1.300994</v>
      </c>
      <c r="I434">
        <v>-0.30099397999999999</v>
      </c>
      <c r="J434">
        <v>0.4345948</v>
      </c>
    </row>
    <row r="435" spans="1:10" x14ac:dyDescent="0.3">
      <c r="A435">
        <v>433</v>
      </c>
      <c r="B435">
        <v>7080</v>
      </c>
      <c r="C435" t="b">
        <v>1</v>
      </c>
      <c r="D435">
        <v>8048</v>
      </c>
      <c r="E435">
        <v>8104</v>
      </c>
      <c r="F435">
        <v>221.86667</v>
      </c>
      <c r="G435">
        <v>168.2</v>
      </c>
      <c r="H435">
        <v>1.3190645999999999</v>
      </c>
      <c r="I435">
        <v>-0.31906465000000001</v>
      </c>
      <c r="J435">
        <v>0.43120834000000002</v>
      </c>
    </row>
    <row r="436" spans="1:10" x14ac:dyDescent="0.3">
      <c r="A436">
        <v>434</v>
      </c>
      <c r="B436">
        <v>7096</v>
      </c>
      <c r="C436" t="b">
        <v>1</v>
      </c>
      <c r="D436">
        <v>8000</v>
      </c>
      <c r="E436">
        <v>8120</v>
      </c>
      <c r="F436">
        <v>225.6</v>
      </c>
      <c r="G436">
        <v>169.8</v>
      </c>
      <c r="H436">
        <v>1.3286218999999999</v>
      </c>
      <c r="I436">
        <v>-0.32862192000000001</v>
      </c>
      <c r="J436">
        <v>0.42943852999999998</v>
      </c>
    </row>
    <row r="437" spans="1:10" x14ac:dyDescent="0.3">
      <c r="A437">
        <v>435</v>
      </c>
      <c r="B437">
        <v>7112</v>
      </c>
      <c r="C437" t="b">
        <v>1</v>
      </c>
      <c r="D437">
        <v>8032</v>
      </c>
      <c r="E437">
        <v>8064</v>
      </c>
      <c r="F437">
        <v>227.73334</v>
      </c>
      <c r="G437">
        <v>171.4</v>
      </c>
      <c r="H437">
        <v>1.3286659999999999</v>
      </c>
      <c r="I437">
        <v>-0.32866596999999997</v>
      </c>
      <c r="J437">
        <v>0.42943042999999997</v>
      </c>
    </row>
    <row r="438" spans="1:10" x14ac:dyDescent="0.3">
      <c r="A438">
        <v>436</v>
      </c>
      <c r="B438">
        <v>7128</v>
      </c>
      <c r="C438" t="b">
        <v>1</v>
      </c>
      <c r="D438">
        <v>8040</v>
      </c>
      <c r="E438">
        <v>8080</v>
      </c>
      <c r="F438">
        <v>229.33332999999999</v>
      </c>
      <c r="G438">
        <v>172.46665999999999</v>
      </c>
      <c r="H438">
        <v>1.3297256</v>
      </c>
      <c r="I438">
        <v>-0.32972555999999997</v>
      </c>
      <c r="J438">
        <v>0.42923509999999998</v>
      </c>
    </row>
    <row r="439" spans="1:10" x14ac:dyDescent="0.3">
      <c r="A439">
        <v>437</v>
      </c>
      <c r="B439">
        <v>7144</v>
      </c>
      <c r="C439" t="b">
        <v>1</v>
      </c>
      <c r="D439">
        <v>8072</v>
      </c>
      <c r="E439">
        <v>8080</v>
      </c>
      <c r="F439">
        <v>228.8</v>
      </c>
      <c r="G439">
        <v>172.46665999999999</v>
      </c>
      <c r="H439">
        <v>1.3266332000000001</v>
      </c>
      <c r="I439">
        <v>-0.32663323999999999</v>
      </c>
      <c r="J439">
        <v>0.42980560000000001</v>
      </c>
    </row>
    <row r="440" spans="1:10" x14ac:dyDescent="0.3">
      <c r="A440">
        <v>438</v>
      </c>
      <c r="B440">
        <v>7160</v>
      </c>
      <c r="C440" t="b">
        <v>1</v>
      </c>
      <c r="D440">
        <v>8064</v>
      </c>
      <c r="E440">
        <v>8056</v>
      </c>
      <c r="F440">
        <v>227.2</v>
      </c>
      <c r="G440">
        <v>172.46665999999999</v>
      </c>
      <c r="H440">
        <v>1.317356</v>
      </c>
      <c r="I440">
        <v>-0.31735605</v>
      </c>
      <c r="J440">
        <v>0.43152626999999999</v>
      </c>
    </row>
    <row r="441" spans="1:10" x14ac:dyDescent="0.3">
      <c r="A441">
        <v>439</v>
      </c>
      <c r="B441">
        <v>7176</v>
      </c>
      <c r="C441" t="b">
        <v>1</v>
      </c>
      <c r="D441">
        <v>8024</v>
      </c>
      <c r="E441">
        <v>8080</v>
      </c>
      <c r="F441">
        <v>225.6</v>
      </c>
      <c r="G441">
        <v>172.46665999999999</v>
      </c>
      <c r="H441">
        <v>1.308079</v>
      </c>
      <c r="I441">
        <v>-0.30807894000000002</v>
      </c>
      <c r="J441">
        <v>0.43326077000000002</v>
      </c>
    </row>
    <row r="442" spans="1:10" x14ac:dyDescent="0.3">
      <c r="A442">
        <v>440</v>
      </c>
      <c r="B442">
        <v>7192</v>
      </c>
      <c r="C442" t="b">
        <v>1</v>
      </c>
      <c r="D442">
        <v>8016</v>
      </c>
      <c r="E442">
        <v>8064</v>
      </c>
      <c r="F442">
        <v>224</v>
      </c>
      <c r="G442">
        <v>172.46665999999999</v>
      </c>
      <c r="H442">
        <v>1.2988017999999999</v>
      </c>
      <c r="I442">
        <v>-0.29880174999999998</v>
      </c>
      <c r="J442">
        <v>0.43500919999999998</v>
      </c>
    </row>
    <row r="443" spans="1:10" x14ac:dyDescent="0.3">
      <c r="A443">
        <v>441</v>
      </c>
      <c r="B443">
        <v>7207</v>
      </c>
      <c r="C443" t="b">
        <v>1</v>
      </c>
      <c r="D443">
        <v>8064</v>
      </c>
      <c r="E443">
        <v>8104</v>
      </c>
      <c r="F443">
        <v>222.4</v>
      </c>
      <c r="G443">
        <v>172.46665999999999</v>
      </c>
      <c r="H443">
        <v>1.2895246</v>
      </c>
      <c r="I443">
        <v>-0.28952455999999999</v>
      </c>
      <c r="J443">
        <v>0.43677192999999997</v>
      </c>
    </row>
    <row r="444" spans="1:10" x14ac:dyDescent="0.3">
      <c r="A444">
        <v>442</v>
      </c>
      <c r="B444">
        <v>7224</v>
      </c>
      <c r="C444" t="b">
        <v>1</v>
      </c>
      <c r="D444">
        <v>8056</v>
      </c>
      <c r="E444">
        <v>8080</v>
      </c>
      <c r="F444">
        <v>220.26666</v>
      </c>
      <c r="G444">
        <v>172.46665999999999</v>
      </c>
      <c r="H444">
        <v>1.277155</v>
      </c>
      <c r="I444">
        <v>-0.27715504000000002</v>
      </c>
      <c r="J444">
        <v>0.43914442999999997</v>
      </c>
    </row>
    <row r="445" spans="1:10" x14ac:dyDescent="0.3">
      <c r="A445">
        <v>443</v>
      </c>
      <c r="B445">
        <v>7255</v>
      </c>
      <c r="C445" t="b">
        <v>1</v>
      </c>
      <c r="D445">
        <v>8056</v>
      </c>
      <c r="E445">
        <v>8096</v>
      </c>
      <c r="F445">
        <v>218.66667000000001</v>
      </c>
      <c r="G445">
        <v>171.93333000000001</v>
      </c>
      <c r="H445">
        <v>1.2718107999999999</v>
      </c>
      <c r="I445">
        <v>-0.27181080000000002</v>
      </c>
      <c r="J445">
        <v>0.4401775</v>
      </c>
    </row>
    <row r="446" spans="1:10" x14ac:dyDescent="0.3">
      <c r="A446">
        <v>444</v>
      </c>
      <c r="B446">
        <v>7271</v>
      </c>
      <c r="C446" t="b">
        <v>1</v>
      </c>
      <c r="D446">
        <v>8096</v>
      </c>
      <c r="E446">
        <v>8096</v>
      </c>
      <c r="F446">
        <v>217.06666999999999</v>
      </c>
      <c r="G446">
        <v>172.46665999999999</v>
      </c>
      <c r="H446">
        <v>1.2586006999999999</v>
      </c>
      <c r="I446">
        <v>-0.25860074</v>
      </c>
      <c r="J446">
        <v>0.44275199999999998</v>
      </c>
    </row>
    <row r="447" spans="1:10" x14ac:dyDescent="0.3">
      <c r="A447">
        <v>445</v>
      </c>
      <c r="B447">
        <v>7287</v>
      </c>
      <c r="C447" t="b">
        <v>1</v>
      </c>
      <c r="D447">
        <v>8080</v>
      </c>
      <c r="E447">
        <v>8096</v>
      </c>
      <c r="F447">
        <v>216</v>
      </c>
      <c r="G447">
        <v>173</v>
      </c>
      <c r="H447">
        <v>1.2485550000000001</v>
      </c>
      <c r="I447">
        <v>-0.24855492000000001</v>
      </c>
      <c r="J447">
        <v>0.44473006999999998</v>
      </c>
    </row>
    <row r="448" spans="1:10" x14ac:dyDescent="0.3">
      <c r="A448">
        <v>446</v>
      </c>
      <c r="B448">
        <v>7303</v>
      </c>
      <c r="C448" t="b">
        <v>1</v>
      </c>
      <c r="D448">
        <v>8096</v>
      </c>
      <c r="E448">
        <v>8072</v>
      </c>
      <c r="F448">
        <v>216.53334000000001</v>
      </c>
      <c r="G448">
        <v>172.46665999999999</v>
      </c>
      <c r="H448">
        <v>1.2555084000000001</v>
      </c>
      <c r="I448">
        <v>-0.25550840000000002</v>
      </c>
      <c r="J448">
        <v>0.44335901999999999</v>
      </c>
    </row>
    <row r="449" spans="1:10" x14ac:dyDescent="0.3">
      <c r="A449">
        <v>447</v>
      </c>
      <c r="B449">
        <v>7319</v>
      </c>
      <c r="C449" t="b">
        <v>1</v>
      </c>
      <c r="D449">
        <v>8016</v>
      </c>
      <c r="E449">
        <v>8104</v>
      </c>
      <c r="F449">
        <v>216.53334000000001</v>
      </c>
      <c r="G449">
        <v>173</v>
      </c>
      <c r="H449">
        <v>1.2516377999999999</v>
      </c>
      <c r="I449">
        <v>-0.25163782000000001</v>
      </c>
      <c r="J449">
        <v>0.44412118</v>
      </c>
    </row>
    <row r="450" spans="1:10" x14ac:dyDescent="0.3">
      <c r="A450">
        <v>448</v>
      </c>
      <c r="B450">
        <v>7335</v>
      </c>
      <c r="C450" t="b">
        <v>1</v>
      </c>
      <c r="D450">
        <v>8048</v>
      </c>
      <c r="E450">
        <v>8104</v>
      </c>
      <c r="F450">
        <v>217.06666999999999</v>
      </c>
      <c r="G450">
        <v>173.53334000000001</v>
      </c>
      <c r="H450">
        <v>1.2508644</v>
      </c>
      <c r="I450">
        <v>-0.25086433000000002</v>
      </c>
      <c r="J450">
        <v>0.44427377000000001</v>
      </c>
    </row>
    <row r="451" spans="1:10" x14ac:dyDescent="0.3">
      <c r="A451">
        <v>449</v>
      </c>
      <c r="B451">
        <v>7351</v>
      </c>
      <c r="C451" t="b">
        <v>1</v>
      </c>
      <c r="D451">
        <v>7984</v>
      </c>
      <c r="E451">
        <v>8064</v>
      </c>
      <c r="F451">
        <v>215.46665999999999</v>
      </c>
      <c r="G451">
        <v>173</v>
      </c>
      <c r="H451">
        <v>1.2454721</v>
      </c>
      <c r="I451">
        <v>-0.24547200999999999</v>
      </c>
      <c r="J451">
        <v>0.44534063000000002</v>
      </c>
    </row>
    <row r="452" spans="1:10" x14ac:dyDescent="0.3">
      <c r="A452">
        <v>450</v>
      </c>
      <c r="B452">
        <v>7366</v>
      </c>
      <c r="C452" t="b">
        <v>1</v>
      </c>
      <c r="D452">
        <v>8016</v>
      </c>
      <c r="E452">
        <v>8104</v>
      </c>
      <c r="F452">
        <v>213.33332999999999</v>
      </c>
      <c r="G452">
        <v>173</v>
      </c>
      <c r="H452">
        <v>1.2331406</v>
      </c>
      <c r="I452">
        <v>-0.23314062999999999</v>
      </c>
      <c r="J452">
        <v>0.44779985999999999</v>
      </c>
    </row>
    <row r="453" spans="1:10" x14ac:dyDescent="0.3">
      <c r="A453">
        <v>451</v>
      </c>
      <c r="B453">
        <v>7382</v>
      </c>
      <c r="C453" t="b">
        <v>1</v>
      </c>
      <c r="D453">
        <v>8064</v>
      </c>
      <c r="E453">
        <v>8096</v>
      </c>
      <c r="F453">
        <v>211.73334</v>
      </c>
      <c r="G453">
        <v>174.6</v>
      </c>
      <c r="H453">
        <v>1.2126764999999999</v>
      </c>
      <c r="I453">
        <v>-0.21267657000000001</v>
      </c>
      <c r="J453">
        <v>0.45194134000000002</v>
      </c>
    </row>
    <row r="454" spans="1:10" x14ac:dyDescent="0.3">
      <c r="A454">
        <v>452</v>
      </c>
      <c r="B454">
        <v>7398</v>
      </c>
      <c r="C454" t="b">
        <v>1</v>
      </c>
      <c r="D454">
        <v>8088</v>
      </c>
      <c r="E454">
        <v>8080</v>
      </c>
      <c r="F454">
        <v>212.26666</v>
      </c>
      <c r="G454">
        <v>175.66667000000001</v>
      </c>
      <c r="H454">
        <v>1.2083491</v>
      </c>
      <c r="I454">
        <v>-0.20834910000000001</v>
      </c>
      <c r="J454">
        <v>0.45282695000000001</v>
      </c>
    </row>
    <row r="455" spans="1:10" x14ac:dyDescent="0.3">
      <c r="A455">
        <v>453</v>
      </c>
      <c r="B455">
        <v>7414</v>
      </c>
      <c r="C455" t="b">
        <v>1</v>
      </c>
      <c r="D455">
        <v>8016</v>
      </c>
      <c r="E455">
        <v>8080</v>
      </c>
      <c r="F455">
        <v>210.66667000000001</v>
      </c>
      <c r="G455">
        <v>175.66667000000001</v>
      </c>
      <c r="H455">
        <v>1.1992408999999999</v>
      </c>
      <c r="I455">
        <v>-0.19924098000000001</v>
      </c>
      <c r="J455">
        <v>0.45470231999999999</v>
      </c>
    </row>
    <row r="456" spans="1:10" x14ac:dyDescent="0.3">
      <c r="A456">
        <v>454</v>
      </c>
      <c r="B456">
        <v>7430</v>
      </c>
      <c r="C456" t="b">
        <v>1</v>
      </c>
      <c r="D456">
        <v>8088</v>
      </c>
      <c r="E456">
        <v>8128</v>
      </c>
      <c r="F456">
        <v>212.26666</v>
      </c>
      <c r="G456">
        <v>176.73334</v>
      </c>
      <c r="H456">
        <v>1.2010561</v>
      </c>
      <c r="I456">
        <v>-0.20105614999999999</v>
      </c>
      <c r="J456">
        <v>0.45432734000000002</v>
      </c>
    </row>
    <row r="457" spans="1:10" x14ac:dyDescent="0.3">
      <c r="A457">
        <v>455</v>
      </c>
      <c r="B457">
        <v>7446</v>
      </c>
      <c r="C457" t="b">
        <v>1</v>
      </c>
      <c r="D457">
        <v>8096</v>
      </c>
      <c r="E457">
        <v>8096</v>
      </c>
      <c r="F457">
        <v>215.46665999999999</v>
      </c>
      <c r="G457">
        <v>177.8</v>
      </c>
      <c r="H457">
        <v>1.2118485000000001</v>
      </c>
      <c r="I457">
        <v>-0.21184844999999999</v>
      </c>
      <c r="J457">
        <v>0.45211053000000001</v>
      </c>
    </row>
    <row r="458" spans="1:10" x14ac:dyDescent="0.3">
      <c r="A458">
        <v>456</v>
      </c>
      <c r="B458">
        <v>7462</v>
      </c>
      <c r="C458" t="b">
        <v>1</v>
      </c>
      <c r="D458">
        <v>8048</v>
      </c>
      <c r="E458">
        <v>8056</v>
      </c>
      <c r="F458">
        <v>217.06666999999999</v>
      </c>
      <c r="G458">
        <v>177.8</v>
      </c>
      <c r="H458">
        <v>1.2208474</v>
      </c>
      <c r="I458">
        <v>-0.22084736999999999</v>
      </c>
      <c r="J458">
        <v>0.45027857999999998</v>
      </c>
    </row>
    <row r="459" spans="1:10" x14ac:dyDescent="0.3">
      <c r="A459">
        <v>457</v>
      </c>
      <c r="B459">
        <v>7478</v>
      </c>
      <c r="C459" t="b">
        <v>1</v>
      </c>
      <c r="D459">
        <v>8064</v>
      </c>
      <c r="E459">
        <v>8080</v>
      </c>
      <c r="F459">
        <v>217.6</v>
      </c>
      <c r="G459">
        <v>177.8</v>
      </c>
      <c r="H459">
        <v>1.2238469999999999</v>
      </c>
      <c r="I459">
        <v>-0.22384703</v>
      </c>
      <c r="J459">
        <v>0.44967119999999999</v>
      </c>
    </row>
    <row r="460" spans="1:10" x14ac:dyDescent="0.3">
      <c r="A460">
        <v>458</v>
      </c>
      <c r="B460">
        <v>7494</v>
      </c>
      <c r="C460" t="b">
        <v>1</v>
      </c>
      <c r="D460">
        <v>7984</v>
      </c>
      <c r="E460">
        <v>8088</v>
      </c>
      <c r="F460">
        <v>218.13333</v>
      </c>
      <c r="G460">
        <v>178.33332999999999</v>
      </c>
      <c r="H460">
        <v>1.2231776000000001</v>
      </c>
      <c r="I460">
        <v>-0.2231776</v>
      </c>
      <c r="J460">
        <v>0.4498066</v>
      </c>
    </row>
    <row r="461" spans="1:10" x14ac:dyDescent="0.3">
      <c r="A461">
        <v>459</v>
      </c>
      <c r="B461">
        <v>7510</v>
      </c>
      <c r="C461" t="b">
        <v>1</v>
      </c>
      <c r="D461">
        <v>8048</v>
      </c>
      <c r="E461">
        <v>8088</v>
      </c>
      <c r="F461">
        <v>217.6</v>
      </c>
      <c r="G461">
        <v>177.8</v>
      </c>
      <c r="H461">
        <v>1.2238469999999999</v>
      </c>
      <c r="I461">
        <v>-0.22384703</v>
      </c>
      <c r="J461">
        <v>0.44967119999999999</v>
      </c>
    </row>
    <row r="462" spans="1:10" x14ac:dyDescent="0.3">
      <c r="A462">
        <v>460</v>
      </c>
      <c r="B462">
        <v>7526</v>
      </c>
      <c r="C462" t="b">
        <v>1</v>
      </c>
      <c r="D462">
        <v>8040</v>
      </c>
      <c r="E462">
        <v>8088</v>
      </c>
      <c r="F462">
        <v>216.53334000000001</v>
      </c>
      <c r="G462">
        <v>177.26666</v>
      </c>
      <c r="H462">
        <v>1.2215119999999999</v>
      </c>
      <c r="I462">
        <v>-0.22151192</v>
      </c>
      <c r="J462">
        <v>0.45014389999999999</v>
      </c>
    </row>
    <row r="463" spans="1:10" x14ac:dyDescent="0.3">
      <c r="A463">
        <v>461</v>
      </c>
      <c r="B463">
        <v>7542</v>
      </c>
      <c r="C463" t="b">
        <v>1</v>
      </c>
      <c r="D463">
        <v>8080</v>
      </c>
      <c r="E463">
        <v>8120</v>
      </c>
      <c r="F463">
        <v>214.4</v>
      </c>
      <c r="G463">
        <v>176.73334</v>
      </c>
      <c r="H463">
        <v>1.2131270000000001</v>
      </c>
      <c r="I463">
        <v>-0.21312706000000001</v>
      </c>
      <c r="J463">
        <v>0.45184933999999999</v>
      </c>
    </row>
    <row r="464" spans="1:10" x14ac:dyDescent="0.3">
      <c r="A464">
        <v>462</v>
      </c>
      <c r="B464">
        <v>7557</v>
      </c>
      <c r="C464" t="b">
        <v>1</v>
      </c>
      <c r="D464">
        <v>8072</v>
      </c>
      <c r="E464">
        <v>8104</v>
      </c>
      <c r="F464">
        <v>212.26666</v>
      </c>
      <c r="G464">
        <v>176.2</v>
      </c>
      <c r="H464">
        <v>1.2046916000000001</v>
      </c>
      <c r="I464">
        <v>-0.20469163000000001</v>
      </c>
      <c r="J464">
        <v>0.45357814000000002</v>
      </c>
    </row>
    <row r="465" spans="1:10" x14ac:dyDescent="0.3">
      <c r="A465">
        <v>463</v>
      </c>
      <c r="B465">
        <v>7573</v>
      </c>
      <c r="C465" t="b">
        <v>1</v>
      </c>
      <c r="D465">
        <v>8080</v>
      </c>
      <c r="E465">
        <v>8104</v>
      </c>
      <c r="F465">
        <v>211.73334</v>
      </c>
      <c r="G465">
        <v>176.73334</v>
      </c>
      <c r="H465">
        <v>1.1980385</v>
      </c>
      <c r="I465">
        <v>-0.19803846999999999</v>
      </c>
      <c r="J465">
        <v>0.45495108000000001</v>
      </c>
    </row>
    <row r="466" spans="1:10" x14ac:dyDescent="0.3">
      <c r="A466">
        <v>464</v>
      </c>
      <c r="B466">
        <v>7589</v>
      </c>
      <c r="C466" t="b">
        <v>1</v>
      </c>
      <c r="D466">
        <v>8024</v>
      </c>
      <c r="E466">
        <v>8104</v>
      </c>
      <c r="F466">
        <v>213.33332999999999</v>
      </c>
      <c r="G466">
        <v>177.26666</v>
      </c>
      <c r="H466">
        <v>1.20346</v>
      </c>
      <c r="I466">
        <v>-0.20345995</v>
      </c>
      <c r="J466">
        <v>0.45383172999999999</v>
      </c>
    </row>
    <row r="467" spans="1:10" x14ac:dyDescent="0.3">
      <c r="A467">
        <v>465</v>
      </c>
      <c r="B467">
        <v>7605</v>
      </c>
      <c r="C467" t="b">
        <v>1</v>
      </c>
      <c r="D467">
        <v>8056</v>
      </c>
      <c r="E467">
        <v>8088</v>
      </c>
      <c r="F467">
        <v>217.06666999999999</v>
      </c>
      <c r="G467">
        <v>177.26666</v>
      </c>
      <c r="H467">
        <v>1.2245206</v>
      </c>
      <c r="I467">
        <v>-0.22452052</v>
      </c>
      <c r="J467">
        <v>0.44953510000000002</v>
      </c>
    </row>
    <row r="468" spans="1:10" x14ac:dyDescent="0.3">
      <c r="A468">
        <v>466</v>
      </c>
      <c r="B468">
        <v>7621</v>
      </c>
      <c r="C468" t="b">
        <v>1</v>
      </c>
      <c r="D468">
        <v>8016</v>
      </c>
      <c r="E468">
        <v>8064</v>
      </c>
      <c r="F468">
        <v>219.73334</v>
      </c>
      <c r="G468">
        <v>177.26666</v>
      </c>
      <c r="H468">
        <v>1.2395638</v>
      </c>
      <c r="I468">
        <v>-0.23956379999999999</v>
      </c>
      <c r="J468">
        <v>0.44651552999999999</v>
      </c>
    </row>
    <row r="469" spans="1:10" x14ac:dyDescent="0.3">
      <c r="A469">
        <v>467</v>
      </c>
      <c r="B469">
        <v>7637</v>
      </c>
      <c r="C469" t="b">
        <v>1</v>
      </c>
      <c r="D469">
        <v>8032</v>
      </c>
      <c r="E469">
        <v>8064</v>
      </c>
      <c r="F469">
        <v>218.66667000000001</v>
      </c>
      <c r="G469">
        <v>176.73334</v>
      </c>
      <c r="H469">
        <v>1.2372688999999999</v>
      </c>
      <c r="I469">
        <v>-0.23726895000000001</v>
      </c>
      <c r="J469">
        <v>0.44697350000000002</v>
      </c>
    </row>
    <row r="470" spans="1:10" x14ac:dyDescent="0.3">
      <c r="A470">
        <v>468</v>
      </c>
      <c r="B470">
        <v>7653</v>
      </c>
      <c r="C470" t="b">
        <v>1</v>
      </c>
      <c r="D470">
        <v>8064</v>
      </c>
      <c r="E470">
        <v>8080</v>
      </c>
      <c r="F470">
        <v>219.73334</v>
      </c>
      <c r="G470">
        <v>176.73334</v>
      </c>
      <c r="H470">
        <v>1.2433044</v>
      </c>
      <c r="I470">
        <v>-0.2433044</v>
      </c>
      <c r="J470">
        <v>0.44577097999999998</v>
      </c>
    </row>
    <row r="471" spans="1:10" x14ac:dyDescent="0.3">
      <c r="A471">
        <v>469</v>
      </c>
      <c r="B471">
        <v>7669</v>
      </c>
      <c r="C471" t="b">
        <v>1</v>
      </c>
      <c r="D471">
        <v>8016</v>
      </c>
      <c r="E471">
        <v>8080</v>
      </c>
      <c r="F471">
        <v>217.6</v>
      </c>
      <c r="G471">
        <v>175.66667000000001</v>
      </c>
      <c r="H471">
        <v>1.2387097</v>
      </c>
      <c r="I471">
        <v>-0.23870967000000001</v>
      </c>
      <c r="J471">
        <v>0.44668590000000002</v>
      </c>
    </row>
    <row r="472" spans="1:10" x14ac:dyDescent="0.3">
      <c r="A472">
        <v>470</v>
      </c>
      <c r="B472">
        <v>7685</v>
      </c>
      <c r="C472" t="b">
        <v>1</v>
      </c>
      <c r="D472">
        <v>8008</v>
      </c>
      <c r="E472">
        <v>8088</v>
      </c>
      <c r="F472">
        <v>212.8</v>
      </c>
      <c r="G472">
        <v>174.6</v>
      </c>
      <c r="H472">
        <v>1.2187858</v>
      </c>
      <c r="I472">
        <v>-0.21878578000000001</v>
      </c>
      <c r="J472">
        <v>0.45069694999999999</v>
      </c>
    </row>
    <row r="473" spans="1:10" x14ac:dyDescent="0.3">
      <c r="A473">
        <v>471</v>
      </c>
      <c r="B473">
        <v>7701</v>
      </c>
      <c r="C473" t="b">
        <v>1</v>
      </c>
      <c r="D473">
        <v>7968</v>
      </c>
      <c r="E473">
        <v>8104</v>
      </c>
      <c r="F473">
        <v>208</v>
      </c>
      <c r="G473">
        <v>174.6</v>
      </c>
      <c r="H473">
        <v>1.1912943</v>
      </c>
      <c r="I473">
        <v>-0.19129434000000001</v>
      </c>
      <c r="J473">
        <v>0.45635128000000003</v>
      </c>
    </row>
    <row r="474" spans="1:10" x14ac:dyDescent="0.3">
      <c r="A474">
        <v>472</v>
      </c>
      <c r="B474">
        <v>7716</v>
      </c>
      <c r="C474" t="b">
        <v>1</v>
      </c>
      <c r="D474">
        <v>8096</v>
      </c>
      <c r="E474">
        <v>8104</v>
      </c>
      <c r="F474">
        <v>204.8</v>
      </c>
      <c r="G474">
        <v>175.13333</v>
      </c>
      <c r="H474">
        <v>1.1693947</v>
      </c>
      <c r="I474">
        <v>-0.16939477999999999</v>
      </c>
      <c r="J474">
        <v>0.46095803000000002</v>
      </c>
    </row>
    <row r="475" spans="1:10" x14ac:dyDescent="0.3">
      <c r="A475">
        <v>473</v>
      </c>
      <c r="B475">
        <v>7732</v>
      </c>
      <c r="C475" t="b">
        <v>1</v>
      </c>
      <c r="D475">
        <v>8104</v>
      </c>
      <c r="E475">
        <v>8096</v>
      </c>
      <c r="F475">
        <v>201.6</v>
      </c>
      <c r="G475">
        <v>175.66667000000001</v>
      </c>
      <c r="H475">
        <v>1.1476280999999999</v>
      </c>
      <c r="I475">
        <v>-0.14762807999999999</v>
      </c>
      <c r="J475">
        <v>0.46562999999999999</v>
      </c>
    </row>
    <row r="476" spans="1:10" x14ac:dyDescent="0.3">
      <c r="A476">
        <v>474</v>
      </c>
      <c r="B476">
        <v>7748</v>
      </c>
      <c r="C476" t="b">
        <v>1</v>
      </c>
      <c r="D476">
        <v>8040</v>
      </c>
      <c r="E476">
        <v>8104</v>
      </c>
      <c r="F476">
        <v>201.06666999999999</v>
      </c>
      <c r="G476">
        <v>176.73334</v>
      </c>
      <c r="H476">
        <v>1.1376839000000001</v>
      </c>
      <c r="I476">
        <v>-0.13768385</v>
      </c>
      <c r="J476">
        <v>0.46779602999999997</v>
      </c>
    </row>
    <row r="477" spans="1:10" x14ac:dyDescent="0.3">
      <c r="A477">
        <v>475</v>
      </c>
      <c r="B477">
        <v>7764</v>
      </c>
      <c r="C477" t="b">
        <v>1</v>
      </c>
      <c r="D477">
        <v>8040</v>
      </c>
      <c r="E477">
        <v>8080</v>
      </c>
      <c r="F477">
        <v>200.53334000000001</v>
      </c>
      <c r="G477">
        <v>177.8</v>
      </c>
      <c r="H477">
        <v>1.1278589999999999</v>
      </c>
      <c r="I477">
        <v>-0.12785904000000001</v>
      </c>
      <c r="J477">
        <v>0.46995595000000001</v>
      </c>
    </row>
    <row r="478" spans="1:10" x14ac:dyDescent="0.3">
      <c r="A478">
        <v>476</v>
      </c>
      <c r="B478">
        <v>7780</v>
      </c>
      <c r="C478" t="b">
        <v>1</v>
      </c>
      <c r="D478">
        <v>8040</v>
      </c>
      <c r="E478">
        <v>8080</v>
      </c>
      <c r="F478">
        <v>200</v>
      </c>
      <c r="G478">
        <v>178.33332999999999</v>
      </c>
      <c r="H478">
        <v>1.1214953999999999</v>
      </c>
      <c r="I478">
        <v>-0.12149536</v>
      </c>
      <c r="J478">
        <v>0.47136566000000002</v>
      </c>
    </row>
    <row r="479" spans="1:10" x14ac:dyDescent="0.3">
      <c r="A479">
        <v>477</v>
      </c>
      <c r="B479">
        <v>7796</v>
      </c>
      <c r="C479" t="b">
        <v>1</v>
      </c>
      <c r="D479">
        <v>8056</v>
      </c>
      <c r="E479">
        <v>8064</v>
      </c>
      <c r="F479">
        <v>199.46665999999999</v>
      </c>
      <c r="G479">
        <v>177.8</v>
      </c>
      <c r="H479">
        <v>1.1218596999999999</v>
      </c>
      <c r="I479">
        <v>-0.12185971</v>
      </c>
      <c r="J479">
        <v>0.4712847</v>
      </c>
    </row>
    <row r="480" spans="1:10" x14ac:dyDescent="0.3">
      <c r="A480">
        <v>478</v>
      </c>
      <c r="B480">
        <v>7811</v>
      </c>
      <c r="C480" t="b">
        <v>1</v>
      </c>
      <c r="D480">
        <v>8088</v>
      </c>
      <c r="E480">
        <v>8104</v>
      </c>
      <c r="F480">
        <v>197.33332999999999</v>
      </c>
      <c r="G480">
        <v>176.2</v>
      </c>
      <c r="H480">
        <v>1.1199394</v>
      </c>
      <c r="I480">
        <v>-0.119939454</v>
      </c>
      <c r="J480">
        <v>0.47171158000000002</v>
      </c>
    </row>
    <row r="481" spans="1:10" x14ac:dyDescent="0.3">
      <c r="A481">
        <v>479</v>
      </c>
      <c r="B481">
        <v>7827</v>
      </c>
      <c r="C481" t="b">
        <v>1</v>
      </c>
      <c r="D481">
        <v>8040</v>
      </c>
      <c r="E481">
        <v>8080</v>
      </c>
      <c r="F481">
        <v>195.2</v>
      </c>
      <c r="G481">
        <v>174.6</v>
      </c>
      <c r="H481">
        <v>1.1179839</v>
      </c>
      <c r="I481">
        <v>-0.11798391</v>
      </c>
      <c r="J481">
        <v>0.47214714000000002</v>
      </c>
    </row>
    <row r="482" spans="1:10" x14ac:dyDescent="0.3">
      <c r="A482">
        <v>480</v>
      </c>
      <c r="B482">
        <v>7843</v>
      </c>
      <c r="C482" t="b">
        <v>1</v>
      </c>
      <c r="D482">
        <v>8008</v>
      </c>
      <c r="E482">
        <v>8104</v>
      </c>
      <c r="F482">
        <v>193.06666999999999</v>
      </c>
      <c r="G482">
        <v>173</v>
      </c>
      <c r="H482">
        <v>1.1159923</v>
      </c>
      <c r="I482">
        <v>-0.115992285</v>
      </c>
      <c r="J482">
        <v>0.47259155000000003</v>
      </c>
    </row>
    <row r="483" spans="1:10" x14ac:dyDescent="0.3">
      <c r="A483">
        <v>481</v>
      </c>
      <c r="B483">
        <v>7859</v>
      </c>
      <c r="C483" t="b">
        <v>1</v>
      </c>
      <c r="D483">
        <v>8016</v>
      </c>
      <c r="E483">
        <v>8080</v>
      </c>
      <c r="F483">
        <v>192</v>
      </c>
      <c r="G483">
        <v>171.4</v>
      </c>
      <c r="H483">
        <v>1.1201867000000001</v>
      </c>
      <c r="I483">
        <v>-0.12018674</v>
      </c>
      <c r="J483">
        <v>0.47165656</v>
      </c>
    </row>
    <row r="484" spans="1:10" x14ac:dyDescent="0.3">
      <c r="A484">
        <v>482</v>
      </c>
      <c r="B484">
        <v>7874</v>
      </c>
      <c r="C484" t="b">
        <v>1</v>
      </c>
      <c r="D484">
        <v>8048</v>
      </c>
      <c r="E484">
        <v>8072</v>
      </c>
      <c r="F484">
        <v>192.53334000000001</v>
      </c>
      <c r="G484">
        <v>170.86667</v>
      </c>
      <c r="H484">
        <v>1.1268046</v>
      </c>
      <c r="I484">
        <v>-0.12680456000000001</v>
      </c>
      <c r="J484">
        <v>0.47018892000000001</v>
      </c>
    </row>
    <row r="485" spans="1:10" x14ac:dyDescent="0.3">
      <c r="A485">
        <v>483</v>
      </c>
      <c r="B485">
        <v>7890</v>
      </c>
      <c r="C485" t="b">
        <v>1</v>
      </c>
      <c r="D485">
        <v>8056</v>
      </c>
      <c r="E485">
        <v>8080</v>
      </c>
      <c r="F485">
        <v>193.06666999999999</v>
      </c>
      <c r="G485">
        <v>170.86667</v>
      </c>
      <c r="H485">
        <v>1.1299258000000001</v>
      </c>
      <c r="I485">
        <v>-0.12992585000000001</v>
      </c>
      <c r="J485">
        <v>0.46949990000000003</v>
      </c>
    </row>
    <row r="486" spans="1:10" x14ac:dyDescent="0.3">
      <c r="A486">
        <v>484</v>
      </c>
      <c r="B486">
        <v>7906</v>
      </c>
      <c r="C486" t="b">
        <v>1</v>
      </c>
      <c r="D486">
        <v>8056</v>
      </c>
      <c r="E486">
        <v>8088</v>
      </c>
      <c r="F486">
        <v>194.13333</v>
      </c>
      <c r="G486">
        <v>170.86667</v>
      </c>
      <c r="H486">
        <v>1.1361684999999999</v>
      </c>
      <c r="I486">
        <v>-0.13616851999999999</v>
      </c>
      <c r="J486">
        <v>0.46812785000000001</v>
      </c>
    </row>
    <row r="487" spans="1:10" x14ac:dyDescent="0.3">
      <c r="A487">
        <v>485</v>
      </c>
      <c r="B487">
        <v>7921</v>
      </c>
      <c r="C487" t="b">
        <v>1</v>
      </c>
      <c r="D487">
        <v>8048</v>
      </c>
      <c r="E487">
        <v>8056</v>
      </c>
      <c r="F487">
        <v>196.26666</v>
      </c>
      <c r="G487">
        <v>170.86667</v>
      </c>
      <c r="H487">
        <v>1.1486539</v>
      </c>
      <c r="I487">
        <v>-0.14865387999999999</v>
      </c>
      <c r="J487">
        <v>0.46540767</v>
      </c>
    </row>
    <row r="488" spans="1:10" x14ac:dyDescent="0.3">
      <c r="A488">
        <v>486</v>
      </c>
      <c r="B488">
        <v>7938</v>
      </c>
      <c r="C488" t="b">
        <v>1</v>
      </c>
      <c r="D488">
        <v>8032</v>
      </c>
      <c r="E488">
        <v>8096</v>
      </c>
      <c r="F488">
        <v>198.4</v>
      </c>
      <c r="G488">
        <v>170.86667</v>
      </c>
      <c r="H488">
        <v>1.1611392</v>
      </c>
      <c r="I488">
        <v>-0.16113922999999999</v>
      </c>
      <c r="J488">
        <v>0.46271889999999999</v>
      </c>
    </row>
    <row r="489" spans="1:10" x14ac:dyDescent="0.3">
      <c r="A489">
        <v>487</v>
      </c>
      <c r="B489">
        <v>7953</v>
      </c>
      <c r="C489" t="b">
        <v>1</v>
      </c>
      <c r="D489">
        <v>8096</v>
      </c>
      <c r="E489">
        <v>8096</v>
      </c>
      <c r="F489">
        <v>201.06666999999999</v>
      </c>
      <c r="G489">
        <v>170.86667</v>
      </c>
      <c r="H489">
        <v>1.1767460000000001</v>
      </c>
      <c r="I489">
        <v>-0.17674598</v>
      </c>
      <c r="J489">
        <v>0.45940130000000001</v>
      </c>
    </row>
    <row r="490" spans="1:10" x14ac:dyDescent="0.3">
      <c r="A490">
        <v>488</v>
      </c>
      <c r="B490">
        <v>7969</v>
      </c>
      <c r="C490" t="b">
        <v>1</v>
      </c>
      <c r="D490">
        <v>8104</v>
      </c>
      <c r="E490">
        <v>8072</v>
      </c>
      <c r="F490">
        <v>203.73334</v>
      </c>
      <c r="G490">
        <v>170.33332999999999</v>
      </c>
      <c r="H490">
        <v>1.1960862000000001</v>
      </c>
      <c r="I490">
        <v>-0.19608617</v>
      </c>
      <c r="J490">
        <v>0.45535555</v>
      </c>
    </row>
    <row r="491" spans="1:10" x14ac:dyDescent="0.3">
      <c r="A491">
        <v>489</v>
      </c>
      <c r="B491">
        <v>7985</v>
      </c>
      <c r="C491" t="b">
        <v>1</v>
      </c>
      <c r="D491">
        <v>8088</v>
      </c>
      <c r="E491">
        <v>8064</v>
      </c>
      <c r="F491">
        <v>206.93333000000001</v>
      </c>
      <c r="G491">
        <v>168.2</v>
      </c>
      <c r="H491">
        <v>1.2302815</v>
      </c>
      <c r="I491">
        <v>-0.23028144</v>
      </c>
      <c r="J491">
        <v>0.44837389999999999</v>
      </c>
    </row>
    <row r="492" spans="1:10" x14ac:dyDescent="0.3">
      <c r="A492">
        <v>490</v>
      </c>
      <c r="B492">
        <v>8001</v>
      </c>
      <c r="C492" t="b">
        <v>1</v>
      </c>
      <c r="D492">
        <v>8096</v>
      </c>
      <c r="E492">
        <v>8080</v>
      </c>
      <c r="F492">
        <v>210.66667000000001</v>
      </c>
      <c r="G492">
        <v>166.6</v>
      </c>
      <c r="H492">
        <v>1.2645057</v>
      </c>
      <c r="I492">
        <v>-0.26450576999999997</v>
      </c>
      <c r="J492">
        <v>0.44159746</v>
      </c>
    </row>
    <row r="493" spans="1:10" x14ac:dyDescent="0.3">
      <c r="A493">
        <v>491</v>
      </c>
      <c r="B493">
        <v>8017</v>
      </c>
      <c r="C493" t="b">
        <v>1</v>
      </c>
      <c r="D493">
        <v>8016</v>
      </c>
      <c r="E493">
        <v>8104</v>
      </c>
      <c r="F493">
        <v>214.4</v>
      </c>
      <c r="G493">
        <v>165.53334000000001</v>
      </c>
      <c r="H493">
        <v>1.2952073</v>
      </c>
      <c r="I493">
        <v>-0.29520732</v>
      </c>
      <c r="J493">
        <v>0.43569046</v>
      </c>
    </row>
    <row r="494" spans="1:10" x14ac:dyDescent="0.3">
      <c r="A494">
        <v>492</v>
      </c>
      <c r="B494">
        <v>8033</v>
      </c>
      <c r="C494" t="b">
        <v>1</v>
      </c>
      <c r="D494">
        <v>8080</v>
      </c>
      <c r="E494">
        <v>8104</v>
      </c>
      <c r="F494">
        <v>217.6</v>
      </c>
      <c r="G494">
        <v>165.53334000000001</v>
      </c>
      <c r="H494">
        <v>1.3145388</v>
      </c>
      <c r="I494">
        <v>-0.31453883999999999</v>
      </c>
      <c r="J494">
        <v>0.43205147999999999</v>
      </c>
    </row>
    <row r="495" spans="1:10" x14ac:dyDescent="0.3">
      <c r="A495">
        <v>493</v>
      </c>
      <c r="B495">
        <v>8049</v>
      </c>
      <c r="C495" t="b">
        <v>1</v>
      </c>
      <c r="D495">
        <v>8048</v>
      </c>
      <c r="E495">
        <v>8072</v>
      </c>
      <c r="F495">
        <v>220.26666</v>
      </c>
      <c r="G495">
        <v>165.53334000000001</v>
      </c>
      <c r="H495">
        <v>1.3306483</v>
      </c>
      <c r="I495">
        <v>-0.33064832999999999</v>
      </c>
      <c r="J495">
        <v>0.42906517</v>
      </c>
    </row>
    <row r="496" spans="1:10" x14ac:dyDescent="0.3">
      <c r="A496">
        <v>494</v>
      </c>
      <c r="B496">
        <v>8065</v>
      </c>
      <c r="C496" t="b">
        <v>1</v>
      </c>
      <c r="D496">
        <v>8112</v>
      </c>
      <c r="E496">
        <v>8072</v>
      </c>
      <c r="F496">
        <v>222.93333000000001</v>
      </c>
      <c r="G496">
        <v>165.53334000000001</v>
      </c>
      <c r="H496">
        <v>1.3467579000000001</v>
      </c>
      <c r="I496">
        <v>-0.34675790000000001</v>
      </c>
      <c r="J496">
        <v>0.42611979999999999</v>
      </c>
    </row>
    <row r="497" spans="1:10" x14ac:dyDescent="0.3">
      <c r="A497">
        <v>495</v>
      </c>
      <c r="B497">
        <v>8081</v>
      </c>
      <c r="C497" t="b">
        <v>1</v>
      </c>
      <c r="D497">
        <v>8048</v>
      </c>
      <c r="E497">
        <v>8088</v>
      </c>
      <c r="F497">
        <v>223.46665999999999</v>
      </c>
      <c r="G497">
        <v>166.06666999999999</v>
      </c>
      <c r="H497">
        <v>1.3456442</v>
      </c>
      <c r="I497">
        <v>-0.34564430000000002</v>
      </c>
      <c r="J497">
        <v>0.42632209999999998</v>
      </c>
    </row>
    <row r="498" spans="1:10" x14ac:dyDescent="0.3">
      <c r="A498">
        <v>496</v>
      </c>
      <c r="B498">
        <v>8097</v>
      </c>
      <c r="C498" t="b">
        <v>1</v>
      </c>
      <c r="D498">
        <v>8048</v>
      </c>
      <c r="E498">
        <v>8104</v>
      </c>
      <c r="F498">
        <v>224</v>
      </c>
      <c r="G498">
        <v>166.6</v>
      </c>
      <c r="H498">
        <v>1.3445377000000001</v>
      </c>
      <c r="I498">
        <v>-0.34453776000000003</v>
      </c>
      <c r="J498">
        <v>0.42652329999999999</v>
      </c>
    </row>
    <row r="499" spans="1:10" x14ac:dyDescent="0.3">
      <c r="A499">
        <v>497</v>
      </c>
      <c r="B499">
        <v>8113</v>
      </c>
      <c r="C499" t="b">
        <v>1</v>
      </c>
      <c r="D499">
        <v>8000</v>
      </c>
      <c r="E499">
        <v>8072</v>
      </c>
      <c r="F499">
        <v>224.53334000000001</v>
      </c>
      <c r="G499">
        <v>166.06666999999999</v>
      </c>
      <c r="H499">
        <v>1.3520675</v>
      </c>
      <c r="I499">
        <v>-0.35206749999999998</v>
      </c>
      <c r="J499">
        <v>0.42515786999999999</v>
      </c>
    </row>
    <row r="500" spans="1:10" x14ac:dyDescent="0.3">
      <c r="A500">
        <v>498</v>
      </c>
      <c r="B500">
        <v>8129</v>
      </c>
      <c r="C500" t="b">
        <v>1</v>
      </c>
      <c r="D500">
        <v>8064</v>
      </c>
      <c r="E500">
        <v>8080</v>
      </c>
      <c r="F500">
        <v>225.06666999999999</v>
      </c>
      <c r="G500">
        <v>166.06666999999999</v>
      </c>
      <c r="H500">
        <v>1.3552789999999999</v>
      </c>
      <c r="I500">
        <v>-0.35527900000000001</v>
      </c>
      <c r="J500">
        <v>0.42457815999999998</v>
      </c>
    </row>
    <row r="501" spans="1:10" x14ac:dyDescent="0.3">
      <c r="A501">
        <v>499</v>
      </c>
      <c r="B501">
        <v>8144</v>
      </c>
      <c r="C501" t="b">
        <v>1</v>
      </c>
      <c r="D501">
        <v>8088</v>
      </c>
      <c r="E501">
        <v>8080</v>
      </c>
      <c r="F501">
        <v>225.06666999999999</v>
      </c>
      <c r="G501">
        <v>166.06666999999999</v>
      </c>
      <c r="H501">
        <v>1.3552789999999999</v>
      </c>
      <c r="I501">
        <v>-0.35527900000000001</v>
      </c>
      <c r="J501">
        <v>0.42457815999999998</v>
      </c>
    </row>
    <row r="502" spans="1:10" x14ac:dyDescent="0.3">
      <c r="A502">
        <v>500</v>
      </c>
      <c r="B502">
        <v>8160</v>
      </c>
      <c r="C502" t="b">
        <v>1</v>
      </c>
      <c r="D502">
        <v>8064</v>
      </c>
      <c r="E502">
        <v>8032</v>
      </c>
      <c r="F502">
        <v>226.13333</v>
      </c>
      <c r="G502">
        <v>166.06666999999999</v>
      </c>
      <c r="H502">
        <v>1.3617021</v>
      </c>
      <c r="I502">
        <v>-0.36170210000000003</v>
      </c>
      <c r="J502">
        <v>0.42342340000000001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E02EE-35D8-4492-8D89-E619023C044C}">
  <dimension ref="A1:J502"/>
  <sheetViews>
    <sheetView workbookViewId="0">
      <selection activeCell="A2" sqref="A2:J502"/>
    </sheetView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9.44140625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 t="b">
        <v>1</v>
      </c>
      <c r="D2">
        <v>8112</v>
      </c>
      <c r="E2">
        <v>8120</v>
      </c>
      <c r="F2">
        <v>272</v>
      </c>
      <c r="G2">
        <v>205</v>
      </c>
      <c r="H2">
        <v>1.3268293</v>
      </c>
      <c r="I2">
        <v>-0.32682925000000002</v>
      </c>
      <c r="J2">
        <v>0.42976940000000002</v>
      </c>
    </row>
    <row r="3" spans="1:10" x14ac:dyDescent="0.3">
      <c r="A3">
        <v>1</v>
      </c>
      <c r="B3">
        <v>29</v>
      </c>
      <c r="C3" t="b">
        <v>1</v>
      </c>
      <c r="D3">
        <v>8120</v>
      </c>
      <c r="E3">
        <v>8112</v>
      </c>
      <c r="F3">
        <v>276</v>
      </c>
      <c r="G3">
        <v>205</v>
      </c>
      <c r="H3">
        <v>1.3463415000000001</v>
      </c>
      <c r="I3">
        <v>-0.34634145999999999</v>
      </c>
      <c r="J3">
        <v>0.4261954</v>
      </c>
    </row>
    <row r="4" spans="1:10" x14ac:dyDescent="0.3">
      <c r="A4">
        <v>2</v>
      </c>
      <c r="B4">
        <v>45</v>
      </c>
      <c r="C4" t="b">
        <v>1</v>
      </c>
      <c r="D4">
        <v>8088</v>
      </c>
      <c r="E4">
        <v>8080</v>
      </c>
      <c r="F4">
        <v>274.66665999999998</v>
      </c>
      <c r="G4">
        <v>202.33332999999999</v>
      </c>
      <c r="H4">
        <v>1.3574959</v>
      </c>
      <c r="I4">
        <v>-0.35749586999999999</v>
      </c>
      <c r="J4">
        <v>0.42417890000000003</v>
      </c>
    </row>
    <row r="5" spans="1:10" x14ac:dyDescent="0.3">
      <c r="A5">
        <v>3</v>
      </c>
      <c r="B5">
        <v>61</v>
      </c>
      <c r="C5" t="b">
        <v>1</v>
      </c>
      <c r="D5">
        <v>8168</v>
      </c>
      <c r="E5">
        <v>8080</v>
      </c>
      <c r="F5">
        <v>276</v>
      </c>
      <c r="G5">
        <v>201</v>
      </c>
      <c r="H5">
        <v>1.3731344000000001</v>
      </c>
      <c r="I5">
        <v>-0.37313432000000002</v>
      </c>
      <c r="J5">
        <v>0.42138365</v>
      </c>
    </row>
    <row r="6" spans="1:10" x14ac:dyDescent="0.3">
      <c r="A6">
        <v>4</v>
      </c>
      <c r="B6">
        <v>77</v>
      </c>
      <c r="C6" t="b">
        <v>1</v>
      </c>
      <c r="D6">
        <v>8168</v>
      </c>
      <c r="E6">
        <v>8120</v>
      </c>
      <c r="F6">
        <v>276.8</v>
      </c>
      <c r="G6">
        <v>200.2</v>
      </c>
      <c r="H6">
        <v>1.3826174</v>
      </c>
      <c r="I6">
        <v>-0.38261735000000002</v>
      </c>
      <c r="J6">
        <v>0.41970649999999998</v>
      </c>
    </row>
    <row r="7" spans="1:10" x14ac:dyDescent="0.3">
      <c r="A7">
        <v>5</v>
      </c>
      <c r="B7">
        <v>93</v>
      </c>
      <c r="C7" t="b">
        <v>1</v>
      </c>
      <c r="D7">
        <v>8160</v>
      </c>
      <c r="E7">
        <v>8096</v>
      </c>
      <c r="F7">
        <v>284</v>
      </c>
      <c r="G7">
        <v>197</v>
      </c>
      <c r="H7">
        <v>1.4416244</v>
      </c>
      <c r="I7">
        <v>-0.44162436999999999</v>
      </c>
      <c r="J7">
        <v>0.40956342000000001</v>
      </c>
    </row>
    <row r="8" spans="1:10" x14ac:dyDescent="0.3">
      <c r="A8">
        <v>6</v>
      </c>
      <c r="B8">
        <v>108</v>
      </c>
      <c r="C8" t="b">
        <v>1</v>
      </c>
      <c r="D8">
        <v>8152</v>
      </c>
      <c r="E8">
        <v>8104</v>
      </c>
      <c r="F8">
        <v>289.14285000000001</v>
      </c>
      <c r="G8">
        <v>194.71428</v>
      </c>
      <c r="H8">
        <v>1.4849597000000001</v>
      </c>
      <c r="I8">
        <v>-0.48495966000000001</v>
      </c>
      <c r="J8">
        <v>0.40242103000000001</v>
      </c>
    </row>
    <row r="9" spans="1:10" x14ac:dyDescent="0.3">
      <c r="A9">
        <v>7</v>
      </c>
      <c r="B9">
        <v>124</v>
      </c>
      <c r="C9" t="b">
        <v>1</v>
      </c>
      <c r="D9">
        <v>8088</v>
      </c>
      <c r="E9">
        <v>8144</v>
      </c>
      <c r="F9">
        <v>293</v>
      </c>
      <c r="G9">
        <v>194</v>
      </c>
      <c r="H9">
        <v>1.5103092</v>
      </c>
      <c r="I9">
        <v>-0.51030929999999997</v>
      </c>
      <c r="J9">
        <v>0.39835730000000003</v>
      </c>
    </row>
    <row r="10" spans="1:10" x14ac:dyDescent="0.3">
      <c r="A10">
        <v>8</v>
      </c>
      <c r="B10">
        <v>140</v>
      </c>
      <c r="C10" t="b">
        <v>1</v>
      </c>
      <c r="D10">
        <v>8120</v>
      </c>
      <c r="E10">
        <v>8104</v>
      </c>
      <c r="F10">
        <v>295.11110000000002</v>
      </c>
      <c r="G10">
        <v>193.44443999999999</v>
      </c>
      <c r="H10">
        <v>1.52556</v>
      </c>
      <c r="I10">
        <v>-0.52556009999999997</v>
      </c>
      <c r="J10">
        <v>0.39595180000000002</v>
      </c>
    </row>
    <row r="11" spans="1:10" x14ac:dyDescent="0.3">
      <c r="A11">
        <v>9</v>
      </c>
      <c r="B11">
        <v>156</v>
      </c>
      <c r="C11" t="b">
        <v>1</v>
      </c>
      <c r="D11">
        <v>8112</v>
      </c>
      <c r="E11">
        <v>8088</v>
      </c>
      <c r="F11">
        <v>293.60000000000002</v>
      </c>
      <c r="G11">
        <v>193</v>
      </c>
      <c r="H11">
        <v>1.5212436</v>
      </c>
      <c r="I11">
        <v>-0.52124360000000003</v>
      </c>
      <c r="J11">
        <v>0.39662966</v>
      </c>
    </row>
    <row r="12" spans="1:10" x14ac:dyDescent="0.3">
      <c r="A12">
        <v>10</v>
      </c>
      <c r="B12">
        <v>171</v>
      </c>
      <c r="C12" t="b">
        <v>1</v>
      </c>
      <c r="D12">
        <v>8112</v>
      </c>
      <c r="E12">
        <v>8152</v>
      </c>
      <c r="F12">
        <v>291.63634999999999</v>
      </c>
      <c r="G12">
        <v>192.63637</v>
      </c>
      <c r="H12">
        <v>1.5139216</v>
      </c>
      <c r="I12">
        <v>-0.51392156</v>
      </c>
      <c r="J12">
        <v>0.3977849</v>
      </c>
    </row>
    <row r="13" spans="1:10" x14ac:dyDescent="0.3">
      <c r="A13">
        <v>11</v>
      </c>
      <c r="B13">
        <v>187</v>
      </c>
      <c r="C13" t="b">
        <v>1</v>
      </c>
      <c r="D13">
        <v>8104</v>
      </c>
      <c r="E13">
        <v>8104</v>
      </c>
      <c r="F13">
        <v>290</v>
      </c>
      <c r="G13">
        <v>192.33332999999999</v>
      </c>
      <c r="H13">
        <v>1.5077989999999999</v>
      </c>
      <c r="I13">
        <v>-0.507799</v>
      </c>
      <c r="J13">
        <v>0.39875606000000002</v>
      </c>
    </row>
    <row r="14" spans="1:10" x14ac:dyDescent="0.3">
      <c r="A14">
        <v>12</v>
      </c>
      <c r="B14">
        <v>203</v>
      </c>
      <c r="C14" t="b">
        <v>1</v>
      </c>
      <c r="D14">
        <v>8128</v>
      </c>
      <c r="E14">
        <v>8088</v>
      </c>
      <c r="F14">
        <v>288.61540000000002</v>
      </c>
      <c r="G14">
        <v>192.07692</v>
      </c>
      <c r="H14">
        <v>1.5026032</v>
      </c>
      <c r="I14">
        <v>-0.50260320000000003</v>
      </c>
      <c r="J14">
        <v>0.39958389999999999</v>
      </c>
    </row>
    <row r="15" spans="1:10" x14ac:dyDescent="0.3">
      <c r="A15">
        <v>13</v>
      </c>
      <c r="B15">
        <v>234</v>
      </c>
      <c r="C15" t="b">
        <v>1</v>
      </c>
      <c r="D15">
        <v>8168</v>
      </c>
      <c r="E15">
        <v>8080</v>
      </c>
      <c r="F15">
        <v>287.42856</v>
      </c>
      <c r="G15">
        <v>190.71428</v>
      </c>
      <c r="H15">
        <v>1.5071161</v>
      </c>
      <c r="I15">
        <v>-0.50711609999999996</v>
      </c>
      <c r="J15">
        <v>0.39886465999999998</v>
      </c>
    </row>
    <row r="16" spans="1:10" x14ac:dyDescent="0.3">
      <c r="A16">
        <v>14</v>
      </c>
      <c r="B16">
        <v>249</v>
      </c>
      <c r="C16" t="b">
        <v>1</v>
      </c>
      <c r="D16">
        <v>8168</v>
      </c>
      <c r="E16">
        <v>8104</v>
      </c>
      <c r="F16">
        <v>287.46667000000002</v>
      </c>
      <c r="G16">
        <v>190.6</v>
      </c>
      <c r="H16">
        <v>1.5082196000000001</v>
      </c>
      <c r="I16">
        <v>-0.50821965999999996</v>
      </c>
      <c r="J16">
        <v>0.39868914999999999</v>
      </c>
    </row>
    <row r="17" spans="1:10" x14ac:dyDescent="0.3">
      <c r="A17">
        <v>15</v>
      </c>
      <c r="B17">
        <v>281</v>
      </c>
      <c r="C17" t="b">
        <v>1</v>
      </c>
      <c r="D17">
        <v>8168</v>
      </c>
      <c r="E17">
        <v>8112</v>
      </c>
      <c r="F17">
        <v>291.2</v>
      </c>
      <c r="G17">
        <v>189.53334000000001</v>
      </c>
      <c r="H17">
        <v>1.5364051999999999</v>
      </c>
      <c r="I17">
        <v>-0.53640520000000003</v>
      </c>
      <c r="J17">
        <v>0.39425880000000002</v>
      </c>
    </row>
    <row r="18" spans="1:10" x14ac:dyDescent="0.3">
      <c r="A18">
        <v>16</v>
      </c>
      <c r="B18">
        <v>297</v>
      </c>
      <c r="C18" t="b">
        <v>1</v>
      </c>
      <c r="D18">
        <v>8128</v>
      </c>
      <c r="E18">
        <v>8136</v>
      </c>
      <c r="F18">
        <v>294.39999999999998</v>
      </c>
      <c r="G18">
        <v>188.46665999999999</v>
      </c>
      <c r="H18">
        <v>1.5620799999999999</v>
      </c>
      <c r="I18">
        <v>-0.56207996999999998</v>
      </c>
      <c r="J18">
        <v>0.39030789999999999</v>
      </c>
    </row>
    <row r="19" spans="1:10" x14ac:dyDescent="0.3">
      <c r="A19">
        <v>17</v>
      </c>
      <c r="B19">
        <v>313</v>
      </c>
      <c r="C19" t="b">
        <v>1</v>
      </c>
      <c r="D19">
        <v>8120</v>
      </c>
      <c r="E19">
        <v>8144</v>
      </c>
      <c r="F19">
        <v>298.13333</v>
      </c>
      <c r="G19">
        <v>188.46665999999999</v>
      </c>
      <c r="H19">
        <v>1.5818890000000001</v>
      </c>
      <c r="I19">
        <v>-0.58188899999999999</v>
      </c>
      <c r="J19">
        <v>0.38731334000000001</v>
      </c>
    </row>
    <row r="20" spans="1:10" x14ac:dyDescent="0.3">
      <c r="A20">
        <v>18</v>
      </c>
      <c r="B20">
        <v>329</v>
      </c>
      <c r="C20" t="b">
        <v>1</v>
      </c>
      <c r="D20">
        <v>8120</v>
      </c>
      <c r="E20">
        <v>8128</v>
      </c>
      <c r="F20">
        <v>298.66665999999998</v>
      </c>
      <c r="G20">
        <v>189.53334000000001</v>
      </c>
      <c r="H20">
        <v>1.5758000999999999</v>
      </c>
      <c r="I20">
        <v>-0.57580010000000004</v>
      </c>
      <c r="J20">
        <v>0.38822886000000001</v>
      </c>
    </row>
    <row r="21" spans="1:10" x14ac:dyDescent="0.3">
      <c r="A21">
        <v>19</v>
      </c>
      <c r="B21">
        <v>344</v>
      </c>
      <c r="C21" t="b">
        <v>1</v>
      </c>
      <c r="D21">
        <v>8152</v>
      </c>
      <c r="E21">
        <v>8112</v>
      </c>
      <c r="F21">
        <v>299.2</v>
      </c>
      <c r="G21">
        <v>190.6</v>
      </c>
      <c r="H21">
        <v>1.5697795999999999</v>
      </c>
      <c r="I21">
        <v>-0.56977962999999998</v>
      </c>
      <c r="J21">
        <v>0.38913842999999998</v>
      </c>
    </row>
    <row r="22" spans="1:10" x14ac:dyDescent="0.3">
      <c r="A22">
        <v>20</v>
      </c>
      <c r="B22">
        <v>360</v>
      </c>
      <c r="C22" t="b">
        <v>1</v>
      </c>
      <c r="D22">
        <v>8152</v>
      </c>
      <c r="E22">
        <v>8064</v>
      </c>
      <c r="F22">
        <v>297.06668000000002</v>
      </c>
      <c r="G22">
        <v>192.73334</v>
      </c>
      <c r="H22">
        <v>1.5413352</v>
      </c>
      <c r="I22">
        <v>-0.54133520000000002</v>
      </c>
      <c r="J22">
        <v>0.39349394999999998</v>
      </c>
    </row>
    <row r="23" spans="1:10" x14ac:dyDescent="0.3">
      <c r="A23">
        <v>21</v>
      </c>
      <c r="B23">
        <v>376</v>
      </c>
      <c r="C23" t="b">
        <v>1</v>
      </c>
      <c r="D23">
        <v>8144</v>
      </c>
      <c r="E23">
        <v>8104</v>
      </c>
      <c r="F23">
        <v>296</v>
      </c>
      <c r="G23">
        <v>193.8</v>
      </c>
      <c r="H23">
        <v>1.5273478</v>
      </c>
      <c r="I23">
        <v>-0.52734773999999995</v>
      </c>
      <c r="J23">
        <v>0.39567173</v>
      </c>
    </row>
    <row r="24" spans="1:10" x14ac:dyDescent="0.3">
      <c r="A24">
        <v>22</v>
      </c>
      <c r="B24">
        <v>392</v>
      </c>
      <c r="C24" t="b">
        <v>1</v>
      </c>
      <c r="D24">
        <v>8112</v>
      </c>
      <c r="E24">
        <v>8104</v>
      </c>
      <c r="F24">
        <v>294.93331999999998</v>
      </c>
      <c r="G24">
        <v>193.8</v>
      </c>
      <c r="H24">
        <v>1.5218437</v>
      </c>
      <c r="I24">
        <v>-0.52184372999999995</v>
      </c>
      <c r="J24">
        <v>0.39653527999999999</v>
      </c>
    </row>
    <row r="25" spans="1:10" x14ac:dyDescent="0.3">
      <c r="A25">
        <v>23</v>
      </c>
      <c r="B25">
        <v>408</v>
      </c>
      <c r="C25" t="b">
        <v>1</v>
      </c>
      <c r="D25">
        <v>8120</v>
      </c>
      <c r="E25">
        <v>8088</v>
      </c>
      <c r="F25">
        <v>294.39999999999998</v>
      </c>
      <c r="G25">
        <v>193.8</v>
      </c>
      <c r="H25">
        <v>1.5190918</v>
      </c>
      <c r="I25">
        <v>-0.51909179999999999</v>
      </c>
      <c r="J25">
        <v>0.39696844999999997</v>
      </c>
    </row>
    <row r="26" spans="1:10" x14ac:dyDescent="0.3">
      <c r="A26">
        <v>24</v>
      </c>
      <c r="B26">
        <v>423</v>
      </c>
      <c r="C26" t="b">
        <v>1</v>
      </c>
      <c r="D26">
        <v>8120</v>
      </c>
      <c r="E26">
        <v>8104</v>
      </c>
      <c r="F26">
        <v>294.39999999999998</v>
      </c>
      <c r="G26">
        <v>193.8</v>
      </c>
      <c r="H26">
        <v>1.5190918</v>
      </c>
      <c r="I26">
        <v>-0.51909179999999999</v>
      </c>
      <c r="J26">
        <v>0.39696844999999997</v>
      </c>
    </row>
    <row r="27" spans="1:10" x14ac:dyDescent="0.3">
      <c r="A27">
        <v>25</v>
      </c>
      <c r="B27">
        <v>439</v>
      </c>
      <c r="C27" t="b">
        <v>1</v>
      </c>
      <c r="D27">
        <v>8136</v>
      </c>
      <c r="E27">
        <v>8104</v>
      </c>
      <c r="F27">
        <v>294.93331999999998</v>
      </c>
      <c r="G27">
        <v>193.8</v>
      </c>
      <c r="H27">
        <v>1.5218437</v>
      </c>
      <c r="I27">
        <v>-0.52184372999999995</v>
      </c>
      <c r="J27">
        <v>0.39653527999999999</v>
      </c>
    </row>
    <row r="28" spans="1:10" x14ac:dyDescent="0.3">
      <c r="A28">
        <v>26</v>
      </c>
      <c r="B28">
        <v>455</v>
      </c>
      <c r="C28" t="b">
        <v>1</v>
      </c>
      <c r="D28">
        <v>8144</v>
      </c>
      <c r="E28">
        <v>8128</v>
      </c>
      <c r="F28">
        <v>295.46667000000002</v>
      </c>
      <c r="G28">
        <v>193.8</v>
      </c>
      <c r="H28">
        <v>1.5245959</v>
      </c>
      <c r="I28">
        <v>-0.52459579999999995</v>
      </c>
      <c r="J28">
        <v>0.39610301999999997</v>
      </c>
    </row>
    <row r="29" spans="1:10" x14ac:dyDescent="0.3">
      <c r="A29">
        <v>27</v>
      </c>
      <c r="B29">
        <v>471</v>
      </c>
      <c r="C29" t="b">
        <v>1</v>
      </c>
      <c r="D29">
        <v>8168</v>
      </c>
      <c r="E29">
        <v>8104</v>
      </c>
      <c r="F29">
        <v>297.06668000000002</v>
      </c>
      <c r="G29">
        <v>193.8</v>
      </c>
      <c r="H29">
        <v>1.5328518</v>
      </c>
      <c r="I29">
        <v>-0.53285179999999999</v>
      </c>
      <c r="J29">
        <v>0.39481187000000001</v>
      </c>
    </row>
    <row r="30" spans="1:10" x14ac:dyDescent="0.3">
      <c r="A30">
        <v>28</v>
      </c>
      <c r="B30">
        <v>487</v>
      </c>
      <c r="C30" t="b">
        <v>1</v>
      </c>
      <c r="D30">
        <v>8160</v>
      </c>
      <c r="E30">
        <v>8104</v>
      </c>
      <c r="F30">
        <v>299.2</v>
      </c>
      <c r="G30">
        <v>194.86667</v>
      </c>
      <c r="H30">
        <v>1.5354089</v>
      </c>
      <c r="I30">
        <v>-0.53540885000000005</v>
      </c>
      <c r="J30">
        <v>0.39441369999999998</v>
      </c>
    </row>
    <row r="31" spans="1:10" x14ac:dyDescent="0.3">
      <c r="A31">
        <v>29</v>
      </c>
      <c r="B31">
        <v>503</v>
      </c>
      <c r="C31" t="b">
        <v>1</v>
      </c>
      <c r="D31">
        <v>8088</v>
      </c>
      <c r="E31">
        <v>8144</v>
      </c>
      <c r="F31">
        <v>300.26666</v>
      </c>
      <c r="G31">
        <v>194.86667</v>
      </c>
      <c r="H31">
        <v>1.5408826</v>
      </c>
      <c r="I31">
        <v>-0.54088265000000002</v>
      </c>
      <c r="J31">
        <v>0.39356402000000001</v>
      </c>
    </row>
    <row r="32" spans="1:10" x14ac:dyDescent="0.3">
      <c r="A32">
        <v>30</v>
      </c>
      <c r="B32">
        <v>535</v>
      </c>
      <c r="C32" t="b">
        <v>1</v>
      </c>
      <c r="D32">
        <v>8120</v>
      </c>
      <c r="E32">
        <v>8080</v>
      </c>
      <c r="F32">
        <v>298.66665999999998</v>
      </c>
      <c r="G32">
        <v>194.86667</v>
      </c>
      <c r="H32">
        <v>1.5326717999999999</v>
      </c>
      <c r="I32">
        <v>-0.53267187000000005</v>
      </c>
      <c r="J32">
        <v>0.39483994</v>
      </c>
    </row>
    <row r="33" spans="1:10" x14ac:dyDescent="0.3">
      <c r="A33">
        <v>31</v>
      </c>
      <c r="B33">
        <v>551</v>
      </c>
      <c r="C33" t="b">
        <v>1</v>
      </c>
      <c r="D33">
        <v>8096</v>
      </c>
      <c r="E33">
        <v>8088</v>
      </c>
      <c r="F33">
        <v>295.46667000000002</v>
      </c>
      <c r="G33">
        <v>194.86667</v>
      </c>
      <c r="H33">
        <v>1.5162504999999999</v>
      </c>
      <c r="I33">
        <v>-0.51625043000000004</v>
      </c>
      <c r="J33">
        <v>0.39741670000000001</v>
      </c>
    </row>
    <row r="34" spans="1:10" x14ac:dyDescent="0.3">
      <c r="A34">
        <v>32</v>
      </c>
      <c r="B34">
        <v>566</v>
      </c>
      <c r="C34" t="b">
        <v>1</v>
      </c>
      <c r="D34">
        <v>8152</v>
      </c>
      <c r="E34">
        <v>8104</v>
      </c>
      <c r="F34">
        <v>292.26666</v>
      </c>
      <c r="G34">
        <v>194.33332999999999</v>
      </c>
      <c r="H34">
        <v>1.5039450999999999</v>
      </c>
      <c r="I34">
        <v>-0.50394510000000003</v>
      </c>
      <c r="J34">
        <v>0.39936978000000001</v>
      </c>
    </row>
    <row r="35" spans="1:10" x14ac:dyDescent="0.3">
      <c r="A35">
        <v>33</v>
      </c>
      <c r="B35">
        <v>582</v>
      </c>
      <c r="C35" t="b">
        <v>1</v>
      </c>
      <c r="D35">
        <v>8088</v>
      </c>
      <c r="E35">
        <v>8104</v>
      </c>
      <c r="F35">
        <v>290.13333</v>
      </c>
      <c r="G35">
        <v>192.73334</v>
      </c>
      <c r="H35">
        <v>1.5053614</v>
      </c>
      <c r="I35">
        <v>-0.50536144000000005</v>
      </c>
      <c r="J35">
        <v>0.399144</v>
      </c>
    </row>
    <row r="36" spans="1:10" x14ac:dyDescent="0.3">
      <c r="A36">
        <v>34</v>
      </c>
      <c r="B36">
        <v>598</v>
      </c>
      <c r="C36" t="b">
        <v>1</v>
      </c>
      <c r="D36">
        <v>8168</v>
      </c>
      <c r="E36">
        <v>8104</v>
      </c>
      <c r="F36">
        <v>289.60000000000002</v>
      </c>
      <c r="G36">
        <v>191.13333</v>
      </c>
      <c r="H36">
        <v>1.5151726999999999</v>
      </c>
      <c r="I36">
        <v>-0.51517270000000004</v>
      </c>
      <c r="J36">
        <v>0.39758700000000002</v>
      </c>
    </row>
    <row r="37" spans="1:10" x14ac:dyDescent="0.3">
      <c r="A37">
        <v>35</v>
      </c>
      <c r="B37">
        <v>614</v>
      </c>
      <c r="C37" t="b">
        <v>1</v>
      </c>
      <c r="D37">
        <v>8152</v>
      </c>
      <c r="E37">
        <v>8128</v>
      </c>
      <c r="F37">
        <v>291.2</v>
      </c>
      <c r="G37">
        <v>189.53334000000001</v>
      </c>
      <c r="H37">
        <v>1.5364051999999999</v>
      </c>
      <c r="I37">
        <v>-0.53640520000000003</v>
      </c>
      <c r="J37">
        <v>0.39425880000000002</v>
      </c>
    </row>
    <row r="38" spans="1:10" x14ac:dyDescent="0.3">
      <c r="A38">
        <v>36</v>
      </c>
      <c r="B38">
        <v>645</v>
      </c>
      <c r="C38" t="b">
        <v>1</v>
      </c>
      <c r="D38">
        <v>8128</v>
      </c>
      <c r="E38">
        <v>8112</v>
      </c>
      <c r="F38">
        <v>291.73334</v>
      </c>
      <c r="G38">
        <v>189</v>
      </c>
      <c r="H38">
        <v>1.5435627000000001</v>
      </c>
      <c r="I38">
        <v>-0.54356265000000004</v>
      </c>
      <c r="J38">
        <v>0.39314935000000001</v>
      </c>
    </row>
    <row r="39" spans="1:10" x14ac:dyDescent="0.3">
      <c r="A39">
        <v>37</v>
      </c>
      <c r="B39">
        <v>661</v>
      </c>
      <c r="C39" t="b">
        <v>1</v>
      </c>
      <c r="D39">
        <v>8120</v>
      </c>
      <c r="E39">
        <v>8112</v>
      </c>
      <c r="F39">
        <v>290.66665999999998</v>
      </c>
      <c r="G39">
        <v>189.53334000000001</v>
      </c>
      <c r="H39">
        <v>1.5335912</v>
      </c>
      <c r="I39">
        <v>-0.53359115000000001</v>
      </c>
      <c r="J39">
        <v>0.39469664999999998</v>
      </c>
    </row>
    <row r="40" spans="1:10" x14ac:dyDescent="0.3">
      <c r="A40">
        <v>38</v>
      </c>
      <c r="B40">
        <v>677</v>
      </c>
      <c r="C40" t="b">
        <v>1</v>
      </c>
      <c r="D40">
        <v>8128</v>
      </c>
      <c r="E40">
        <v>8080</v>
      </c>
      <c r="F40">
        <v>289.60000000000002</v>
      </c>
      <c r="G40">
        <v>190.06666999999999</v>
      </c>
      <c r="H40">
        <v>1.5236759</v>
      </c>
      <c r="I40">
        <v>-0.52367589999999997</v>
      </c>
      <c r="J40">
        <v>0.39624740000000003</v>
      </c>
    </row>
    <row r="41" spans="1:10" x14ac:dyDescent="0.3">
      <c r="A41">
        <v>39</v>
      </c>
      <c r="B41">
        <v>693</v>
      </c>
      <c r="C41" t="b">
        <v>1</v>
      </c>
      <c r="D41">
        <v>8176</v>
      </c>
      <c r="E41">
        <v>8128</v>
      </c>
      <c r="F41">
        <v>290.13333</v>
      </c>
      <c r="G41">
        <v>190.6</v>
      </c>
      <c r="H41">
        <v>1.5222104999999999</v>
      </c>
      <c r="I41">
        <v>-0.52221050000000002</v>
      </c>
      <c r="J41">
        <v>0.39647759999999999</v>
      </c>
    </row>
    <row r="42" spans="1:10" x14ac:dyDescent="0.3">
      <c r="A42">
        <v>40</v>
      </c>
      <c r="B42">
        <v>709</v>
      </c>
      <c r="C42" t="b">
        <v>1</v>
      </c>
      <c r="D42">
        <v>8144</v>
      </c>
      <c r="E42">
        <v>8104</v>
      </c>
      <c r="F42">
        <v>290.66665999999998</v>
      </c>
      <c r="G42">
        <v>191.13333</v>
      </c>
      <c r="H42">
        <v>1.5207534</v>
      </c>
      <c r="I42">
        <v>-0.52075340000000003</v>
      </c>
      <c r="J42">
        <v>0.39670680000000003</v>
      </c>
    </row>
    <row r="43" spans="1:10" x14ac:dyDescent="0.3">
      <c r="A43">
        <v>41</v>
      </c>
      <c r="B43">
        <v>740</v>
      </c>
      <c r="C43" t="b">
        <v>1</v>
      </c>
      <c r="D43">
        <v>8104</v>
      </c>
      <c r="E43">
        <v>8096</v>
      </c>
      <c r="F43">
        <v>291.2</v>
      </c>
      <c r="G43">
        <v>191.13333</v>
      </c>
      <c r="H43">
        <v>1.5235437999999999</v>
      </c>
      <c r="I43">
        <v>-0.52354383000000004</v>
      </c>
      <c r="J43">
        <v>0.39626813</v>
      </c>
    </row>
    <row r="44" spans="1:10" x14ac:dyDescent="0.3">
      <c r="A44">
        <v>42</v>
      </c>
      <c r="B44">
        <v>756</v>
      </c>
      <c r="C44" t="b">
        <v>1</v>
      </c>
      <c r="D44">
        <v>8128</v>
      </c>
      <c r="E44">
        <v>8104</v>
      </c>
      <c r="F44">
        <v>290.66665999999998</v>
      </c>
      <c r="G44">
        <v>191.13333</v>
      </c>
      <c r="H44">
        <v>1.5207534</v>
      </c>
      <c r="I44">
        <v>-0.52075340000000003</v>
      </c>
      <c r="J44">
        <v>0.39670680000000003</v>
      </c>
    </row>
    <row r="45" spans="1:10" x14ac:dyDescent="0.3">
      <c r="A45">
        <v>43</v>
      </c>
      <c r="B45">
        <v>788</v>
      </c>
      <c r="C45" t="b">
        <v>1</v>
      </c>
      <c r="D45">
        <v>8104</v>
      </c>
      <c r="E45">
        <v>8104</v>
      </c>
      <c r="F45">
        <v>289.60000000000002</v>
      </c>
      <c r="G45">
        <v>191.13333</v>
      </c>
      <c r="H45">
        <v>1.5151726999999999</v>
      </c>
      <c r="I45">
        <v>-0.51517270000000004</v>
      </c>
      <c r="J45">
        <v>0.39758700000000002</v>
      </c>
    </row>
    <row r="46" spans="1:10" x14ac:dyDescent="0.3">
      <c r="A46">
        <v>44</v>
      </c>
      <c r="B46">
        <v>820</v>
      </c>
      <c r="C46" t="b">
        <v>1</v>
      </c>
      <c r="D46">
        <v>8168</v>
      </c>
      <c r="E46">
        <v>8096</v>
      </c>
      <c r="F46">
        <v>288.53332999999998</v>
      </c>
      <c r="G46">
        <v>191.13333</v>
      </c>
      <c r="H46">
        <v>1.5095919</v>
      </c>
      <c r="I46">
        <v>-0.50959189999999999</v>
      </c>
      <c r="J46">
        <v>0.39847117999999998</v>
      </c>
    </row>
    <row r="47" spans="1:10" x14ac:dyDescent="0.3">
      <c r="A47">
        <v>45</v>
      </c>
      <c r="B47">
        <v>851</v>
      </c>
      <c r="C47" t="b">
        <v>1</v>
      </c>
      <c r="D47">
        <v>8160</v>
      </c>
      <c r="E47">
        <v>8072</v>
      </c>
      <c r="F47">
        <v>287.46667000000002</v>
      </c>
      <c r="G47">
        <v>190.6</v>
      </c>
      <c r="H47">
        <v>1.5082196000000001</v>
      </c>
      <c r="I47">
        <v>-0.50821965999999996</v>
      </c>
      <c r="J47">
        <v>0.39868914999999999</v>
      </c>
    </row>
    <row r="48" spans="1:10" x14ac:dyDescent="0.3">
      <c r="A48">
        <v>46</v>
      </c>
      <c r="B48">
        <v>883</v>
      </c>
      <c r="C48" t="b">
        <v>1</v>
      </c>
      <c r="D48">
        <v>8144</v>
      </c>
      <c r="E48">
        <v>8112</v>
      </c>
      <c r="F48">
        <v>289.06668000000002</v>
      </c>
      <c r="G48">
        <v>190.6</v>
      </c>
      <c r="H48">
        <v>1.5166142</v>
      </c>
      <c r="I48">
        <v>-0.51661420000000002</v>
      </c>
      <c r="J48">
        <v>0.39735927999999998</v>
      </c>
    </row>
    <row r="49" spans="1:10" x14ac:dyDescent="0.3">
      <c r="A49">
        <v>47</v>
      </c>
      <c r="B49">
        <v>899</v>
      </c>
      <c r="C49" t="b">
        <v>1</v>
      </c>
      <c r="D49">
        <v>8128</v>
      </c>
      <c r="E49">
        <v>8104</v>
      </c>
      <c r="F49">
        <v>290.66665999999998</v>
      </c>
      <c r="G49">
        <v>190.6</v>
      </c>
      <c r="H49">
        <v>1.5250087000000001</v>
      </c>
      <c r="I49">
        <v>-0.52500860000000005</v>
      </c>
      <c r="J49">
        <v>0.39603822999999999</v>
      </c>
    </row>
    <row r="50" spans="1:10" x14ac:dyDescent="0.3">
      <c r="A50">
        <v>48</v>
      </c>
      <c r="B50">
        <v>915</v>
      </c>
      <c r="C50" t="b">
        <v>1</v>
      </c>
      <c r="D50">
        <v>8128</v>
      </c>
      <c r="E50">
        <v>8104</v>
      </c>
      <c r="F50">
        <v>293.86667</v>
      </c>
      <c r="G50">
        <v>190.6</v>
      </c>
      <c r="H50">
        <v>1.5417978000000001</v>
      </c>
      <c r="I50">
        <v>-0.5417978</v>
      </c>
      <c r="J50">
        <v>0.39342233999999998</v>
      </c>
    </row>
    <row r="51" spans="1:10" x14ac:dyDescent="0.3">
      <c r="A51">
        <v>49</v>
      </c>
      <c r="B51">
        <v>931</v>
      </c>
      <c r="C51" t="b">
        <v>1</v>
      </c>
      <c r="D51">
        <v>8168</v>
      </c>
      <c r="E51">
        <v>8112</v>
      </c>
      <c r="F51">
        <v>295.46667000000002</v>
      </c>
      <c r="G51">
        <v>190.6</v>
      </c>
      <c r="H51">
        <v>1.5501924</v>
      </c>
      <c r="I51">
        <v>-0.55019236000000005</v>
      </c>
      <c r="J51">
        <v>0.39212728000000002</v>
      </c>
    </row>
    <row r="52" spans="1:10" x14ac:dyDescent="0.3">
      <c r="A52">
        <v>50</v>
      </c>
      <c r="B52">
        <v>947</v>
      </c>
      <c r="C52" t="b">
        <v>1</v>
      </c>
      <c r="D52">
        <v>8168</v>
      </c>
      <c r="E52">
        <v>8072</v>
      </c>
      <c r="F52">
        <v>294.93331999999998</v>
      </c>
      <c r="G52">
        <v>190.6</v>
      </c>
      <c r="H52">
        <v>1.5473939999999999</v>
      </c>
      <c r="I52">
        <v>-0.54739409999999999</v>
      </c>
      <c r="J52">
        <v>0.39255804</v>
      </c>
    </row>
    <row r="53" spans="1:10" x14ac:dyDescent="0.3">
      <c r="A53">
        <v>51</v>
      </c>
      <c r="B53">
        <v>963</v>
      </c>
      <c r="C53" t="b">
        <v>1</v>
      </c>
      <c r="D53">
        <v>8144</v>
      </c>
      <c r="E53">
        <v>8088</v>
      </c>
      <c r="F53">
        <v>294.39999999999998</v>
      </c>
      <c r="G53">
        <v>190.6</v>
      </c>
      <c r="H53">
        <v>1.5445960000000001</v>
      </c>
      <c r="I53">
        <v>-0.54459595999999999</v>
      </c>
      <c r="J53">
        <v>0.3929897</v>
      </c>
    </row>
    <row r="54" spans="1:10" x14ac:dyDescent="0.3">
      <c r="A54">
        <v>52</v>
      </c>
      <c r="B54">
        <v>979</v>
      </c>
      <c r="C54" t="b">
        <v>1</v>
      </c>
      <c r="D54">
        <v>8144</v>
      </c>
      <c r="E54">
        <v>8128</v>
      </c>
      <c r="F54">
        <v>295.46667000000002</v>
      </c>
      <c r="G54">
        <v>190.06666999999999</v>
      </c>
      <c r="H54">
        <v>1.5545423</v>
      </c>
      <c r="I54">
        <v>-0.55454230000000004</v>
      </c>
      <c r="J54">
        <v>0.39145954999999999</v>
      </c>
    </row>
    <row r="55" spans="1:10" x14ac:dyDescent="0.3">
      <c r="A55">
        <v>53</v>
      </c>
      <c r="B55">
        <v>994</v>
      </c>
      <c r="C55" t="b">
        <v>1</v>
      </c>
      <c r="D55">
        <v>8144</v>
      </c>
      <c r="E55">
        <v>8080</v>
      </c>
      <c r="F55">
        <v>296.53332999999998</v>
      </c>
      <c r="G55">
        <v>188.46665999999999</v>
      </c>
      <c r="H55">
        <v>1.5733994</v>
      </c>
      <c r="I55">
        <v>-0.57339936000000002</v>
      </c>
      <c r="J55">
        <v>0.38859104999999999</v>
      </c>
    </row>
    <row r="56" spans="1:10" x14ac:dyDescent="0.3">
      <c r="A56">
        <v>54</v>
      </c>
      <c r="B56">
        <v>1010</v>
      </c>
      <c r="C56" t="b">
        <v>1</v>
      </c>
      <c r="D56">
        <v>8128</v>
      </c>
      <c r="E56">
        <v>8088</v>
      </c>
      <c r="F56">
        <v>297.60000000000002</v>
      </c>
      <c r="G56">
        <v>186.86667</v>
      </c>
      <c r="H56">
        <v>1.5925794</v>
      </c>
      <c r="I56">
        <v>-0.59257936</v>
      </c>
      <c r="J56">
        <v>0.38571625999999998</v>
      </c>
    </row>
    <row r="57" spans="1:10" x14ac:dyDescent="0.3">
      <c r="A57">
        <v>55</v>
      </c>
      <c r="B57">
        <v>1042</v>
      </c>
      <c r="C57" t="b">
        <v>1</v>
      </c>
      <c r="D57">
        <v>8144</v>
      </c>
      <c r="E57">
        <v>8112</v>
      </c>
      <c r="F57">
        <v>298.66665999999998</v>
      </c>
      <c r="G57">
        <v>185.26666</v>
      </c>
      <c r="H57">
        <v>1.6120907</v>
      </c>
      <c r="I57">
        <v>-0.61209064999999996</v>
      </c>
      <c r="J57">
        <v>0.38283509999999998</v>
      </c>
    </row>
    <row r="58" spans="1:10" x14ac:dyDescent="0.3">
      <c r="A58">
        <v>56</v>
      </c>
      <c r="B58">
        <v>1074</v>
      </c>
      <c r="C58" t="b">
        <v>1</v>
      </c>
      <c r="D58">
        <v>8112</v>
      </c>
      <c r="E58">
        <v>8112</v>
      </c>
      <c r="F58">
        <v>299.73334</v>
      </c>
      <c r="G58">
        <v>185.8</v>
      </c>
      <c r="H58">
        <v>1.6132040999999999</v>
      </c>
      <c r="I58">
        <v>-0.61320419999999998</v>
      </c>
      <c r="J58">
        <v>0.38267198000000002</v>
      </c>
    </row>
    <row r="59" spans="1:10" x14ac:dyDescent="0.3">
      <c r="A59">
        <v>57</v>
      </c>
      <c r="B59">
        <v>1105</v>
      </c>
      <c r="C59" t="b">
        <v>1</v>
      </c>
      <c r="D59">
        <v>8104</v>
      </c>
      <c r="E59">
        <v>8152</v>
      </c>
      <c r="F59">
        <v>299.73334</v>
      </c>
      <c r="G59">
        <v>186.33332999999999</v>
      </c>
      <c r="H59">
        <v>1.6085868000000001</v>
      </c>
      <c r="I59">
        <v>-0.60858685000000001</v>
      </c>
      <c r="J59">
        <v>0.38334932999999999</v>
      </c>
    </row>
    <row r="60" spans="1:10" x14ac:dyDescent="0.3">
      <c r="A60">
        <v>58</v>
      </c>
      <c r="B60">
        <v>1121</v>
      </c>
      <c r="C60" t="b">
        <v>1</v>
      </c>
      <c r="D60">
        <v>8168</v>
      </c>
      <c r="E60">
        <v>8144</v>
      </c>
      <c r="F60">
        <v>299.73334</v>
      </c>
      <c r="G60">
        <v>186.86667</v>
      </c>
      <c r="H60">
        <v>1.6039957</v>
      </c>
      <c r="I60">
        <v>-0.60399574</v>
      </c>
      <c r="J60">
        <v>0.38402522</v>
      </c>
    </row>
    <row r="61" spans="1:10" x14ac:dyDescent="0.3">
      <c r="A61">
        <v>59</v>
      </c>
      <c r="B61">
        <v>1137</v>
      </c>
      <c r="C61" t="b">
        <v>1</v>
      </c>
      <c r="D61">
        <v>8168</v>
      </c>
      <c r="E61">
        <v>8104</v>
      </c>
      <c r="F61">
        <v>300.8</v>
      </c>
      <c r="G61">
        <v>187.4</v>
      </c>
      <c r="H61">
        <v>1.6051226999999999</v>
      </c>
      <c r="I61">
        <v>-0.60512275000000004</v>
      </c>
      <c r="J61">
        <v>0.38385907000000002</v>
      </c>
    </row>
    <row r="62" spans="1:10" x14ac:dyDescent="0.3">
      <c r="A62">
        <v>60</v>
      </c>
      <c r="B62">
        <v>1152</v>
      </c>
      <c r="C62" t="b">
        <v>1</v>
      </c>
      <c r="D62">
        <v>8088</v>
      </c>
      <c r="E62">
        <v>8128</v>
      </c>
      <c r="F62">
        <v>299.73334</v>
      </c>
      <c r="G62">
        <v>189.53334000000001</v>
      </c>
      <c r="H62">
        <v>1.5814280000000001</v>
      </c>
      <c r="I62">
        <v>-0.58142804999999997</v>
      </c>
      <c r="J62">
        <v>0.38738250000000002</v>
      </c>
    </row>
    <row r="63" spans="1:10" x14ac:dyDescent="0.3">
      <c r="A63">
        <v>61</v>
      </c>
      <c r="B63">
        <v>1170</v>
      </c>
      <c r="C63" t="b">
        <v>1</v>
      </c>
      <c r="D63">
        <v>8088</v>
      </c>
      <c r="E63">
        <v>8096</v>
      </c>
      <c r="F63">
        <v>297.06668000000002</v>
      </c>
      <c r="G63">
        <v>191.13333</v>
      </c>
      <c r="H63">
        <v>1.554238</v>
      </c>
      <c r="I63">
        <v>-0.55423796000000003</v>
      </c>
      <c r="J63">
        <v>0.39150620000000003</v>
      </c>
    </row>
    <row r="64" spans="1:10" x14ac:dyDescent="0.3">
      <c r="A64">
        <v>62</v>
      </c>
      <c r="B64">
        <v>1203</v>
      </c>
      <c r="C64" t="b">
        <v>1</v>
      </c>
      <c r="D64">
        <v>8152</v>
      </c>
      <c r="E64">
        <v>8120</v>
      </c>
      <c r="F64">
        <v>297.60000000000002</v>
      </c>
      <c r="G64">
        <v>192.2</v>
      </c>
      <c r="H64">
        <v>1.5483872000000001</v>
      </c>
      <c r="I64">
        <v>-0.54838717000000003</v>
      </c>
      <c r="J64">
        <v>0.39240506000000003</v>
      </c>
    </row>
    <row r="65" spans="1:10" x14ac:dyDescent="0.3">
      <c r="A65">
        <v>63</v>
      </c>
      <c r="B65">
        <v>1235</v>
      </c>
      <c r="C65" t="b">
        <v>1</v>
      </c>
      <c r="D65">
        <v>8152</v>
      </c>
      <c r="E65">
        <v>8120</v>
      </c>
      <c r="F65">
        <v>298.13333</v>
      </c>
      <c r="G65">
        <v>193.26666</v>
      </c>
      <c r="H65">
        <v>1.5426009000000001</v>
      </c>
      <c r="I65">
        <v>-0.54260090000000005</v>
      </c>
      <c r="J65">
        <v>0.39329806</v>
      </c>
    </row>
    <row r="66" spans="1:10" x14ac:dyDescent="0.3">
      <c r="A66">
        <v>64</v>
      </c>
      <c r="B66">
        <v>1266</v>
      </c>
      <c r="C66" t="b">
        <v>1</v>
      </c>
      <c r="D66">
        <v>8064</v>
      </c>
      <c r="E66">
        <v>8128</v>
      </c>
      <c r="F66">
        <v>294.39999999999998</v>
      </c>
      <c r="G66">
        <v>194.33332999999999</v>
      </c>
      <c r="H66">
        <v>1.5149229</v>
      </c>
      <c r="I66">
        <v>-0.51492280000000001</v>
      </c>
      <c r="J66">
        <v>0.39762649999999999</v>
      </c>
    </row>
    <row r="67" spans="1:10" x14ac:dyDescent="0.3">
      <c r="A67">
        <v>65</v>
      </c>
      <c r="B67">
        <v>1282</v>
      </c>
      <c r="C67" t="b">
        <v>1</v>
      </c>
      <c r="D67">
        <v>8160</v>
      </c>
      <c r="E67">
        <v>8072</v>
      </c>
      <c r="F67">
        <v>294.93331999999998</v>
      </c>
      <c r="G67">
        <v>195.4</v>
      </c>
      <c r="H67">
        <v>1.5093825000000001</v>
      </c>
      <c r="I67">
        <v>-0.50938240000000001</v>
      </c>
      <c r="J67">
        <v>0.39850444000000002</v>
      </c>
    </row>
    <row r="68" spans="1:10" x14ac:dyDescent="0.3">
      <c r="A68">
        <v>66</v>
      </c>
      <c r="B68">
        <v>1298</v>
      </c>
      <c r="C68" t="b">
        <v>1</v>
      </c>
      <c r="D68">
        <v>8120</v>
      </c>
      <c r="E68">
        <v>8128</v>
      </c>
      <c r="F68">
        <v>295.46667000000002</v>
      </c>
      <c r="G68">
        <v>196.46665999999999</v>
      </c>
      <c r="H68">
        <v>1.5039023</v>
      </c>
      <c r="I68">
        <v>-0.50390239999999997</v>
      </c>
      <c r="J68">
        <v>0.39937656999999999</v>
      </c>
    </row>
    <row r="69" spans="1:10" x14ac:dyDescent="0.3">
      <c r="A69">
        <v>67</v>
      </c>
      <c r="B69">
        <v>1314</v>
      </c>
      <c r="C69" t="b">
        <v>1</v>
      </c>
      <c r="D69">
        <v>8072</v>
      </c>
      <c r="E69">
        <v>8120</v>
      </c>
      <c r="F69">
        <v>293.86667</v>
      </c>
      <c r="G69">
        <v>197.53334000000001</v>
      </c>
      <c r="H69">
        <v>1.4876814</v>
      </c>
      <c r="I69">
        <v>-0.48768136000000001</v>
      </c>
      <c r="J69">
        <v>0.40198073000000001</v>
      </c>
    </row>
    <row r="70" spans="1:10" x14ac:dyDescent="0.3">
      <c r="A70">
        <v>68</v>
      </c>
      <c r="B70">
        <v>1330</v>
      </c>
      <c r="C70" t="b">
        <v>1</v>
      </c>
      <c r="D70">
        <v>8088</v>
      </c>
      <c r="E70">
        <v>8112</v>
      </c>
      <c r="F70">
        <v>290.13333</v>
      </c>
      <c r="G70">
        <v>199.66667000000001</v>
      </c>
      <c r="H70">
        <v>1.4530883999999999</v>
      </c>
      <c r="I70">
        <v>-0.45308842999999999</v>
      </c>
      <c r="J70">
        <v>0.4076494</v>
      </c>
    </row>
    <row r="71" spans="1:10" x14ac:dyDescent="0.3">
      <c r="A71">
        <v>69</v>
      </c>
      <c r="B71">
        <v>1346</v>
      </c>
      <c r="C71" t="b">
        <v>1</v>
      </c>
      <c r="D71">
        <v>8136</v>
      </c>
      <c r="E71">
        <v>8056</v>
      </c>
      <c r="F71">
        <v>288.53332999999998</v>
      </c>
      <c r="G71">
        <v>201.26666</v>
      </c>
      <c r="H71">
        <v>1.4335872999999999</v>
      </c>
      <c r="I71">
        <v>-0.43358728000000002</v>
      </c>
      <c r="J71">
        <v>0.41091602999999999</v>
      </c>
    </row>
    <row r="72" spans="1:10" x14ac:dyDescent="0.3">
      <c r="A72">
        <v>70</v>
      </c>
      <c r="B72">
        <v>1362</v>
      </c>
      <c r="C72" t="b">
        <v>1</v>
      </c>
      <c r="D72">
        <v>8136</v>
      </c>
      <c r="E72">
        <v>8112</v>
      </c>
      <c r="F72">
        <v>286.93331999999998</v>
      </c>
      <c r="G72">
        <v>202.86667</v>
      </c>
      <c r="H72">
        <v>1.4143937</v>
      </c>
      <c r="I72">
        <v>-0.41439359999999997</v>
      </c>
      <c r="J72">
        <v>0.41418265999999998</v>
      </c>
    </row>
    <row r="73" spans="1:10" x14ac:dyDescent="0.3">
      <c r="A73">
        <v>71</v>
      </c>
      <c r="B73">
        <v>1393</v>
      </c>
      <c r="C73" t="b">
        <v>1</v>
      </c>
      <c r="D73">
        <v>8136</v>
      </c>
      <c r="E73">
        <v>8120</v>
      </c>
      <c r="F73">
        <v>286.39999999999998</v>
      </c>
      <c r="G73">
        <v>202.86667</v>
      </c>
      <c r="H73">
        <v>1.4117645999999999</v>
      </c>
      <c r="I73">
        <v>-0.41176465000000001</v>
      </c>
      <c r="J73">
        <v>0.41463417000000002</v>
      </c>
    </row>
    <row r="74" spans="1:10" x14ac:dyDescent="0.3">
      <c r="A74">
        <v>72</v>
      </c>
      <c r="B74">
        <v>1409</v>
      </c>
      <c r="C74" t="b">
        <v>1</v>
      </c>
      <c r="D74">
        <v>8128</v>
      </c>
      <c r="E74">
        <v>8096</v>
      </c>
      <c r="F74">
        <v>286.93331999999998</v>
      </c>
      <c r="G74">
        <v>202.86667</v>
      </c>
      <c r="H74">
        <v>1.4143937</v>
      </c>
      <c r="I74">
        <v>-0.41439359999999997</v>
      </c>
      <c r="J74">
        <v>0.41418265999999998</v>
      </c>
    </row>
    <row r="75" spans="1:10" x14ac:dyDescent="0.3">
      <c r="A75">
        <v>73</v>
      </c>
      <c r="B75">
        <v>1424</v>
      </c>
      <c r="C75" t="b">
        <v>1</v>
      </c>
      <c r="D75">
        <v>8136</v>
      </c>
      <c r="E75">
        <v>8080</v>
      </c>
      <c r="F75">
        <v>287.46667000000002</v>
      </c>
      <c r="G75">
        <v>201.8</v>
      </c>
      <c r="H75">
        <v>1.4245127</v>
      </c>
      <c r="I75">
        <v>-0.42451274</v>
      </c>
      <c r="J75">
        <v>0.41245399999999999</v>
      </c>
    </row>
    <row r="76" spans="1:10" x14ac:dyDescent="0.3">
      <c r="A76">
        <v>74</v>
      </c>
      <c r="B76">
        <v>1441</v>
      </c>
      <c r="C76" t="b">
        <v>1</v>
      </c>
      <c r="D76">
        <v>8096</v>
      </c>
      <c r="E76">
        <v>8128</v>
      </c>
      <c r="F76">
        <v>286.93331999999998</v>
      </c>
      <c r="G76">
        <v>201.8</v>
      </c>
      <c r="H76">
        <v>1.4218698000000001</v>
      </c>
      <c r="I76">
        <v>-0.42186974999999999</v>
      </c>
      <c r="J76">
        <v>0.4129041</v>
      </c>
    </row>
    <row r="77" spans="1:10" x14ac:dyDescent="0.3">
      <c r="A77">
        <v>75</v>
      </c>
      <c r="B77">
        <v>1457</v>
      </c>
      <c r="C77" t="b">
        <v>1</v>
      </c>
      <c r="D77">
        <v>8128</v>
      </c>
      <c r="E77">
        <v>8128</v>
      </c>
      <c r="F77">
        <v>288</v>
      </c>
      <c r="G77">
        <v>201.26666</v>
      </c>
      <c r="H77">
        <v>1.4309373999999999</v>
      </c>
      <c r="I77">
        <v>-0.43093744</v>
      </c>
      <c r="J77">
        <v>0.41136392999999999</v>
      </c>
    </row>
    <row r="78" spans="1:10" x14ac:dyDescent="0.3">
      <c r="A78">
        <v>76</v>
      </c>
      <c r="B78">
        <v>1473</v>
      </c>
      <c r="C78" t="b">
        <v>1</v>
      </c>
      <c r="D78">
        <v>8144</v>
      </c>
      <c r="E78">
        <v>8128</v>
      </c>
      <c r="F78">
        <v>289.60000000000002</v>
      </c>
      <c r="G78">
        <v>201.26666</v>
      </c>
      <c r="H78">
        <v>1.4388871000000001</v>
      </c>
      <c r="I78">
        <v>-0.43888712000000002</v>
      </c>
      <c r="J78">
        <v>0.41002309999999997</v>
      </c>
    </row>
    <row r="79" spans="1:10" x14ac:dyDescent="0.3">
      <c r="A79">
        <v>77</v>
      </c>
      <c r="B79">
        <v>1504</v>
      </c>
      <c r="C79" t="b">
        <v>1</v>
      </c>
      <c r="D79">
        <v>8104</v>
      </c>
      <c r="E79">
        <v>8120</v>
      </c>
      <c r="F79">
        <v>288</v>
      </c>
      <c r="G79">
        <v>201.8</v>
      </c>
      <c r="H79">
        <v>1.4271556000000001</v>
      </c>
      <c r="I79">
        <v>-0.42715557999999998</v>
      </c>
      <c r="J79">
        <v>0.41200492</v>
      </c>
    </row>
    <row r="80" spans="1:10" x14ac:dyDescent="0.3">
      <c r="A80">
        <v>78</v>
      </c>
      <c r="B80">
        <v>1536</v>
      </c>
      <c r="C80" t="b">
        <v>1</v>
      </c>
      <c r="D80">
        <v>8136</v>
      </c>
      <c r="E80">
        <v>8152</v>
      </c>
      <c r="F80">
        <v>286.39999999999998</v>
      </c>
      <c r="G80">
        <v>202.33332999999999</v>
      </c>
      <c r="H80">
        <v>1.415486</v>
      </c>
      <c r="I80">
        <v>-0.41548600000000002</v>
      </c>
      <c r="J80">
        <v>0.41399535999999998</v>
      </c>
    </row>
    <row r="81" spans="1:10" x14ac:dyDescent="0.3">
      <c r="A81">
        <v>79</v>
      </c>
      <c r="B81">
        <v>1552</v>
      </c>
      <c r="C81" t="b">
        <v>1</v>
      </c>
      <c r="D81">
        <v>8136</v>
      </c>
      <c r="E81">
        <v>8112</v>
      </c>
      <c r="F81">
        <v>289.60000000000002</v>
      </c>
      <c r="G81">
        <v>202.86667</v>
      </c>
      <c r="H81">
        <v>1.4275386000000001</v>
      </c>
      <c r="I81">
        <v>-0.42753862999999998</v>
      </c>
      <c r="J81">
        <v>0.41193990000000003</v>
      </c>
    </row>
    <row r="82" spans="1:10" x14ac:dyDescent="0.3">
      <c r="A82">
        <v>80</v>
      </c>
      <c r="B82">
        <v>1569</v>
      </c>
      <c r="C82" t="b">
        <v>1</v>
      </c>
      <c r="D82">
        <v>8136</v>
      </c>
      <c r="E82">
        <v>8120</v>
      </c>
      <c r="F82">
        <v>288.53332999999998</v>
      </c>
      <c r="G82">
        <v>202.86667</v>
      </c>
      <c r="H82">
        <v>1.4222805999999999</v>
      </c>
      <c r="I82">
        <v>-0.42228058000000002</v>
      </c>
      <c r="J82">
        <v>0.41283407999999999</v>
      </c>
    </row>
    <row r="83" spans="1:10" x14ac:dyDescent="0.3">
      <c r="A83">
        <v>81</v>
      </c>
      <c r="B83">
        <v>1600</v>
      </c>
      <c r="C83" t="b">
        <v>1</v>
      </c>
      <c r="D83">
        <v>8168</v>
      </c>
      <c r="E83">
        <v>8112</v>
      </c>
      <c r="F83">
        <v>287.46667000000002</v>
      </c>
      <c r="G83">
        <v>202.86667</v>
      </c>
      <c r="H83">
        <v>1.4170227</v>
      </c>
      <c r="I83">
        <v>-0.41702270000000002</v>
      </c>
      <c r="J83">
        <v>0.41373214000000003</v>
      </c>
    </row>
    <row r="84" spans="1:10" x14ac:dyDescent="0.3">
      <c r="A84">
        <v>82</v>
      </c>
      <c r="B84">
        <v>1616</v>
      </c>
      <c r="C84" t="b">
        <v>1</v>
      </c>
      <c r="D84">
        <v>8112</v>
      </c>
      <c r="E84">
        <v>8080</v>
      </c>
      <c r="F84">
        <v>288.53332999999998</v>
      </c>
      <c r="G84">
        <v>202.33332999999999</v>
      </c>
      <c r="H84">
        <v>1.4260297</v>
      </c>
      <c r="I84">
        <v>-0.42602964999999998</v>
      </c>
      <c r="J84">
        <v>0.41219612999999999</v>
      </c>
    </row>
    <row r="85" spans="1:10" x14ac:dyDescent="0.3">
      <c r="A85">
        <v>83</v>
      </c>
      <c r="B85">
        <v>1632</v>
      </c>
      <c r="C85" t="b">
        <v>1</v>
      </c>
      <c r="D85">
        <v>8096</v>
      </c>
      <c r="E85">
        <v>8104</v>
      </c>
      <c r="F85">
        <v>291.73334</v>
      </c>
      <c r="G85">
        <v>201.8</v>
      </c>
      <c r="H85">
        <v>1.4456557000000001</v>
      </c>
      <c r="I85">
        <v>-0.44565576000000001</v>
      </c>
      <c r="J85">
        <v>0.40888829999999998</v>
      </c>
    </row>
    <row r="86" spans="1:10" x14ac:dyDescent="0.3">
      <c r="A86">
        <v>84</v>
      </c>
      <c r="B86">
        <v>1648</v>
      </c>
      <c r="C86" t="b">
        <v>1</v>
      </c>
      <c r="D86">
        <v>8088</v>
      </c>
      <c r="E86">
        <v>8128</v>
      </c>
      <c r="F86">
        <v>291.2</v>
      </c>
      <c r="G86">
        <v>201.8</v>
      </c>
      <c r="H86">
        <v>1.4430130000000001</v>
      </c>
      <c r="I86">
        <v>-0.44301291999999998</v>
      </c>
      <c r="J86">
        <v>0.40933064000000002</v>
      </c>
    </row>
    <row r="87" spans="1:10" x14ac:dyDescent="0.3">
      <c r="A87">
        <v>85</v>
      </c>
      <c r="B87">
        <v>1664</v>
      </c>
      <c r="C87" t="b">
        <v>1</v>
      </c>
      <c r="D87">
        <v>8168</v>
      </c>
      <c r="E87">
        <v>8104</v>
      </c>
      <c r="F87">
        <v>290.66665999999998</v>
      </c>
      <c r="G87">
        <v>201.26666</v>
      </c>
      <c r="H87">
        <v>1.4441868</v>
      </c>
      <c r="I87">
        <v>-0.44418679999999999</v>
      </c>
      <c r="J87">
        <v>0.40913402999999998</v>
      </c>
    </row>
    <row r="88" spans="1:10" x14ac:dyDescent="0.3">
      <c r="A88">
        <v>86</v>
      </c>
      <c r="B88">
        <v>1680</v>
      </c>
      <c r="C88" t="b">
        <v>1</v>
      </c>
      <c r="D88">
        <v>8112</v>
      </c>
      <c r="E88">
        <v>8128</v>
      </c>
      <c r="F88">
        <v>289.06668000000002</v>
      </c>
      <c r="G88">
        <v>200.73334</v>
      </c>
      <c r="H88">
        <v>1.4400531999999999</v>
      </c>
      <c r="I88">
        <v>-0.44005319999999998</v>
      </c>
      <c r="J88">
        <v>0.40982713999999998</v>
      </c>
    </row>
    <row r="89" spans="1:10" x14ac:dyDescent="0.3">
      <c r="A89">
        <v>87</v>
      </c>
      <c r="B89">
        <v>1695</v>
      </c>
      <c r="C89" t="b">
        <v>1</v>
      </c>
      <c r="D89">
        <v>8104</v>
      </c>
      <c r="E89">
        <v>8112</v>
      </c>
      <c r="F89">
        <v>286.93331999999998</v>
      </c>
      <c r="G89">
        <v>200.73334</v>
      </c>
      <c r="H89">
        <v>1.4294254</v>
      </c>
      <c r="I89">
        <v>-0.42942532999999999</v>
      </c>
      <c r="J89">
        <v>0.41161996000000001</v>
      </c>
    </row>
    <row r="90" spans="1:10" x14ac:dyDescent="0.3">
      <c r="A90">
        <v>88</v>
      </c>
      <c r="B90">
        <v>1712</v>
      </c>
      <c r="C90" t="b">
        <v>1</v>
      </c>
      <c r="D90">
        <v>8128</v>
      </c>
      <c r="E90">
        <v>8088</v>
      </c>
      <c r="F90">
        <v>285.33334000000002</v>
      </c>
      <c r="G90">
        <v>201.8</v>
      </c>
      <c r="H90">
        <v>1.4139413000000001</v>
      </c>
      <c r="I90">
        <v>-0.41394122999999999</v>
      </c>
      <c r="J90">
        <v>0.41426026999999999</v>
      </c>
    </row>
    <row r="91" spans="1:10" x14ac:dyDescent="0.3">
      <c r="A91">
        <v>89</v>
      </c>
      <c r="B91">
        <v>1727</v>
      </c>
      <c r="C91" t="b">
        <v>1</v>
      </c>
      <c r="D91">
        <v>8192</v>
      </c>
      <c r="E91">
        <v>8088</v>
      </c>
      <c r="F91">
        <v>284.8</v>
      </c>
      <c r="G91">
        <v>201.26666</v>
      </c>
      <c r="H91">
        <v>1.4150381000000001</v>
      </c>
      <c r="I91">
        <v>-0.41503804999999999</v>
      </c>
      <c r="J91">
        <v>0.41407216000000002</v>
      </c>
    </row>
    <row r="92" spans="1:10" x14ac:dyDescent="0.3">
      <c r="A92">
        <v>90</v>
      </c>
      <c r="B92">
        <v>1743</v>
      </c>
      <c r="C92" t="b">
        <v>1</v>
      </c>
      <c r="D92">
        <v>8136</v>
      </c>
      <c r="E92">
        <v>8088</v>
      </c>
      <c r="F92">
        <v>284.8</v>
      </c>
      <c r="G92">
        <v>199.13333</v>
      </c>
      <c r="H92">
        <v>1.4301975</v>
      </c>
      <c r="I92">
        <v>-0.43019748000000002</v>
      </c>
      <c r="J92">
        <v>0.4114892</v>
      </c>
    </row>
    <row r="93" spans="1:10" x14ac:dyDescent="0.3">
      <c r="A93">
        <v>91</v>
      </c>
      <c r="B93">
        <v>1759</v>
      </c>
      <c r="C93" t="b">
        <v>1</v>
      </c>
      <c r="D93">
        <v>8112</v>
      </c>
      <c r="E93">
        <v>8096</v>
      </c>
      <c r="F93">
        <v>284.8</v>
      </c>
      <c r="G93">
        <v>196.46665999999999</v>
      </c>
      <c r="H93">
        <v>1.4496097999999999</v>
      </c>
      <c r="I93">
        <v>-0.44960976000000002</v>
      </c>
      <c r="J93">
        <v>0.40822828</v>
      </c>
    </row>
    <row r="94" spans="1:10" x14ac:dyDescent="0.3">
      <c r="A94">
        <v>92</v>
      </c>
      <c r="B94">
        <v>1791</v>
      </c>
      <c r="C94" t="b">
        <v>1</v>
      </c>
      <c r="D94">
        <v>8128</v>
      </c>
      <c r="E94">
        <v>8080</v>
      </c>
      <c r="F94">
        <v>284.8</v>
      </c>
      <c r="G94">
        <v>193.8</v>
      </c>
      <c r="H94">
        <v>1.4695562</v>
      </c>
      <c r="I94">
        <v>-0.46955615000000001</v>
      </c>
      <c r="J94">
        <v>0.40493107</v>
      </c>
    </row>
    <row r="95" spans="1:10" x14ac:dyDescent="0.3">
      <c r="A95">
        <v>93</v>
      </c>
      <c r="B95">
        <v>1807</v>
      </c>
      <c r="C95" t="b">
        <v>1</v>
      </c>
      <c r="D95">
        <v>8152</v>
      </c>
      <c r="E95">
        <v>8104</v>
      </c>
      <c r="F95">
        <v>285.33334000000002</v>
      </c>
      <c r="G95">
        <v>191.13333</v>
      </c>
      <c r="H95">
        <v>1.4928497000000001</v>
      </c>
      <c r="I95">
        <v>-0.49284973999999998</v>
      </c>
      <c r="J95">
        <v>0.40114734000000002</v>
      </c>
    </row>
    <row r="96" spans="1:10" x14ac:dyDescent="0.3">
      <c r="A96">
        <v>94</v>
      </c>
      <c r="B96">
        <v>1838</v>
      </c>
      <c r="C96" t="b">
        <v>1</v>
      </c>
      <c r="D96">
        <v>8120</v>
      </c>
      <c r="E96">
        <v>8112</v>
      </c>
      <c r="F96">
        <v>284.8</v>
      </c>
      <c r="G96">
        <v>189</v>
      </c>
      <c r="H96">
        <v>1.5068782999999999</v>
      </c>
      <c r="I96">
        <v>-0.50687826000000002</v>
      </c>
      <c r="J96">
        <v>0.39890249999999999</v>
      </c>
    </row>
    <row r="97" spans="1:10" x14ac:dyDescent="0.3">
      <c r="A97">
        <v>95</v>
      </c>
      <c r="B97">
        <v>1854</v>
      </c>
      <c r="C97" t="b">
        <v>1</v>
      </c>
      <c r="D97">
        <v>8088</v>
      </c>
      <c r="E97">
        <v>8112</v>
      </c>
      <c r="F97">
        <v>283.73334</v>
      </c>
      <c r="G97">
        <v>187.93333000000001</v>
      </c>
      <c r="H97">
        <v>1.5097552999999999</v>
      </c>
      <c r="I97">
        <v>-0.50975524999999999</v>
      </c>
      <c r="J97">
        <v>0.39844521999999999</v>
      </c>
    </row>
    <row r="98" spans="1:10" x14ac:dyDescent="0.3">
      <c r="A98">
        <v>96</v>
      </c>
      <c r="B98">
        <v>1870</v>
      </c>
      <c r="C98" t="b">
        <v>1</v>
      </c>
      <c r="D98">
        <v>8104</v>
      </c>
      <c r="E98">
        <v>8088</v>
      </c>
      <c r="F98">
        <v>282.66665999999998</v>
      </c>
      <c r="G98">
        <v>186.86667</v>
      </c>
      <c r="H98">
        <v>1.5126649000000001</v>
      </c>
      <c r="I98">
        <v>-0.51266489999999998</v>
      </c>
      <c r="J98">
        <v>0.39798381999999999</v>
      </c>
    </row>
    <row r="99" spans="1:10" x14ac:dyDescent="0.3">
      <c r="A99">
        <v>97</v>
      </c>
      <c r="B99">
        <v>1886</v>
      </c>
      <c r="C99" t="b">
        <v>1</v>
      </c>
      <c r="D99">
        <v>8152</v>
      </c>
      <c r="E99">
        <v>8096</v>
      </c>
      <c r="F99">
        <v>281.60000000000002</v>
      </c>
      <c r="G99">
        <v>186.33332999999999</v>
      </c>
      <c r="H99">
        <v>1.5112702</v>
      </c>
      <c r="I99">
        <v>-0.51127020000000001</v>
      </c>
      <c r="J99">
        <v>0.39820483000000001</v>
      </c>
    </row>
    <row r="100" spans="1:10" x14ac:dyDescent="0.3">
      <c r="A100">
        <v>98</v>
      </c>
      <c r="B100">
        <v>1902</v>
      </c>
      <c r="C100" t="b">
        <v>1</v>
      </c>
      <c r="D100">
        <v>8144</v>
      </c>
      <c r="E100">
        <v>8120</v>
      </c>
      <c r="F100">
        <v>280.53332999999998</v>
      </c>
      <c r="G100">
        <v>186.33332999999999</v>
      </c>
      <c r="H100">
        <v>1.5055456</v>
      </c>
      <c r="I100">
        <v>-0.50554560000000004</v>
      </c>
      <c r="J100">
        <v>0.39911467</v>
      </c>
    </row>
    <row r="101" spans="1:10" x14ac:dyDescent="0.3">
      <c r="A101">
        <v>99</v>
      </c>
      <c r="B101">
        <v>1934</v>
      </c>
      <c r="C101" t="b">
        <v>1</v>
      </c>
      <c r="D101">
        <v>8112</v>
      </c>
      <c r="E101">
        <v>8120</v>
      </c>
      <c r="F101">
        <v>280.53332999999998</v>
      </c>
      <c r="G101">
        <v>186.33332999999999</v>
      </c>
      <c r="H101">
        <v>1.5055456</v>
      </c>
      <c r="I101">
        <v>-0.50554560000000004</v>
      </c>
      <c r="J101">
        <v>0.39911467</v>
      </c>
    </row>
    <row r="102" spans="1:10" x14ac:dyDescent="0.3">
      <c r="A102">
        <v>100</v>
      </c>
      <c r="B102">
        <v>1965</v>
      </c>
      <c r="C102" t="b">
        <v>1</v>
      </c>
      <c r="D102">
        <v>8120</v>
      </c>
      <c r="E102">
        <v>8072</v>
      </c>
      <c r="F102">
        <v>281.06668000000002</v>
      </c>
      <c r="G102">
        <v>185.8</v>
      </c>
      <c r="H102">
        <v>1.5127378</v>
      </c>
      <c r="I102">
        <v>-0.51273774999999999</v>
      </c>
      <c r="J102">
        <v>0.3979723</v>
      </c>
    </row>
    <row r="103" spans="1:10" x14ac:dyDescent="0.3">
      <c r="A103">
        <v>101</v>
      </c>
      <c r="B103">
        <v>1981</v>
      </c>
      <c r="C103" t="b">
        <v>1</v>
      </c>
      <c r="D103">
        <v>8152</v>
      </c>
      <c r="E103">
        <v>8104</v>
      </c>
      <c r="F103">
        <v>283.2</v>
      </c>
      <c r="G103">
        <v>185.8</v>
      </c>
      <c r="H103">
        <v>1.5242195999999999</v>
      </c>
      <c r="I103">
        <v>-0.52421963000000005</v>
      </c>
      <c r="J103">
        <v>0.39616205999999998</v>
      </c>
    </row>
    <row r="104" spans="1:10" x14ac:dyDescent="0.3">
      <c r="A104">
        <v>102</v>
      </c>
      <c r="B104">
        <v>1997</v>
      </c>
      <c r="C104" t="b">
        <v>1</v>
      </c>
      <c r="D104">
        <v>8128</v>
      </c>
      <c r="E104">
        <v>8112</v>
      </c>
      <c r="F104">
        <v>284.8</v>
      </c>
      <c r="G104">
        <v>185.8</v>
      </c>
      <c r="H104">
        <v>1.5328310000000001</v>
      </c>
      <c r="I104">
        <v>-0.5328309</v>
      </c>
      <c r="J104">
        <v>0.39481515</v>
      </c>
    </row>
    <row r="105" spans="1:10" x14ac:dyDescent="0.3">
      <c r="A105">
        <v>103</v>
      </c>
      <c r="B105">
        <v>2013</v>
      </c>
      <c r="C105" t="b">
        <v>1</v>
      </c>
      <c r="D105">
        <v>8128</v>
      </c>
      <c r="E105">
        <v>8088</v>
      </c>
      <c r="F105">
        <v>285.86667</v>
      </c>
      <c r="G105">
        <v>185.26666</v>
      </c>
      <c r="H105">
        <v>1.5430012</v>
      </c>
      <c r="I105">
        <v>-0.54300110000000001</v>
      </c>
      <c r="J105">
        <v>0.39323616</v>
      </c>
    </row>
    <row r="106" spans="1:10" x14ac:dyDescent="0.3">
      <c r="A106">
        <v>104</v>
      </c>
      <c r="B106">
        <v>2029</v>
      </c>
      <c r="C106" t="b">
        <v>1</v>
      </c>
      <c r="D106">
        <v>8144</v>
      </c>
      <c r="E106">
        <v>8104</v>
      </c>
      <c r="F106">
        <v>285.86667</v>
      </c>
      <c r="G106">
        <v>185.26666</v>
      </c>
      <c r="H106">
        <v>1.5430012</v>
      </c>
      <c r="I106">
        <v>-0.54300110000000001</v>
      </c>
      <c r="J106">
        <v>0.39323616</v>
      </c>
    </row>
    <row r="107" spans="1:10" x14ac:dyDescent="0.3">
      <c r="A107">
        <v>105</v>
      </c>
      <c r="B107">
        <v>2045</v>
      </c>
      <c r="C107" t="b">
        <v>1</v>
      </c>
      <c r="D107">
        <v>8144</v>
      </c>
      <c r="E107">
        <v>8120</v>
      </c>
      <c r="F107">
        <v>286.93331999999998</v>
      </c>
      <c r="G107">
        <v>186.33332999999999</v>
      </c>
      <c r="H107">
        <v>1.5398927</v>
      </c>
      <c r="I107">
        <v>-0.53989259999999994</v>
      </c>
      <c r="J107">
        <v>0.3937174</v>
      </c>
    </row>
    <row r="108" spans="1:10" x14ac:dyDescent="0.3">
      <c r="A108">
        <v>106</v>
      </c>
      <c r="B108">
        <v>2060</v>
      </c>
      <c r="C108" t="b">
        <v>1</v>
      </c>
      <c r="D108">
        <v>8152</v>
      </c>
      <c r="E108">
        <v>8120</v>
      </c>
      <c r="F108">
        <v>288</v>
      </c>
      <c r="G108">
        <v>187.93333000000001</v>
      </c>
      <c r="H108">
        <v>1.5324583000000001</v>
      </c>
      <c r="I108">
        <v>-0.53245830000000005</v>
      </c>
      <c r="J108">
        <v>0.39487323000000002</v>
      </c>
    </row>
    <row r="109" spans="1:10" x14ac:dyDescent="0.3">
      <c r="A109">
        <v>107</v>
      </c>
      <c r="B109">
        <v>2076</v>
      </c>
      <c r="C109" t="b">
        <v>1</v>
      </c>
      <c r="D109">
        <v>8144</v>
      </c>
      <c r="E109">
        <v>8104</v>
      </c>
      <c r="F109">
        <v>289.06668000000002</v>
      </c>
      <c r="G109">
        <v>189</v>
      </c>
      <c r="H109">
        <v>1.5294534</v>
      </c>
      <c r="I109">
        <v>-0.52945333999999999</v>
      </c>
      <c r="J109">
        <v>0.39534235000000001</v>
      </c>
    </row>
    <row r="110" spans="1:10" x14ac:dyDescent="0.3">
      <c r="A110">
        <v>108</v>
      </c>
      <c r="B110">
        <v>2092</v>
      </c>
      <c r="C110" t="b">
        <v>1</v>
      </c>
      <c r="D110">
        <v>8104</v>
      </c>
      <c r="E110">
        <v>8104</v>
      </c>
      <c r="F110">
        <v>289.60000000000002</v>
      </c>
      <c r="G110">
        <v>190.06666999999999</v>
      </c>
      <c r="H110">
        <v>1.5236759</v>
      </c>
      <c r="I110">
        <v>-0.52367589999999997</v>
      </c>
      <c r="J110">
        <v>0.39624740000000003</v>
      </c>
    </row>
    <row r="111" spans="1:10" x14ac:dyDescent="0.3">
      <c r="A111">
        <v>109</v>
      </c>
      <c r="B111">
        <v>2107</v>
      </c>
      <c r="C111" t="b">
        <v>1</v>
      </c>
      <c r="D111">
        <v>8136</v>
      </c>
      <c r="E111">
        <v>8104</v>
      </c>
      <c r="F111">
        <v>290.66665999999998</v>
      </c>
      <c r="G111">
        <v>190.6</v>
      </c>
      <c r="H111">
        <v>1.5250087000000001</v>
      </c>
      <c r="I111">
        <v>-0.52500860000000005</v>
      </c>
      <c r="J111">
        <v>0.39603822999999999</v>
      </c>
    </row>
    <row r="112" spans="1:10" x14ac:dyDescent="0.3">
      <c r="A112">
        <v>110</v>
      </c>
      <c r="B112">
        <v>2123</v>
      </c>
      <c r="C112" t="b">
        <v>1</v>
      </c>
      <c r="D112">
        <v>8168</v>
      </c>
      <c r="E112">
        <v>8128</v>
      </c>
      <c r="F112">
        <v>292.26666</v>
      </c>
      <c r="G112">
        <v>190.6</v>
      </c>
      <c r="H112">
        <v>1.5334032</v>
      </c>
      <c r="I112">
        <v>-0.53340319999999997</v>
      </c>
      <c r="J112">
        <v>0.39472594999999999</v>
      </c>
    </row>
    <row r="113" spans="1:10" x14ac:dyDescent="0.3">
      <c r="A113">
        <v>111</v>
      </c>
      <c r="B113">
        <v>2139</v>
      </c>
      <c r="C113" t="b">
        <v>1</v>
      </c>
      <c r="D113">
        <v>8112</v>
      </c>
      <c r="E113">
        <v>8136</v>
      </c>
      <c r="F113">
        <v>293.33334000000002</v>
      </c>
      <c r="G113">
        <v>190.6</v>
      </c>
      <c r="H113">
        <v>1.5389997</v>
      </c>
      <c r="I113">
        <v>-0.53899969999999997</v>
      </c>
      <c r="J113">
        <v>0.39385589999999998</v>
      </c>
    </row>
    <row r="114" spans="1:10" x14ac:dyDescent="0.3">
      <c r="A114">
        <v>112</v>
      </c>
      <c r="B114">
        <v>2155</v>
      </c>
      <c r="C114" t="b">
        <v>1</v>
      </c>
      <c r="D114">
        <v>8128</v>
      </c>
      <c r="E114">
        <v>8072</v>
      </c>
      <c r="F114">
        <v>293.86667</v>
      </c>
      <c r="G114">
        <v>190.6</v>
      </c>
      <c r="H114">
        <v>1.5417978000000001</v>
      </c>
      <c r="I114">
        <v>-0.5417978</v>
      </c>
      <c r="J114">
        <v>0.39342233999999998</v>
      </c>
    </row>
    <row r="115" spans="1:10" x14ac:dyDescent="0.3">
      <c r="A115">
        <v>113</v>
      </c>
      <c r="B115">
        <v>2186</v>
      </c>
      <c r="C115" t="b">
        <v>1</v>
      </c>
      <c r="D115">
        <v>8088</v>
      </c>
      <c r="E115">
        <v>8104</v>
      </c>
      <c r="F115">
        <v>294.39999999999998</v>
      </c>
      <c r="G115">
        <v>190.06666999999999</v>
      </c>
      <c r="H115">
        <v>1.5489302</v>
      </c>
      <c r="I115">
        <v>-0.54893017</v>
      </c>
      <c r="J115">
        <v>0.39232144000000002</v>
      </c>
    </row>
    <row r="116" spans="1:10" x14ac:dyDescent="0.3">
      <c r="A116">
        <v>114</v>
      </c>
      <c r="B116">
        <v>2218</v>
      </c>
      <c r="C116" t="b">
        <v>1</v>
      </c>
      <c r="D116">
        <v>8168</v>
      </c>
      <c r="E116">
        <v>8104</v>
      </c>
      <c r="F116">
        <v>295.46667000000002</v>
      </c>
      <c r="G116">
        <v>189.53334000000001</v>
      </c>
      <c r="H116">
        <v>1.5589166000000001</v>
      </c>
      <c r="I116">
        <v>-0.55891659999999999</v>
      </c>
      <c r="J116">
        <v>0.39079039999999998</v>
      </c>
    </row>
    <row r="117" spans="1:10" x14ac:dyDescent="0.3">
      <c r="A117">
        <v>115</v>
      </c>
      <c r="B117">
        <v>2234</v>
      </c>
      <c r="C117" t="b">
        <v>1</v>
      </c>
      <c r="D117">
        <v>8168</v>
      </c>
      <c r="E117">
        <v>8080</v>
      </c>
      <c r="F117">
        <v>296</v>
      </c>
      <c r="G117">
        <v>190.06666999999999</v>
      </c>
      <c r="H117">
        <v>1.5573482999999999</v>
      </c>
      <c r="I117">
        <v>-0.55734830000000002</v>
      </c>
      <c r="J117">
        <v>0.39103004000000002</v>
      </c>
    </row>
    <row r="118" spans="1:10" x14ac:dyDescent="0.3">
      <c r="A118">
        <v>116</v>
      </c>
      <c r="B118">
        <v>2266</v>
      </c>
      <c r="C118" t="b">
        <v>1</v>
      </c>
      <c r="D118">
        <v>8144</v>
      </c>
      <c r="E118">
        <v>8080</v>
      </c>
      <c r="F118">
        <v>296</v>
      </c>
      <c r="G118">
        <v>188.46665999999999</v>
      </c>
      <c r="H118">
        <v>1.5705695</v>
      </c>
      <c r="I118">
        <v>-0.57056960000000001</v>
      </c>
      <c r="J118">
        <v>0.38901882999999998</v>
      </c>
    </row>
    <row r="119" spans="1:10" x14ac:dyDescent="0.3">
      <c r="A119">
        <v>117</v>
      </c>
      <c r="B119">
        <v>2282</v>
      </c>
      <c r="C119" t="b">
        <v>1</v>
      </c>
      <c r="D119">
        <v>8136</v>
      </c>
      <c r="E119">
        <v>8136</v>
      </c>
      <c r="F119">
        <v>297.06668000000002</v>
      </c>
      <c r="G119">
        <v>187.93333000000001</v>
      </c>
      <c r="H119">
        <v>1.5807024000000001</v>
      </c>
      <c r="I119">
        <v>-0.58070239999999995</v>
      </c>
      <c r="J119">
        <v>0.38749139999999999</v>
      </c>
    </row>
    <row r="120" spans="1:10" x14ac:dyDescent="0.3">
      <c r="A120">
        <v>118</v>
      </c>
      <c r="B120">
        <v>2298</v>
      </c>
      <c r="C120" t="b">
        <v>1</v>
      </c>
      <c r="D120">
        <v>8152</v>
      </c>
      <c r="E120">
        <v>8120</v>
      </c>
      <c r="F120">
        <v>298.66665999999998</v>
      </c>
      <c r="G120">
        <v>187.93333000000001</v>
      </c>
      <c r="H120">
        <v>1.589216</v>
      </c>
      <c r="I120">
        <v>-0.58921599999999996</v>
      </c>
      <c r="J120">
        <v>0.38621733000000003</v>
      </c>
    </row>
    <row r="121" spans="1:10" x14ac:dyDescent="0.3">
      <c r="A121">
        <v>119</v>
      </c>
      <c r="B121">
        <v>2314</v>
      </c>
      <c r="C121" t="b">
        <v>1</v>
      </c>
      <c r="D121">
        <v>8112</v>
      </c>
      <c r="E121">
        <v>8120</v>
      </c>
      <c r="F121">
        <v>299.73334</v>
      </c>
      <c r="G121">
        <v>189</v>
      </c>
      <c r="H121">
        <v>1.5858907</v>
      </c>
      <c r="I121">
        <v>-0.58589064999999996</v>
      </c>
      <c r="J121">
        <v>0.38671394999999997</v>
      </c>
    </row>
    <row r="122" spans="1:10" x14ac:dyDescent="0.3">
      <c r="A122">
        <v>120</v>
      </c>
      <c r="B122">
        <v>2330</v>
      </c>
      <c r="C122" t="b">
        <v>1</v>
      </c>
      <c r="D122">
        <v>8168</v>
      </c>
      <c r="E122">
        <v>8112</v>
      </c>
      <c r="F122">
        <v>299.73334</v>
      </c>
      <c r="G122">
        <v>190.06666999999999</v>
      </c>
      <c r="H122">
        <v>1.5769906</v>
      </c>
      <c r="I122">
        <v>-0.57699054000000005</v>
      </c>
      <c r="J122">
        <v>0.38804954000000003</v>
      </c>
    </row>
    <row r="123" spans="1:10" x14ac:dyDescent="0.3">
      <c r="A123">
        <v>121</v>
      </c>
      <c r="B123">
        <v>2345</v>
      </c>
      <c r="C123" t="b">
        <v>1</v>
      </c>
      <c r="D123">
        <v>8088</v>
      </c>
      <c r="E123">
        <v>8080</v>
      </c>
      <c r="F123">
        <v>299.2</v>
      </c>
      <c r="G123">
        <v>190.6</v>
      </c>
      <c r="H123">
        <v>1.5697795999999999</v>
      </c>
      <c r="I123">
        <v>-0.56977962999999998</v>
      </c>
      <c r="J123">
        <v>0.38913842999999998</v>
      </c>
    </row>
    <row r="124" spans="1:10" x14ac:dyDescent="0.3">
      <c r="A124">
        <v>122</v>
      </c>
      <c r="B124">
        <v>2361</v>
      </c>
      <c r="C124" t="b">
        <v>1</v>
      </c>
      <c r="D124">
        <v>8104</v>
      </c>
      <c r="E124">
        <v>8088</v>
      </c>
      <c r="F124">
        <v>297.06668000000002</v>
      </c>
      <c r="G124">
        <v>191.13333</v>
      </c>
      <c r="H124">
        <v>1.554238</v>
      </c>
      <c r="I124">
        <v>-0.55423796000000003</v>
      </c>
      <c r="J124">
        <v>0.39150620000000003</v>
      </c>
    </row>
    <row r="125" spans="1:10" x14ac:dyDescent="0.3">
      <c r="A125">
        <v>123</v>
      </c>
      <c r="B125">
        <v>2377</v>
      </c>
      <c r="C125" t="b">
        <v>1</v>
      </c>
      <c r="D125">
        <v>8136</v>
      </c>
      <c r="E125">
        <v>8112</v>
      </c>
      <c r="F125">
        <v>294.93331999999998</v>
      </c>
      <c r="G125">
        <v>191.66667000000001</v>
      </c>
      <c r="H125">
        <v>1.5387824999999999</v>
      </c>
      <c r="I125">
        <v>-0.53878250000000005</v>
      </c>
      <c r="J125">
        <v>0.39388960000000001</v>
      </c>
    </row>
    <row r="126" spans="1:10" x14ac:dyDescent="0.3">
      <c r="A126">
        <v>124</v>
      </c>
      <c r="B126">
        <v>2393</v>
      </c>
      <c r="C126" t="b">
        <v>1</v>
      </c>
      <c r="D126">
        <v>8176</v>
      </c>
      <c r="E126">
        <v>8112</v>
      </c>
      <c r="F126">
        <v>294.39999999999998</v>
      </c>
      <c r="G126">
        <v>192.2</v>
      </c>
      <c r="H126">
        <v>1.5317377999999999</v>
      </c>
      <c r="I126">
        <v>-0.53173773999999996</v>
      </c>
      <c r="J126">
        <v>0.39498561999999998</v>
      </c>
    </row>
    <row r="127" spans="1:10" x14ac:dyDescent="0.3">
      <c r="A127">
        <v>125</v>
      </c>
      <c r="B127">
        <v>2409</v>
      </c>
      <c r="C127" t="b">
        <v>1</v>
      </c>
      <c r="D127">
        <v>8152</v>
      </c>
      <c r="E127">
        <v>8056</v>
      </c>
      <c r="F127">
        <v>293.86667</v>
      </c>
      <c r="G127">
        <v>191.13333</v>
      </c>
      <c r="H127">
        <v>1.5374956</v>
      </c>
      <c r="I127">
        <v>-0.53749570000000002</v>
      </c>
      <c r="J127">
        <v>0.39408934000000001</v>
      </c>
    </row>
    <row r="128" spans="1:10" x14ac:dyDescent="0.3">
      <c r="A128">
        <v>126</v>
      </c>
      <c r="B128">
        <v>2425</v>
      </c>
      <c r="C128" t="b">
        <v>1</v>
      </c>
      <c r="D128">
        <v>8104</v>
      </c>
      <c r="E128">
        <v>8112</v>
      </c>
      <c r="F128">
        <v>293.86667</v>
      </c>
      <c r="G128">
        <v>191.66667000000001</v>
      </c>
      <c r="H128">
        <v>1.5332173</v>
      </c>
      <c r="I128">
        <v>-0.53321739999999995</v>
      </c>
      <c r="J128">
        <v>0.39475492000000001</v>
      </c>
    </row>
    <row r="129" spans="1:10" x14ac:dyDescent="0.3">
      <c r="A129">
        <v>127</v>
      </c>
      <c r="B129">
        <v>2441</v>
      </c>
      <c r="C129" t="b">
        <v>1</v>
      </c>
      <c r="D129">
        <v>8144</v>
      </c>
      <c r="E129">
        <v>8080</v>
      </c>
      <c r="F129">
        <v>294.93331999999998</v>
      </c>
      <c r="G129">
        <v>192.2</v>
      </c>
      <c r="H129">
        <v>1.5345126</v>
      </c>
      <c r="I129">
        <v>-0.53451263999999998</v>
      </c>
      <c r="J129">
        <v>0.39455318</v>
      </c>
    </row>
    <row r="130" spans="1:10" x14ac:dyDescent="0.3">
      <c r="A130">
        <v>128</v>
      </c>
      <c r="B130">
        <v>2457</v>
      </c>
      <c r="C130" t="b">
        <v>1</v>
      </c>
      <c r="D130">
        <v>8152</v>
      </c>
      <c r="E130">
        <v>8080</v>
      </c>
      <c r="F130">
        <v>296.53332999999998</v>
      </c>
      <c r="G130">
        <v>190.6</v>
      </c>
      <c r="H130">
        <v>1.5557886000000001</v>
      </c>
      <c r="I130">
        <v>-0.55578863999999994</v>
      </c>
      <c r="J130">
        <v>0.39126866999999999</v>
      </c>
    </row>
    <row r="131" spans="1:10" x14ac:dyDescent="0.3">
      <c r="A131">
        <v>129</v>
      </c>
      <c r="B131">
        <v>2473</v>
      </c>
      <c r="C131" t="b">
        <v>1</v>
      </c>
      <c r="D131">
        <v>8152</v>
      </c>
      <c r="E131">
        <v>8104</v>
      </c>
      <c r="F131">
        <v>298.13333</v>
      </c>
      <c r="G131">
        <v>189</v>
      </c>
      <c r="H131">
        <v>1.5774250000000001</v>
      </c>
      <c r="I131">
        <v>-0.57742506000000005</v>
      </c>
      <c r="J131">
        <v>0.38798412999999998</v>
      </c>
    </row>
    <row r="132" spans="1:10" x14ac:dyDescent="0.3">
      <c r="A132">
        <v>130</v>
      </c>
      <c r="B132">
        <v>2489</v>
      </c>
      <c r="C132" t="b">
        <v>1</v>
      </c>
      <c r="D132">
        <v>8192</v>
      </c>
      <c r="E132">
        <v>8080</v>
      </c>
      <c r="F132">
        <v>299.73334</v>
      </c>
      <c r="G132">
        <v>187.4</v>
      </c>
      <c r="H132">
        <v>1.5994309</v>
      </c>
      <c r="I132">
        <v>-0.59943086000000001</v>
      </c>
      <c r="J132">
        <v>0.38469957999999999</v>
      </c>
    </row>
    <row r="133" spans="1:10" x14ac:dyDescent="0.3">
      <c r="A133">
        <v>131</v>
      </c>
      <c r="B133">
        <v>2505</v>
      </c>
      <c r="C133" t="b">
        <v>1</v>
      </c>
      <c r="D133">
        <v>8112</v>
      </c>
      <c r="E133">
        <v>8056</v>
      </c>
      <c r="F133">
        <v>300.26666</v>
      </c>
      <c r="G133">
        <v>187.4</v>
      </c>
      <c r="H133">
        <v>1.6022768000000001</v>
      </c>
      <c r="I133">
        <v>-0.60227679999999995</v>
      </c>
      <c r="J133">
        <v>0.38427886</v>
      </c>
    </row>
    <row r="134" spans="1:10" x14ac:dyDescent="0.3">
      <c r="A134">
        <v>132</v>
      </c>
      <c r="B134">
        <v>2521</v>
      </c>
      <c r="C134" t="b">
        <v>1</v>
      </c>
      <c r="D134">
        <v>8128</v>
      </c>
      <c r="E134">
        <v>8104</v>
      </c>
      <c r="F134">
        <v>300.8</v>
      </c>
      <c r="G134">
        <v>185.8</v>
      </c>
      <c r="H134">
        <v>1.6189450000000001</v>
      </c>
      <c r="I134">
        <v>-0.61894499999999997</v>
      </c>
      <c r="J134">
        <v>0.38183317</v>
      </c>
    </row>
    <row r="135" spans="1:10" x14ac:dyDescent="0.3">
      <c r="A135">
        <v>133</v>
      </c>
      <c r="B135">
        <v>2537</v>
      </c>
      <c r="C135" t="b">
        <v>1</v>
      </c>
      <c r="D135">
        <v>8088</v>
      </c>
      <c r="E135">
        <v>8080</v>
      </c>
      <c r="F135">
        <v>299.2</v>
      </c>
      <c r="G135">
        <v>184.2</v>
      </c>
      <c r="H135">
        <v>1.6243215</v>
      </c>
      <c r="I135">
        <v>-0.62432145999999999</v>
      </c>
      <c r="J135">
        <v>0.38105085</v>
      </c>
    </row>
    <row r="136" spans="1:10" x14ac:dyDescent="0.3">
      <c r="A136">
        <v>134</v>
      </c>
      <c r="B136">
        <v>2569</v>
      </c>
      <c r="C136" t="b">
        <v>1</v>
      </c>
      <c r="D136">
        <v>8144</v>
      </c>
      <c r="E136">
        <v>8104</v>
      </c>
      <c r="F136">
        <v>298.13333</v>
      </c>
      <c r="G136">
        <v>181.53334000000001</v>
      </c>
      <c r="H136">
        <v>1.6423061999999999</v>
      </c>
      <c r="I136">
        <v>-0.64230620000000005</v>
      </c>
      <c r="J136">
        <v>0.37845725000000002</v>
      </c>
    </row>
    <row r="137" spans="1:10" x14ac:dyDescent="0.3">
      <c r="A137">
        <v>135</v>
      </c>
      <c r="B137">
        <v>2600</v>
      </c>
      <c r="C137" t="b">
        <v>1</v>
      </c>
      <c r="D137">
        <v>8104</v>
      </c>
      <c r="E137">
        <v>8104</v>
      </c>
      <c r="F137">
        <v>296</v>
      </c>
      <c r="G137">
        <v>180.46665999999999</v>
      </c>
      <c r="H137">
        <v>1.6401922</v>
      </c>
      <c r="I137">
        <v>-0.64019214999999996</v>
      </c>
      <c r="J137">
        <v>0.37876029999999999</v>
      </c>
    </row>
    <row r="138" spans="1:10" x14ac:dyDescent="0.3">
      <c r="A138">
        <v>136</v>
      </c>
      <c r="B138">
        <v>2616</v>
      </c>
      <c r="C138" t="b">
        <v>1</v>
      </c>
      <c r="D138">
        <v>8096</v>
      </c>
      <c r="E138">
        <v>8104</v>
      </c>
      <c r="F138">
        <v>293.86667</v>
      </c>
      <c r="G138">
        <v>179.4</v>
      </c>
      <c r="H138">
        <v>1.6380528000000001</v>
      </c>
      <c r="I138">
        <v>-0.63805279999999998</v>
      </c>
      <c r="J138">
        <v>0.37906744999999997</v>
      </c>
    </row>
    <row r="139" spans="1:10" x14ac:dyDescent="0.3">
      <c r="A139">
        <v>137</v>
      </c>
      <c r="B139">
        <v>2632</v>
      </c>
      <c r="C139" t="b">
        <v>1</v>
      </c>
      <c r="D139">
        <v>8088</v>
      </c>
      <c r="E139">
        <v>8120</v>
      </c>
      <c r="F139">
        <v>292.8</v>
      </c>
      <c r="G139">
        <v>178.86667</v>
      </c>
      <c r="H139">
        <v>1.6369735000000001</v>
      </c>
      <c r="I139">
        <v>-0.63697344</v>
      </c>
      <c r="J139">
        <v>0.37922263</v>
      </c>
    </row>
    <row r="140" spans="1:10" x14ac:dyDescent="0.3">
      <c r="A140">
        <v>138</v>
      </c>
      <c r="B140">
        <v>2648</v>
      </c>
      <c r="C140" t="b">
        <v>1</v>
      </c>
      <c r="D140">
        <v>8168</v>
      </c>
      <c r="E140">
        <v>8088</v>
      </c>
      <c r="F140">
        <v>292.26666</v>
      </c>
      <c r="G140">
        <v>178.33332999999999</v>
      </c>
      <c r="H140">
        <v>1.6388786</v>
      </c>
      <c r="I140">
        <v>-0.63887850000000002</v>
      </c>
      <c r="J140">
        <v>0.37894886999999999</v>
      </c>
    </row>
    <row r="141" spans="1:10" x14ac:dyDescent="0.3">
      <c r="A141">
        <v>139</v>
      </c>
      <c r="B141">
        <v>2664</v>
      </c>
      <c r="C141" t="b">
        <v>1</v>
      </c>
      <c r="D141">
        <v>8120</v>
      </c>
      <c r="E141">
        <v>8104</v>
      </c>
      <c r="F141">
        <v>290.13333</v>
      </c>
      <c r="G141">
        <v>177.8</v>
      </c>
      <c r="H141">
        <v>1.631796</v>
      </c>
      <c r="I141">
        <v>-0.63179600000000002</v>
      </c>
      <c r="J141">
        <v>0.37996864000000002</v>
      </c>
    </row>
    <row r="142" spans="1:10" x14ac:dyDescent="0.3">
      <c r="A142">
        <v>140</v>
      </c>
      <c r="B142">
        <v>2680</v>
      </c>
      <c r="C142" t="b">
        <v>1</v>
      </c>
      <c r="D142">
        <v>8080</v>
      </c>
      <c r="E142">
        <v>8104</v>
      </c>
      <c r="F142">
        <v>287.46667000000002</v>
      </c>
      <c r="G142">
        <v>178.86667</v>
      </c>
      <c r="H142">
        <v>1.6071561999999999</v>
      </c>
      <c r="I142">
        <v>-0.60715620000000003</v>
      </c>
      <c r="J142">
        <v>0.38355967000000002</v>
      </c>
    </row>
    <row r="143" spans="1:10" x14ac:dyDescent="0.3">
      <c r="A143">
        <v>141</v>
      </c>
      <c r="B143">
        <v>2696</v>
      </c>
      <c r="C143" t="b">
        <v>1</v>
      </c>
      <c r="D143">
        <v>8120</v>
      </c>
      <c r="E143">
        <v>8112</v>
      </c>
      <c r="F143">
        <v>286.39999999999998</v>
      </c>
      <c r="G143">
        <v>178.33332999999999</v>
      </c>
      <c r="H143">
        <v>1.6059813000000001</v>
      </c>
      <c r="I143">
        <v>-0.60598129999999994</v>
      </c>
      <c r="J143">
        <v>0.38373259999999998</v>
      </c>
    </row>
    <row r="144" spans="1:10" x14ac:dyDescent="0.3">
      <c r="A144">
        <v>142</v>
      </c>
      <c r="B144">
        <v>2712</v>
      </c>
      <c r="C144" t="b">
        <v>1</v>
      </c>
      <c r="D144">
        <v>8120</v>
      </c>
      <c r="E144">
        <v>8072</v>
      </c>
      <c r="F144">
        <v>284.8</v>
      </c>
      <c r="G144">
        <v>177.8</v>
      </c>
      <c r="H144">
        <v>1.6017996999999999</v>
      </c>
      <c r="I144">
        <v>-0.60179967000000001</v>
      </c>
      <c r="J144">
        <v>0.38434934999999998</v>
      </c>
    </row>
    <row r="145" spans="1:10" x14ac:dyDescent="0.3">
      <c r="A145">
        <v>143</v>
      </c>
      <c r="B145">
        <v>2728</v>
      </c>
      <c r="C145" t="b">
        <v>1</v>
      </c>
      <c r="D145">
        <v>8128</v>
      </c>
      <c r="E145">
        <v>8096</v>
      </c>
      <c r="F145">
        <v>282.66665999999998</v>
      </c>
      <c r="G145">
        <v>179.4</v>
      </c>
      <c r="H145">
        <v>1.5756224000000001</v>
      </c>
      <c r="I145">
        <v>-0.57562243999999996</v>
      </c>
      <c r="J145">
        <v>0.38825566</v>
      </c>
    </row>
    <row r="146" spans="1:10" x14ac:dyDescent="0.3">
      <c r="A146">
        <v>144</v>
      </c>
      <c r="B146">
        <v>2744</v>
      </c>
      <c r="C146" t="b">
        <v>1</v>
      </c>
      <c r="D146">
        <v>8152</v>
      </c>
      <c r="E146">
        <v>8128</v>
      </c>
      <c r="F146">
        <v>280.53332999999998</v>
      </c>
      <c r="G146">
        <v>181</v>
      </c>
      <c r="H146">
        <v>1.5499079</v>
      </c>
      <c r="I146">
        <v>-0.54990786000000003</v>
      </c>
      <c r="J146">
        <v>0.39217102999999998</v>
      </c>
    </row>
    <row r="147" spans="1:10" x14ac:dyDescent="0.3">
      <c r="A147">
        <v>145</v>
      </c>
      <c r="B147">
        <v>2760</v>
      </c>
      <c r="C147" t="b">
        <v>1</v>
      </c>
      <c r="D147">
        <v>8104</v>
      </c>
      <c r="E147">
        <v>8088</v>
      </c>
      <c r="F147">
        <v>278.39999999999998</v>
      </c>
      <c r="G147">
        <v>182.06666999999999</v>
      </c>
      <c r="H147">
        <v>1.5291102000000001</v>
      </c>
      <c r="I147">
        <v>-0.52911019999999997</v>
      </c>
      <c r="J147">
        <v>0.39539595999999999</v>
      </c>
    </row>
    <row r="148" spans="1:10" x14ac:dyDescent="0.3">
      <c r="A148">
        <v>146</v>
      </c>
      <c r="B148">
        <v>2776</v>
      </c>
      <c r="C148" t="b">
        <v>1</v>
      </c>
      <c r="D148">
        <v>8096</v>
      </c>
      <c r="E148">
        <v>8104</v>
      </c>
      <c r="F148">
        <v>276.26666</v>
      </c>
      <c r="G148">
        <v>183.13333</v>
      </c>
      <c r="H148">
        <v>1.5085548</v>
      </c>
      <c r="I148">
        <v>-0.50855475999999999</v>
      </c>
      <c r="J148">
        <v>0.39863589999999999</v>
      </c>
    </row>
    <row r="149" spans="1:10" x14ac:dyDescent="0.3">
      <c r="A149">
        <v>147</v>
      </c>
      <c r="B149">
        <v>2808</v>
      </c>
      <c r="C149" t="b">
        <v>1</v>
      </c>
      <c r="D149">
        <v>8104</v>
      </c>
      <c r="E149">
        <v>8128</v>
      </c>
      <c r="F149">
        <v>273.06668000000002</v>
      </c>
      <c r="G149">
        <v>184.73334</v>
      </c>
      <c r="H149">
        <v>1.4781667999999999</v>
      </c>
      <c r="I149">
        <v>-0.47816676000000002</v>
      </c>
      <c r="J149">
        <v>0.4035241</v>
      </c>
    </row>
    <row r="150" spans="1:10" x14ac:dyDescent="0.3">
      <c r="A150">
        <v>148</v>
      </c>
      <c r="B150">
        <v>2823</v>
      </c>
      <c r="C150" t="b">
        <v>1</v>
      </c>
      <c r="D150">
        <v>8120</v>
      </c>
      <c r="E150">
        <v>8112</v>
      </c>
      <c r="F150">
        <v>271.46667000000002</v>
      </c>
      <c r="G150">
        <v>186.86667</v>
      </c>
      <c r="H150">
        <v>1.4527292000000001</v>
      </c>
      <c r="I150">
        <v>-0.45272925000000003</v>
      </c>
      <c r="J150">
        <v>0.40770909999999999</v>
      </c>
    </row>
    <row r="151" spans="1:10" x14ac:dyDescent="0.3">
      <c r="A151">
        <v>149</v>
      </c>
      <c r="B151">
        <v>2855</v>
      </c>
      <c r="C151" t="b">
        <v>1</v>
      </c>
      <c r="D151">
        <v>8096</v>
      </c>
      <c r="E151">
        <v>8080</v>
      </c>
      <c r="F151">
        <v>269.86667</v>
      </c>
      <c r="G151">
        <v>188.46665999999999</v>
      </c>
      <c r="H151">
        <v>1.4319067000000001</v>
      </c>
      <c r="I151">
        <v>-0.43190666999999999</v>
      </c>
      <c r="J151">
        <v>0.41120002</v>
      </c>
    </row>
    <row r="152" spans="1:10" x14ac:dyDescent="0.3">
      <c r="A152">
        <v>150</v>
      </c>
      <c r="B152">
        <v>2871</v>
      </c>
      <c r="C152" t="b">
        <v>1</v>
      </c>
      <c r="D152">
        <v>8128</v>
      </c>
      <c r="E152">
        <v>8096</v>
      </c>
      <c r="F152">
        <v>269.33334000000002</v>
      </c>
      <c r="G152">
        <v>188.46665999999999</v>
      </c>
      <c r="H152">
        <v>1.4290769000000001</v>
      </c>
      <c r="I152">
        <v>-0.42907687999999999</v>
      </c>
      <c r="J152">
        <v>0.41167903</v>
      </c>
    </row>
    <row r="153" spans="1:10" x14ac:dyDescent="0.3">
      <c r="A153">
        <v>151</v>
      </c>
      <c r="B153">
        <v>2902</v>
      </c>
      <c r="C153" t="b">
        <v>1</v>
      </c>
      <c r="D153">
        <v>8088</v>
      </c>
      <c r="E153">
        <v>8096</v>
      </c>
      <c r="F153">
        <v>269.33334000000002</v>
      </c>
      <c r="G153">
        <v>187.93333000000001</v>
      </c>
      <c r="H153">
        <v>1.4331324000000001</v>
      </c>
      <c r="I153">
        <v>-0.43313235</v>
      </c>
      <c r="J153">
        <v>0.41099286000000002</v>
      </c>
    </row>
    <row r="154" spans="1:10" x14ac:dyDescent="0.3">
      <c r="A154">
        <v>152</v>
      </c>
      <c r="B154">
        <v>2918</v>
      </c>
      <c r="C154" t="b">
        <v>1</v>
      </c>
      <c r="D154">
        <v>8096</v>
      </c>
      <c r="E154">
        <v>8112</v>
      </c>
      <c r="F154">
        <v>269.33334000000002</v>
      </c>
      <c r="G154">
        <v>187.4</v>
      </c>
      <c r="H154">
        <v>1.437211</v>
      </c>
      <c r="I154">
        <v>-0.43721106999999998</v>
      </c>
      <c r="J154">
        <v>0.41030505</v>
      </c>
    </row>
    <row r="155" spans="1:10" x14ac:dyDescent="0.3">
      <c r="A155">
        <v>153</v>
      </c>
      <c r="B155">
        <v>2934</v>
      </c>
      <c r="C155" t="b">
        <v>1</v>
      </c>
      <c r="D155">
        <v>8160</v>
      </c>
      <c r="E155">
        <v>8064</v>
      </c>
      <c r="F155">
        <v>268.8</v>
      </c>
      <c r="G155">
        <v>186.86667</v>
      </c>
      <c r="H155">
        <v>1.4384587</v>
      </c>
      <c r="I155">
        <v>-0.43845869999999998</v>
      </c>
      <c r="J155">
        <v>0.41009512999999997</v>
      </c>
    </row>
    <row r="156" spans="1:10" x14ac:dyDescent="0.3">
      <c r="A156">
        <v>154</v>
      </c>
      <c r="B156">
        <v>2966</v>
      </c>
      <c r="C156" t="b">
        <v>1</v>
      </c>
      <c r="D156">
        <v>8056</v>
      </c>
      <c r="E156">
        <v>8112</v>
      </c>
      <c r="F156">
        <v>268.26666</v>
      </c>
      <c r="G156">
        <v>186.33332999999999</v>
      </c>
      <c r="H156">
        <v>1.4397138</v>
      </c>
      <c r="I156">
        <v>-0.43971379999999999</v>
      </c>
      <c r="J156">
        <v>0.40988415</v>
      </c>
    </row>
    <row r="157" spans="1:10" x14ac:dyDescent="0.3">
      <c r="A157">
        <v>155</v>
      </c>
      <c r="B157">
        <v>2982</v>
      </c>
      <c r="C157" t="b">
        <v>1</v>
      </c>
      <c r="D157">
        <v>8104</v>
      </c>
      <c r="E157">
        <v>8128</v>
      </c>
      <c r="F157">
        <v>268.26666</v>
      </c>
      <c r="G157">
        <v>186.86667</v>
      </c>
      <c r="H157">
        <v>1.4356047000000001</v>
      </c>
      <c r="I157">
        <v>-0.43560465999999998</v>
      </c>
      <c r="J157">
        <v>0.41057566000000001</v>
      </c>
    </row>
    <row r="158" spans="1:10" x14ac:dyDescent="0.3">
      <c r="A158">
        <v>156</v>
      </c>
      <c r="B158">
        <v>2998</v>
      </c>
      <c r="C158" t="b">
        <v>1</v>
      </c>
      <c r="D158">
        <v>8128</v>
      </c>
      <c r="E158">
        <v>8080</v>
      </c>
      <c r="F158">
        <v>267.2</v>
      </c>
      <c r="G158">
        <v>187.4</v>
      </c>
      <c r="H158">
        <v>1.4258272999999999</v>
      </c>
      <c r="I158">
        <v>-0.42582720000000002</v>
      </c>
      <c r="J158">
        <v>0.41223051999999999</v>
      </c>
    </row>
    <row r="159" spans="1:10" x14ac:dyDescent="0.3">
      <c r="A159">
        <v>157</v>
      </c>
      <c r="B159">
        <v>3014</v>
      </c>
      <c r="C159" t="b">
        <v>1</v>
      </c>
      <c r="D159">
        <v>8112</v>
      </c>
      <c r="E159">
        <v>8120</v>
      </c>
      <c r="F159">
        <v>266.66665999999998</v>
      </c>
      <c r="G159">
        <v>187.93333000000001</v>
      </c>
      <c r="H159">
        <v>1.4189427999999999</v>
      </c>
      <c r="I159">
        <v>-0.41894283999999998</v>
      </c>
      <c r="J159">
        <v>0.41340375000000001</v>
      </c>
    </row>
    <row r="160" spans="1:10" x14ac:dyDescent="0.3">
      <c r="A160">
        <v>158</v>
      </c>
      <c r="B160">
        <v>3030</v>
      </c>
      <c r="C160" t="b">
        <v>1</v>
      </c>
      <c r="D160">
        <v>8064</v>
      </c>
      <c r="E160">
        <v>8120</v>
      </c>
      <c r="F160">
        <v>265.60000000000002</v>
      </c>
      <c r="G160">
        <v>189</v>
      </c>
      <c r="H160">
        <v>1.4052910999999999</v>
      </c>
      <c r="I160">
        <v>-0.40529104999999999</v>
      </c>
      <c r="J160">
        <v>0.41575012</v>
      </c>
    </row>
    <row r="161" spans="1:10" x14ac:dyDescent="0.3">
      <c r="A161">
        <v>159</v>
      </c>
      <c r="B161">
        <v>3062</v>
      </c>
      <c r="C161" t="b">
        <v>1</v>
      </c>
      <c r="D161">
        <v>8120</v>
      </c>
      <c r="E161">
        <v>8120</v>
      </c>
      <c r="F161">
        <v>265.06668000000002</v>
      </c>
      <c r="G161">
        <v>190.06666999999999</v>
      </c>
      <c r="H161">
        <v>1.3945985000000001</v>
      </c>
      <c r="I161">
        <v>-0.39459844999999999</v>
      </c>
      <c r="J161">
        <v>0.41760652999999998</v>
      </c>
    </row>
    <row r="162" spans="1:10" x14ac:dyDescent="0.3">
      <c r="A162">
        <v>160</v>
      </c>
      <c r="B162">
        <v>3078</v>
      </c>
      <c r="C162" t="b">
        <v>1</v>
      </c>
      <c r="D162">
        <v>8088</v>
      </c>
      <c r="E162">
        <v>8104</v>
      </c>
      <c r="F162">
        <v>264.53332999999998</v>
      </c>
      <c r="G162">
        <v>191.66667000000001</v>
      </c>
      <c r="H162">
        <v>1.3801737999999999</v>
      </c>
      <c r="I162">
        <v>-0.38017382999999999</v>
      </c>
      <c r="J162">
        <v>0.42013738</v>
      </c>
    </row>
    <row r="163" spans="1:10" x14ac:dyDescent="0.3">
      <c r="A163">
        <v>161</v>
      </c>
      <c r="B163">
        <v>3093</v>
      </c>
      <c r="C163" t="b">
        <v>1</v>
      </c>
      <c r="D163">
        <v>8120</v>
      </c>
      <c r="E163">
        <v>8096</v>
      </c>
      <c r="F163">
        <v>264</v>
      </c>
      <c r="G163">
        <v>193.26666</v>
      </c>
      <c r="H163">
        <v>1.3659882999999999</v>
      </c>
      <c r="I163">
        <v>-0.36598829999999999</v>
      </c>
      <c r="J163">
        <v>0.42265636000000001</v>
      </c>
    </row>
    <row r="164" spans="1:10" x14ac:dyDescent="0.3">
      <c r="A164">
        <v>162</v>
      </c>
      <c r="B164">
        <v>3109</v>
      </c>
      <c r="C164" t="b">
        <v>1</v>
      </c>
      <c r="D164">
        <v>8104</v>
      </c>
      <c r="E164">
        <v>8120</v>
      </c>
      <c r="F164">
        <v>264</v>
      </c>
      <c r="G164">
        <v>194.33332999999999</v>
      </c>
      <c r="H164">
        <v>1.3584906000000001</v>
      </c>
      <c r="I164">
        <v>-0.35849061999999998</v>
      </c>
      <c r="J164">
        <v>0.42399999999999999</v>
      </c>
    </row>
    <row r="165" spans="1:10" x14ac:dyDescent="0.3">
      <c r="A165">
        <v>163</v>
      </c>
      <c r="B165">
        <v>3125</v>
      </c>
      <c r="C165" t="b">
        <v>1</v>
      </c>
      <c r="D165">
        <v>8128</v>
      </c>
      <c r="E165">
        <v>8128</v>
      </c>
      <c r="F165">
        <v>265.06668000000002</v>
      </c>
      <c r="G165">
        <v>194.86667</v>
      </c>
      <c r="H165">
        <v>1.3602464000000001</v>
      </c>
      <c r="I165">
        <v>-0.36024640000000002</v>
      </c>
      <c r="J165">
        <v>0.42368456999999998</v>
      </c>
    </row>
    <row r="166" spans="1:10" x14ac:dyDescent="0.3">
      <c r="A166">
        <v>164</v>
      </c>
      <c r="B166">
        <v>3141</v>
      </c>
      <c r="C166" t="b">
        <v>1</v>
      </c>
      <c r="D166">
        <v>8184</v>
      </c>
      <c r="E166">
        <v>8136</v>
      </c>
      <c r="F166">
        <v>266.13333</v>
      </c>
      <c r="G166">
        <v>195.93333000000001</v>
      </c>
      <c r="H166">
        <v>1.3582851</v>
      </c>
      <c r="I166">
        <v>-0.35828510000000002</v>
      </c>
      <c r="J166">
        <v>0.42403695000000002</v>
      </c>
    </row>
    <row r="167" spans="1:10" x14ac:dyDescent="0.3">
      <c r="A167">
        <v>165</v>
      </c>
      <c r="B167">
        <v>3157</v>
      </c>
      <c r="C167" t="b">
        <v>1</v>
      </c>
      <c r="D167">
        <v>8128</v>
      </c>
      <c r="E167">
        <v>8128</v>
      </c>
      <c r="F167">
        <v>267.73334</v>
      </c>
      <c r="G167">
        <v>197.53334000000001</v>
      </c>
      <c r="H167">
        <v>1.355383</v>
      </c>
      <c r="I167">
        <v>-0.35538303999999998</v>
      </c>
      <c r="J167">
        <v>0.42455939999999998</v>
      </c>
    </row>
    <row r="168" spans="1:10" x14ac:dyDescent="0.3">
      <c r="A168">
        <v>166</v>
      </c>
      <c r="B168">
        <v>3173</v>
      </c>
      <c r="C168" t="b">
        <v>1</v>
      </c>
      <c r="D168">
        <v>8080</v>
      </c>
      <c r="E168">
        <v>8104</v>
      </c>
      <c r="F168">
        <v>269.33334000000002</v>
      </c>
      <c r="G168">
        <v>199.66667000000001</v>
      </c>
      <c r="H168">
        <v>1.3489149</v>
      </c>
      <c r="I168">
        <v>-0.34891485999999999</v>
      </c>
      <c r="J168">
        <v>0.42572850000000001</v>
      </c>
    </row>
    <row r="169" spans="1:10" x14ac:dyDescent="0.3">
      <c r="A169">
        <v>167</v>
      </c>
      <c r="B169">
        <v>3189</v>
      </c>
      <c r="C169" t="b">
        <v>1</v>
      </c>
      <c r="D169">
        <v>8088</v>
      </c>
      <c r="E169">
        <v>8120</v>
      </c>
      <c r="F169">
        <v>271.46667000000002</v>
      </c>
      <c r="G169">
        <v>201.8</v>
      </c>
      <c r="H169">
        <v>1.3452263</v>
      </c>
      <c r="I169">
        <v>-0.34522631999999998</v>
      </c>
      <c r="J169">
        <v>0.4263981</v>
      </c>
    </row>
    <row r="170" spans="1:10" x14ac:dyDescent="0.3">
      <c r="A170">
        <v>168</v>
      </c>
      <c r="B170">
        <v>3205</v>
      </c>
      <c r="C170" t="b">
        <v>1</v>
      </c>
      <c r="D170">
        <v>8104</v>
      </c>
      <c r="E170">
        <v>8112</v>
      </c>
      <c r="F170">
        <v>272</v>
      </c>
      <c r="G170">
        <v>203.4</v>
      </c>
      <c r="H170">
        <v>1.3372666</v>
      </c>
      <c r="I170">
        <v>-0.33726650000000002</v>
      </c>
      <c r="J170">
        <v>0.42785022</v>
      </c>
    </row>
    <row r="171" spans="1:10" x14ac:dyDescent="0.3">
      <c r="A171">
        <v>169</v>
      </c>
      <c r="B171">
        <v>3220</v>
      </c>
      <c r="C171" t="b">
        <v>1</v>
      </c>
      <c r="D171">
        <v>8184</v>
      </c>
      <c r="E171">
        <v>8144</v>
      </c>
      <c r="F171">
        <v>272.53332999999998</v>
      </c>
      <c r="G171">
        <v>205</v>
      </c>
      <c r="H171">
        <v>1.3294307999999999</v>
      </c>
      <c r="I171">
        <v>-0.32943085</v>
      </c>
      <c r="J171">
        <v>0.42928939999999999</v>
      </c>
    </row>
    <row r="172" spans="1:10" x14ac:dyDescent="0.3">
      <c r="A172">
        <v>170</v>
      </c>
      <c r="B172">
        <v>3252</v>
      </c>
      <c r="C172" t="b">
        <v>1</v>
      </c>
      <c r="D172">
        <v>8096</v>
      </c>
      <c r="E172">
        <v>8056</v>
      </c>
      <c r="F172">
        <v>272.53332999999998</v>
      </c>
      <c r="G172">
        <v>205</v>
      </c>
      <c r="H172">
        <v>1.3294307999999999</v>
      </c>
      <c r="I172">
        <v>-0.32943085</v>
      </c>
      <c r="J172">
        <v>0.42928939999999999</v>
      </c>
    </row>
    <row r="173" spans="1:10" x14ac:dyDescent="0.3">
      <c r="A173">
        <v>171</v>
      </c>
      <c r="B173">
        <v>3284</v>
      </c>
      <c r="C173" t="b">
        <v>1</v>
      </c>
      <c r="D173">
        <v>8080</v>
      </c>
      <c r="E173">
        <v>8096</v>
      </c>
      <c r="F173">
        <v>272</v>
      </c>
      <c r="G173">
        <v>205</v>
      </c>
      <c r="H173">
        <v>1.3268293</v>
      </c>
      <c r="I173">
        <v>-0.32682925000000002</v>
      </c>
      <c r="J173">
        <v>0.42976940000000002</v>
      </c>
    </row>
    <row r="174" spans="1:10" x14ac:dyDescent="0.3">
      <c r="A174">
        <v>172</v>
      </c>
      <c r="B174">
        <v>3300</v>
      </c>
      <c r="C174" t="b">
        <v>1</v>
      </c>
      <c r="D174">
        <v>8112</v>
      </c>
      <c r="E174">
        <v>8120</v>
      </c>
      <c r="F174">
        <v>271.46667000000002</v>
      </c>
      <c r="G174">
        <v>205</v>
      </c>
      <c r="H174">
        <v>1.3242277</v>
      </c>
      <c r="I174">
        <v>-0.32422770000000001</v>
      </c>
      <c r="J174">
        <v>0.43025044000000001</v>
      </c>
    </row>
    <row r="175" spans="1:10" x14ac:dyDescent="0.3">
      <c r="A175">
        <v>173</v>
      </c>
      <c r="B175">
        <v>3316</v>
      </c>
      <c r="C175" t="b">
        <v>1</v>
      </c>
      <c r="D175">
        <v>8160</v>
      </c>
      <c r="E175">
        <v>8088</v>
      </c>
      <c r="F175">
        <v>272</v>
      </c>
      <c r="G175">
        <v>203.4</v>
      </c>
      <c r="H175">
        <v>1.3372666</v>
      </c>
      <c r="I175">
        <v>-0.33726650000000002</v>
      </c>
      <c r="J175">
        <v>0.42785022</v>
      </c>
    </row>
    <row r="176" spans="1:10" x14ac:dyDescent="0.3">
      <c r="A176">
        <v>174</v>
      </c>
      <c r="B176">
        <v>3332</v>
      </c>
      <c r="C176" t="b">
        <v>1</v>
      </c>
      <c r="D176">
        <v>8104</v>
      </c>
      <c r="E176">
        <v>8120</v>
      </c>
      <c r="F176">
        <v>271.46667000000002</v>
      </c>
      <c r="G176">
        <v>201.8</v>
      </c>
      <c r="H176">
        <v>1.3452263</v>
      </c>
      <c r="I176">
        <v>-0.34522631999999998</v>
      </c>
      <c r="J176">
        <v>0.4263981</v>
      </c>
    </row>
    <row r="177" spans="1:10" x14ac:dyDescent="0.3">
      <c r="A177">
        <v>175</v>
      </c>
      <c r="B177">
        <v>3347</v>
      </c>
      <c r="C177" t="b">
        <v>1</v>
      </c>
      <c r="D177">
        <v>8064</v>
      </c>
      <c r="E177">
        <v>8104</v>
      </c>
      <c r="F177">
        <v>270.93331999999998</v>
      </c>
      <c r="G177">
        <v>200.73334</v>
      </c>
      <c r="H177">
        <v>1.3497176</v>
      </c>
      <c r="I177">
        <v>-0.34971762000000001</v>
      </c>
      <c r="J177">
        <v>0.42558306000000001</v>
      </c>
    </row>
    <row r="178" spans="1:10" x14ac:dyDescent="0.3">
      <c r="A178">
        <v>176</v>
      </c>
      <c r="B178">
        <v>3363</v>
      </c>
      <c r="C178" t="b">
        <v>1</v>
      </c>
      <c r="D178">
        <v>8168</v>
      </c>
      <c r="E178">
        <v>8072</v>
      </c>
      <c r="F178">
        <v>270.93331999999998</v>
      </c>
      <c r="G178">
        <v>199.66667000000001</v>
      </c>
      <c r="H178">
        <v>1.3569281</v>
      </c>
      <c r="I178">
        <v>-0.35692810000000003</v>
      </c>
      <c r="J178">
        <v>0.42428110000000002</v>
      </c>
    </row>
    <row r="179" spans="1:10" x14ac:dyDescent="0.3">
      <c r="A179">
        <v>177</v>
      </c>
      <c r="B179">
        <v>3379</v>
      </c>
      <c r="C179" t="b">
        <v>1</v>
      </c>
      <c r="D179">
        <v>8088</v>
      </c>
      <c r="E179">
        <v>8104</v>
      </c>
      <c r="F179">
        <v>270.93331999999998</v>
      </c>
      <c r="G179">
        <v>198.6</v>
      </c>
      <c r="H179">
        <v>1.3642160999999999</v>
      </c>
      <c r="I179">
        <v>-0.36421606000000001</v>
      </c>
      <c r="J179">
        <v>0.42297319999999999</v>
      </c>
    </row>
    <row r="180" spans="1:10" x14ac:dyDescent="0.3">
      <c r="A180">
        <v>178</v>
      </c>
      <c r="B180">
        <v>3395</v>
      </c>
      <c r="C180" t="b">
        <v>1</v>
      </c>
      <c r="D180">
        <v>8128</v>
      </c>
      <c r="E180">
        <v>8136</v>
      </c>
      <c r="F180">
        <v>269.86667</v>
      </c>
      <c r="G180">
        <v>197.53334000000001</v>
      </c>
      <c r="H180">
        <v>1.3661829000000001</v>
      </c>
      <c r="I180">
        <v>-0.36618289999999998</v>
      </c>
      <c r="J180">
        <v>0.42262158</v>
      </c>
    </row>
    <row r="181" spans="1:10" x14ac:dyDescent="0.3">
      <c r="A181">
        <v>179</v>
      </c>
      <c r="B181">
        <v>3411</v>
      </c>
      <c r="C181" t="b">
        <v>1</v>
      </c>
      <c r="D181">
        <v>8192</v>
      </c>
      <c r="E181">
        <v>8120</v>
      </c>
      <c r="F181">
        <v>270.39999999999998</v>
      </c>
      <c r="G181">
        <v>196.46665999999999</v>
      </c>
      <c r="H181">
        <v>1.3763148999999999</v>
      </c>
      <c r="I181">
        <v>-0.37631490000000001</v>
      </c>
      <c r="J181">
        <v>0.42081966999999998</v>
      </c>
    </row>
    <row r="182" spans="1:10" x14ac:dyDescent="0.3">
      <c r="A182">
        <v>180</v>
      </c>
      <c r="B182">
        <v>3427</v>
      </c>
      <c r="C182" t="b">
        <v>1</v>
      </c>
      <c r="D182">
        <v>8128</v>
      </c>
      <c r="E182">
        <v>8080</v>
      </c>
      <c r="F182">
        <v>270.39999999999998</v>
      </c>
      <c r="G182">
        <v>194.86667</v>
      </c>
      <c r="H182">
        <v>1.3876154000000001</v>
      </c>
      <c r="I182">
        <v>-0.3876154</v>
      </c>
      <c r="J182">
        <v>0.41882792000000002</v>
      </c>
    </row>
    <row r="183" spans="1:10" x14ac:dyDescent="0.3">
      <c r="A183">
        <v>181</v>
      </c>
      <c r="B183">
        <v>3443</v>
      </c>
      <c r="C183" t="b">
        <v>1</v>
      </c>
      <c r="D183">
        <v>8072</v>
      </c>
      <c r="E183">
        <v>8120</v>
      </c>
      <c r="F183">
        <v>270.39999999999998</v>
      </c>
      <c r="G183">
        <v>194.33332999999999</v>
      </c>
      <c r="H183">
        <v>1.3914237</v>
      </c>
      <c r="I183">
        <v>-0.39142367</v>
      </c>
      <c r="J183">
        <v>0.41816094999999998</v>
      </c>
    </row>
    <row r="184" spans="1:10" x14ac:dyDescent="0.3">
      <c r="A184">
        <v>182</v>
      </c>
      <c r="B184">
        <v>3458</v>
      </c>
      <c r="C184" t="b">
        <v>1</v>
      </c>
      <c r="D184">
        <v>8128</v>
      </c>
      <c r="E184">
        <v>8120</v>
      </c>
      <c r="F184">
        <v>270.39999999999998</v>
      </c>
      <c r="G184">
        <v>193.8</v>
      </c>
      <c r="H184">
        <v>1.3952528</v>
      </c>
      <c r="I184">
        <v>-0.39525280000000002</v>
      </c>
      <c r="J184">
        <v>0.41749245000000001</v>
      </c>
    </row>
    <row r="185" spans="1:10" x14ac:dyDescent="0.3">
      <c r="A185">
        <v>183</v>
      </c>
      <c r="B185">
        <v>3474</v>
      </c>
      <c r="C185" t="b">
        <v>1</v>
      </c>
      <c r="D185">
        <v>8144</v>
      </c>
      <c r="E185">
        <v>8128</v>
      </c>
      <c r="F185">
        <v>272</v>
      </c>
      <c r="G185">
        <v>193.8</v>
      </c>
      <c r="H185">
        <v>1.4035088</v>
      </c>
      <c r="I185">
        <v>-0.40350875000000003</v>
      </c>
      <c r="J185">
        <v>0.41605841999999998</v>
      </c>
    </row>
    <row r="186" spans="1:10" x14ac:dyDescent="0.3">
      <c r="A186">
        <v>184</v>
      </c>
      <c r="B186">
        <v>3490</v>
      </c>
      <c r="C186" t="b">
        <v>1</v>
      </c>
      <c r="D186">
        <v>8136</v>
      </c>
      <c r="E186">
        <v>8088</v>
      </c>
      <c r="F186">
        <v>273.60000000000002</v>
      </c>
      <c r="G186">
        <v>193.8</v>
      </c>
      <c r="H186">
        <v>1.4117647</v>
      </c>
      <c r="I186">
        <v>-0.41176469999999998</v>
      </c>
      <c r="J186">
        <v>0.41463413999999998</v>
      </c>
    </row>
    <row r="187" spans="1:10" x14ac:dyDescent="0.3">
      <c r="A187">
        <v>185</v>
      </c>
      <c r="B187">
        <v>3506</v>
      </c>
      <c r="C187" t="b">
        <v>1</v>
      </c>
      <c r="D187">
        <v>8120</v>
      </c>
      <c r="E187">
        <v>8120</v>
      </c>
      <c r="F187">
        <v>275.73334</v>
      </c>
      <c r="G187">
        <v>194.33332999999999</v>
      </c>
      <c r="H187">
        <v>1.418868</v>
      </c>
      <c r="I187">
        <v>-0.41886797999999997</v>
      </c>
      <c r="J187">
        <v>0.41341653</v>
      </c>
    </row>
    <row r="188" spans="1:10" x14ac:dyDescent="0.3">
      <c r="A188">
        <v>186</v>
      </c>
      <c r="B188">
        <v>3522</v>
      </c>
      <c r="C188" t="b">
        <v>1</v>
      </c>
      <c r="D188">
        <v>8104</v>
      </c>
      <c r="E188">
        <v>8112</v>
      </c>
      <c r="F188">
        <v>277.86667</v>
      </c>
      <c r="G188">
        <v>194.86667</v>
      </c>
      <c r="H188">
        <v>1.4259322999999999</v>
      </c>
      <c r="I188">
        <v>-0.42593226000000001</v>
      </c>
      <c r="J188">
        <v>0.41221267</v>
      </c>
    </row>
    <row r="189" spans="1:10" x14ac:dyDescent="0.3">
      <c r="A189">
        <v>187</v>
      </c>
      <c r="B189">
        <v>3538</v>
      </c>
      <c r="C189" t="b">
        <v>1</v>
      </c>
      <c r="D189">
        <v>8120</v>
      </c>
      <c r="E189">
        <v>8088</v>
      </c>
      <c r="F189">
        <v>278.93331999999998</v>
      </c>
      <c r="G189">
        <v>194.86667</v>
      </c>
      <c r="H189">
        <v>1.431406</v>
      </c>
      <c r="I189">
        <v>-0.43140600000000001</v>
      </c>
      <c r="J189">
        <v>0.41128466000000002</v>
      </c>
    </row>
    <row r="190" spans="1:10" x14ac:dyDescent="0.3">
      <c r="A190">
        <v>188</v>
      </c>
      <c r="B190">
        <v>3554</v>
      </c>
      <c r="C190" t="b">
        <v>1</v>
      </c>
      <c r="D190">
        <v>8128</v>
      </c>
      <c r="E190">
        <v>8096</v>
      </c>
      <c r="F190">
        <v>279.46667000000002</v>
      </c>
      <c r="G190">
        <v>194.86667</v>
      </c>
      <c r="H190">
        <v>1.4341431</v>
      </c>
      <c r="I190">
        <v>-0.43414303999999998</v>
      </c>
      <c r="J190">
        <v>0.41082220000000003</v>
      </c>
    </row>
    <row r="191" spans="1:10" x14ac:dyDescent="0.3">
      <c r="A191">
        <v>189</v>
      </c>
      <c r="B191">
        <v>3570</v>
      </c>
      <c r="C191" t="b">
        <v>1</v>
      </c>
      <c r="D191">
        <v>8112</v>
      </c>
      <c r="E191">
        <v>8120</v>
      </c>
      <c r="F191">
        <v>280.53332999999998</v>
      </c>
      <c r="G191">
        <v>195.93333000000001</v>
      </c>
      <c r="H191">
        <v>1.4317795</v>
      </c>
      <c r="I191">
        <v>-0.43177947</v>
      </c>
      <c r="J191">
        <v>0.41122146999999998</v>
      </c>
    </row>
    <row r="192" spans="1:10" x14ac:dyDescent="0.3">
      <c r="A192">
        <v>190</v>
      </c>
      <c r="B192">
        <v>3601</v>
      </c>
      <c r="C192" t="b">
        <v>1</v>
      </c>
      <c r="D192">
        <v>8064</v>
      </c>
      <c r="E192">
        <v>8056</v>
      </c>
      <c r="F192">
        <v>281.06668000000002</v>
      </c>
      <c r="G192">
        <v>195.4</v>
      </c>
      <c r="H192">
        <v>1.4384170999999999</v>
      </c>
      <c r="I192">
        <v>-0.43841704999999997</v>
      </c>
      <c r="J192">
        <v>0.41010213000000001</v>
      </c>
    </row>
    <row r="193" spans="1:10" x14ac:dyDescent="0.3">
      <c r="A193">
        <v>191</v>
      </c>
      <c r="B193">
        <v>3617</v>
      </c>
      <c r="C193" t="b">
        <v>1</v>
      </c>
      <c r="D193">
        <v>8104</v>
      </c>
      <c r="E193">
        <v>8144</v>
      </c>
      <c r="F193">
        <v>281.06668000000002</v>
      </c>
      <c r="G193">
        <v>194.86667</v>
      </c>
      <c r="H193">
        <v>1.4423538</v>
      </c>
      <c r="I193">
        <v>-0.44235380000000002</v>
      </c>
      <c r="J193">
        <v>0.40944108000000001</v>
      </c>
    </row>
    <row r="194" spans="1:10" x14ac:dyDescent="0.3">
      <c r="A194">
        <v>192</v>
      </c>
      <c r="B194">
        <v>3633</v>
      </c>
      <c r="C194" t="b">
        <v>1</v>
      </c>
      <c r="D194">
        <v>8064</v>
      </c>
      <c r="E194">
        <v>8128</v>
      </c>
      <c r="F194">
        <v>281.06668000000002</v>
      </c>
      <c r="G194">
        <v>195.93333000000001</v>
      </c>
      <c r="H194">
        <v>1.4345015999999999</v>
      </c>
      <c r="I194">
        <v>-0.43450159999999999</v>
      </c>
      <c r="J194">
        <v>0.41076170000000001</v>
      </c>
    </row>
    <row r="195" spans="1:10" x14ac:dyDescent="0.3">
      <c r="A195">
        <v>193</v>
      </c>
      <c r="B195">
        <v>3649</v>
      </c>
      <c r="C195" t="b">
        <v>1</v>
      </c>
      <c r="D195">
        <v>8112</v>
      </c>
      <c r="E195">
        <v>8096</v>
      </c>
      <c r="F195">
        <v>281.06668000000002</v>
      </c>
      <c r="G195">
        <v>197</v>
      </c>
      <c r="H195">
        <v>1.4267344</v>
      </c>
      <c r="I195">
        <v>-0.42673442</v>
      </c>
      <c r="J195">
        <v>0.41207640000000001</v>
      </c>
    </row>
    <row r="196" spans="1:10" x14ac:dyDescent="0.3">
      <c r="A196">
        <v>194</v>
      </c>
      <c r="B196">
        <v>3665</v>
      </c>
      <c r="C196" t="b">
        <v>1</v>
      </c>
      <c r="D196">
        <v>8104</v>
      </c>
      <c r="E196">
        <v>8120</v>
      </c>
      <c r="F196">
        <v>279.46667000000002</v>
      </c>
      <c r="G196">
        <v>198.06666999999999</v>
      </c>
      <c r="H196">
        <v>1.4109727999999999</v>
      </c>
      <c r="I196">
        <v>-0.41097276999999999</v>
      </c>
      <c r="J196">
        <v>0.41477036</v>
      </c>
    </row>
    <row r="197" spans="1:10" x14ac:dyDescent="0.3">
      <c r="A197">
        <v>195</v>
      </c>
      <c r="B197">
        <v>3680</v>
      </c>
      <c r="C197" t="b">
        <v>1</v>
      </c>
      <c r="D197">
        <v>8104</v>
      </c>
      <c r="E197">
        <v>8104</v>
      </c>
      <c r="F197">
        <v>277.86667</v>
      </c>
      <c r="G197">
        <v>199.13333</v>
      </c>
      <c r="H197">
        <v>1.3953800000000001</v>
      </c>
      <c r="I197">
        <v>-0.39538000000000001</v>
      </c>
      <c r="J197">
        <v>0.41747030000000002</v>
      </c>
    </row>
    <row r="198" spans="1:10" x14ac:dyDescent="0.3">
      <c r="A198">
        <v>196</v>
      </c>
      <c r="B198">
        <v>3696</v>
      </c>
      <c r="C198" t="b">
        <v>1</v>
      </c>
      <c r="D198">
        <v>8128</v>
      </c>
      <c r="E198">
        <v>8104</v>
      </c>
      <c r="F198">
        <v>276.26666</v>
      </c>
      <c r="G198">
        <v>198.06666999999999</v>
      </c>
      <c r="H198">
        <v>1.3948164999999999</v>
      </c>
      <c r="I198">
        <v>-0.39481654999999999</v>
      </c>
      <c r="J198">
        <v>0.41756852999999999</v>
      </c>
    </row>
    <row r="199" spans="1:10" x14ac:dyDescent="0.3">
      <c r="A199">
        <v>197</v>
      </c>
      <c r="B199">
        <v>3712</v>
      </c>
      <c r="C199" t="b">
        <v>1</v>
      </c>
      <c r="D199">
        <v>8104</v>
      </c>
      <c r="E199">
        <v>8120</v>
      </c>
      <c r="F199">
        <v>274.66665999999998</v>
      </c>
      <c r="G199">
        <v>197</v>
      </c>
      <c r="H199">
        <v>1.3942469</v>
      </c>
      <c r="I199">
        <v>-0.39424700000000001</v>
      </c>
      <c r="J199">
        <v>0.41766787</v>
      </c>
    </row>
    <row r="200" spans="1:10" x14ac:dyDescent="0.3">
      <c r="A200">
        <v>198</v>
      </c>
      <c r="B200">
        <v>3728</v>
      </c>
      <c r="C200" t="b">
        <v>1</v>
      </c>
      <c r="D200">
        <v>8160</v>
      </c>
      <c r="E200">
        <v>8080</v>
      </c>
      <c r="F200">
        <v>273.06668000000002</v>
      </c>
      <c r="G200">
        <v>195.93333000000001</v>
      </c>
      <c r="H200">
        <v>1.3936713999999999</v>
      </c>
      <c r="I200">
        <v>-0.3936714</v>
      </c>
      <c r="J200">
        <v>0.41776829999999998</v>
      </c>
    </row>
    <row r="201" spans="1:10" x14ac:dyDescent="0.3">
      <c r="A201">
        <v>199</v>
      </c>
      <c r="B201">
        <v>3743</v>
      </c>
      <c r="C201" t="b">
        <v>1</v>
      </c>
      <c r="D201">
        <v>8120</v>
      </c>
      <c r="E201">
        <v>8112</v>
      </c>
      <c r="F201">
        <v>272.53332999999998</v>
      </c>
      <c r="G201">
        <v>194.86667</v>
      </c>
      <c r="H201">
        <v>1.398563</v>
      </c>
      <c r="I201">
        <v>-0.39856306000000002</v>
      </c>
      <c r="J201">
        <v>0.41691627999999997</v>
      </c>
    </row>
    <row r="202" spans="1:10" x14ac:dyDescent="0.3">
      <c r="A202">
        <v>200</v>
      </c>
      <c r="B202">
        <v>3759</v>
      </c>
      <c r="C202" t="b">
        <v>1</v>
      </c>
      <c r="D202">
        <v>8112</v>
      </c>
      <c r="E202">
        <v>8088</v>
      </c>
      <c r="F202">
        <v>272</v>
      </c>
      <c r="G202">
        <v>193.8</v>
      </c>
      <c r="H202">
        <v>1.4035088</v>
      </c>
      <c r="I202">
        <v>-0.40350875000000003</v>
      </c>
      <c r="J202">
        <v>0.41605841999999998</v>
      </c>
    </row>
    <row r="203" spans="1:10" x14ac:dyDescent="0.3">
      <c r="A203">
        <v>201</v>
      </c>
      <c r="B203">
        <v>3775</v>
      </c>
      <c r="C203" t="b">
        <v>1</v>
      </c>
      <c r="D203">
        <v>8144</v>
      </c>
      <c r="E203">
        <v>8104</v>
      </c>
      <c r="F203">
        <v>271.46667000000002</v>
      </c>
      <c r="G203">
        <v>192.73334</v>
      </c>
      <c r="H203">
        <v>1.4085091000000001</v>
      </c>
      <c r="I203">
        <v>-0.40850916999999998</v>
      </c>
      <c r="J203">
        <v>0.41519460000000002</v>
      </c>
    </row>
    <row r="204" spans="1:10" x14ac:dyDescent="0.3">
      <c r="A204">
        <v>202</v>
      </c>
      <c r="B204">
        <v>3791</v>
      </c>
      <c r="C204" t="b">
        <v>1</v>
      </c>
      <c r="D204">
        <v>8112</v>
      </c>
      <c r="E204">
        <v>8112</v>
      </c>
      <c r="F204">
        <v>271.46667000000002</v>
      </c>
      <c r="G204">
        <v>192.2</v>
      </c>
      <c r="H204">
        <v>1.4124177</v>
      </c>
      <c r="I204">
        <v>-0.41241768000000001</v>
      </c>
      <c r="J204">
        <v>0.4145219</v>
      </c>
    </row>
    <row r="205" spans="1:10" x14ac:dyDescent="0.3">
      <c r="A205">
        <v>203</v>
      </c>
      <c r="B205">
        <v>3823</v>
      </c>
      <c r="C205" t="b">
        <v>1</v>
      </c>
      <c r="D205">
        <v>8104</v>
      </c>
      <c r="E205">
        <v>8096</v>
      </c>
      <c r="F205">
        <v>270.93331999999998</v>
      </c>
      <c r="G205">
        <v>192.73334</v>
      </c>
      <c r="H205">
        <v>1.4057417999999999</v>
      </c>
      <c r="I205">
        <v>-0.40574184000000002</v>
      </c>
      <c r="J205">
        <v>0.41567218</v>
      </c>
    </row>
    <row r="206" spans="1:10" x14ac:dyDescent="0.3">
      <c r="A206">
        <v>204</v>
      </c>
      <c r="B206">
        <v>3839</v>
      </c>
      <c r="C206" t="b">
        <v>1</v>
      </c>
      <c r="D206">
        <v>8128</v>
      </c>
      <c r="E206">
        <v>8104</v>
      </c>
      <c r="F206">
        <v>270.39999999999998</v>
      </c>
      <c r="G206">
        <v>192.2</v>
      </c>
      <c r="H206">
        <v>1.4068678999999999</v>
      </c>
      <c r="I206">
        <v>-0.40686782999999999</v>
      </c>
      <c r="J206">
        <v>0.41547774999999998</v>
      </c>
    </row>
    <row r="207" spans="1:10" x14ac:dyDescent="0.3">
      <c r="A207">
        <v>205</v>
      </c>
      <c r="B207">
        <v>3855</v>
      </c>
      <c r="C207" t="b">
        <v>1</v>
      </c>
      <c r="D207">
        <v>8128</v>
      </c>
      <c r="E207">
        <v>8104</v>
      </c>
      <c r="F207">
        <v>271.46667000000002</v>
      </c>
      <c r="G207">
        <v>192.73334</v>
      </c>
      <c r="H207">
        <v>1.4085091000000001</v>
      </c>
      <c r="I207">
        <v>-0.40850916999999998</v>
      </c>
      <c r="J207">
        <v>0.41519460000000002</v>
      </c>
    </row>
    <row r="208" spans="1:10" x14ac:dyDescent="0.3">
      <c r="A208">
        <v>206</v>
      </c>
      <c r="B208">
        <v>3871</v>
      </c>
      <c r="C208" t="b">
        <v>1</v>
      </c>
      <c r="D208">
        <v>8128</v>
      </c>
      <c r="E208">
        <v>8112</v>
      </c>
      <c r="F208">
        <v>272.53332999999998</v>
      </c>
      <c r="G208">
        <v>193.26666</v>
      </c>
      <c r="H208">
        <v>1.4101414999999999</v>
      </c>
      <c r="I208">
        <v>-0.41014139999999999</v>
      </c>
      <c r="J208">
        <v>0.41491341999999998</v>
      </c>
    </row>
    <row r="209" spans="1:10" x14ac:dyDescent="0.3">
      <c r="A209">
        <v>207</v>
      </c>
      <c r="B209">
        <v>3887</v>
      </c>
      <c r="C209" t="b">
        <v>1</v>
      </c>
      <c r="D209">
        <v>8152</v>
      </c>
      <c r="E209">
        <v>8128</v>
      </c>
      <c r="F209">
        <v>274.13333</v>
      </c>
      <c r="G209">
        <v>192.2</v>
      </c>
      <c r="H209">
        <v>1.4262921</v>
      </c>
      <c r="I209">
        <v>-0.42629205999999997</v>
      </c>
      <c r="J209">
        <v>0.41215154999999998</v>
      </c>
    </row>
    <row r="210" spans="1:10" x14ac:dyDescent="0.3">
      <c r="A210">
        <v>208</v>
      </c>
      <c r="B210">
        <v>3903</v>
      </c>
      <c r="C210" t="b">
        <v>1</v>
      </c>
      <c r="D210">
        <v>8136</v>
      </c>
      <c r="E210">
        <v>8112</v>
      </c>
      <c r="F210">
        <v>275.73334</v>
      </c>
      <c r="G210">
        <v>191.66667000000001</v>
      </c>
      <c r="H210">
        <v>1.4386086</v>
      </c>
      <c r="I210">
        <v>-0.43860867999999997</v>
      </c>
      <c r="J210">
        <v>0.41006988</v>
      </c>
    </row>
    <row r="211" spans="1:10" x14ac:dyDescent="0.3">
      <c r="A211">
        <v>209</v>
      </c>
      <c r="B211">
        <v>3934</v>
      </c>
      <c r="C211" t="b">
        <v>1</v>
      </c>
      <c r="D211">
        <v>8128</v>
      </c>
      <c r="E211">
        <v>8120</v>
      </c>
      <c r="F211">
        <v>277.33334000000002</v>
      </c>
      <c r="G211">
        <v>191.13333</v>
      </c>
      <c r="H211">
        <v>1.4509941</v>
      </c>
      <c r="I211">
        <v>-0.45099412999999999</v>
      </c>
      <c r="J211">
        <v>0.40799770000000002</v>
      </c>
    </row>
    <row r="212" spans="1:10" x14ac:dyDescent="0.3">
      <c r="A212">
        <v>210</v>
      </c>
      <c r="B212">
        <v>3966</v>
      </c>
      <c r="C212" t="b">
        <v>1</v>
      </c>
      <c r="D212">
        <v>8184</v>
      </c>
      <c r="E212">
        <v>8120</v>
      </c>
      <c r="F212">
        <v>279.46667000000002</v>
      </c>
      <c r="G212">
        <v>191.13333</v>
      </c>
      <c r="H212">
        <v>1.4621556</v>
      </c>
      <c r="I212">
        <v>-0.4621556</v>
      </c>
      <c r="J212">
        <v>0.40614816999999998</v>
      </c>
    </row>
    <row r="213" spans="1:10" x14ac:dyDescent="0.3">
      <c r="A213">
        <v>211</v>
      </c>
      <c r="B213">
        <v>3982</v>
      </c>
      <c r="C213" t="b">
        <v>1</v>
      </c>
      <c r="D213">
        <v>8072</v>
      </c>
      <c r="E213">
        <v>8104</v>
      </c>
      <c r="F213">
        <v>281.60000000000002</v>
      </c>
      <c r="G213">
        <v>192.2</v>
      </c>
      <c r="H213">
        <v>1.4651406</v>
      </c>
      <c r="I213">
        <v>-0.46514052</v>
      </c>
      <c r="J213">
        <v>0.40565639999999997</v>
      </c>
    </row>
    <row r="214" spans="1:10" x14ac:dyDescent="0.3">
      <c r="A214">
        <v>212</v>
      </c>
      <c r="B214">
        <v>3997</v>
      </c>
      <c r="C214" t="b">
        <v>1</v>
      </c>
      <c r="D214">
        <v>8104</v>
      </c>
      <c r="E214">
        <v>8120</v>
      </c>
      <c r="F214">
        <v>283.2</v>
      </c>
      <c r="G214">
        <v>193.26666</v>
      </c>
      <c r="H214">
        <v>1.465333</v>
      </c>
      <c r="I214">
        <v>-0.46533296000000002</v>
      </c>
      <c r="J214">
        <v>0.40562471999999999</v>
      </c>
    </row>
    <row r="215" spans="1:10" x14ac:dyDescent="0.3">
      <c r="A215">
        <v>213</v>
      </c>
      <c r="B215">
        <v>4013</v>
      </c>
      <c r="C215" t="b">
        <v>1</v>
      </c>
      <c r="D215">
        <v>8160</v>
      </c>
      <c r="E215">
        <v>8104</v>
      </c>
      <c r="F215">
        <v>284.8</v>
      </c>
      <c r="G215">
        <v>194.33332999999999</v>
      </c>
      <c r="H215">
        <v>1.4655231</v>
      </c>
      <c r="I215">
        <v>-0.46552312000000001</v>
      </c>
      <c r="J215">
        <v>0.40559345000000002</v>
      </c>
    </row>
    <row r="216" spans="1:10" x14ac:dyDescent="0.3">
      <c r="A216">
        <v>214</v>
      </c>
      <c r="B216">
        <v>4029</v>
      </c>
      <c r="C216" t="b">
        <v>1</v>
      </c>
      <c r="D216">
        <v>8128</v>
      </c>
      <c r="E216">
        <v>8112</v>
      </c>
      <c r="F216">
        <v>285.33334000000002</v>
      </c>
      <c r="G216">
        <v>194.86667</v>
      </c>
      <c r="H216">
        <v>1.4642491</v>
      </c>
      <c r="I216">
        <v>-0.46424910000000003</v>
      </c>
      <c r="J216">
        <v>0.40580314000000001</v>
      </c>
    </row>
    <row r="217" spans="1:10" x14ac:dyDescent="0.3">
      <c r="A217">
        <v>215</v>
      </c>
      <c r="B217">
        <v>4045</v>
      </c>
      <c r="C217" t="b">
        <v>1</v>
      </c>
      <c r="D217">
        <v>8168</v>
      </c>
      <c r="E217">
        <v>8120</v>
      </c>
      <c r="F217">
        <v>285.86667</v>
      </c>
      <c r="G217">
        <v>195.4</v>
      </c>
      <c r="H217">
        <v>1.4629818999999999</v>
      </c>
      <c r="I217">
        <v>-0.46298197000000002</v>
      </c>
      <c r="J217">
        <v>0.40601189999999998</v>
      </c>
    </row>
    <row r="218" spans="1:10" x14ac:dyDescent="0.3">
      <c r="A218">
        <v>216</v>
      </c>
      <c r="B218">
        <v>4061</v>
      </c>
      <c r="C218" t="b">
        <v>1</v>
      </c>
      <c r="D218">
        <v>8144</v>
      </c>
      <c r="E218">
        <v>8112</v>
      </c>
      <c r="F218">
        <v>287.46667000000002</v>
      </c>
      <c r="G218">
        <v>195.93333000000001</v>
      </c>
      <c r="H218">
        <v>1.4671657</v>
      </c>
      <c r="I218">
        <v>-0.46716574</v>
      </c>
      <c r="J218">
        <v>0.4053234</v>
      </c>
    </row>
    <row r="219" spans="1:10" x14ac:dyDescent="0.3">
      <c r="A219">
        <v>217</v>
      </c>
      <c r="B219">
        <v>4076</v>
      </c>
      <c r="C219" t="b">
        <v>1</v>
      </c>
      <c r="D219">
        <v>8104</v>
      </c>
      <c r="E219">
        <v>8096</v>
      </c>
      <c r="F219">
        <v>289.06668000000002</v>
      </c>
      <c r="G219">
        <v>196.46665999999999</v>
      </c>
      <c r="H219">
        <v>1.4713270000000001</v>
      </c>
      <c r="I219">
        <v>-0.47132689999999999</v>
      </c>
      <c r="J219">
        <v>0.40464094</v>
      </c>
    </row>
    <row r="220" spans="1:10" x14ac:dyDescent="0.3">
      <c r="A220">
        <v>218</v>
      </c>
      <c r="B220">
        <v>4093</v>
      </c>
      <c r="C220" t="b">
        <v>1</v>
      </c>
      <c r="D220">
        <v>8120</v>
      </c>
      <c r="E220">
        <v>8104</v>
      </c>
      <c r="F220">
        <v>290.13333</v>
      </c>
      <c r="G220">
        <v>197</v>
      </c>
      <c r="H220">
        <v>1.472758</v>
      </c>
      <c r="I220">
        <v>-0.47275802</v>
      </c>
      <c r="J220">
        <v>0.40440672999999999</v>
      </c>
    </row>
    <row r="221" spans="1:10" x14ac:dyDescent="0.3">
      <c r="A221">
        <v>219</v>
      </c>
      <c r="B221">
        <v>4109</v>
      </c>
      <c r="C221" t="b">
        <v>1</v>
      </c>
      <c r="D221">
        <v>8096</v>
      </c>
      <c r="E221">
        <v>8144</v>
      </c>
      <c r="F221">
        <v>290.66665999999998</v>
      </c>
      <c r="G221">
        <v>197.53334000000001</v>
      </c>
      <c r="H221">
        <v>1.4714814000000001</v>
      </c>
      <c r="I221">
        <v>-0.4714815</v>
      </c>
      <c r="J221">
        <v>0.40461560000000002</v>
      </c>
    </row>
    <row r="222" spans="1:10" x14ac:dyDescent="0.3">
      <c r="A222">
        <v>220</v>
      </c>
      <c r="B222">
        <v>4124</v>
      </c>
      <c r="C222" t="b">
        <v>1</v>
      </c>
      <c r="D222">
        <v>8128</v>
      </c>
      <c r="E222">
        <v>8112</v>
      </c>
      <c r="F222">
        <v>290.13333</v>
      </c>
      <c r="G222">
        <v>198.06666999999999</v>
      </c>
      <c r="H222">
        <v>1.4648266999999999</v>
      </c>
      <c r="I222">
        <v>-0.46482664000000001</v>
      </c>
      <c r="J222">
        <v>0.40570803999999999</v>
      </c>
    </row>
    <row r="223" spans="1:10" x14ac:dyDescent="0.3">
      <c r="A223">
        <v>221</v>
      </c>
      <c r="B223">
        <v>4156</v>
      </c>
      <c r="C223" t="b">
        <v>1</v>
      </c>
      <c r="D223">
        <v>8088</v>
      </c>
      <c r="E223">
        <v>8088</v>
      </c>
      <c r="F223">
        <v>288.53332999999998</v>
      </c>
      <c r="G223">
        <v>198.06666999999999</v>
      </c>
      <c r="H223">
        <v>1.4567485</v>
      </c>
      <c r="I223">
        <v>-0.45674854999999998</v>
      </c>
      <c r="J223">
        <v>0.40704210000000002</v>
      </c>
    </row>
    <row r="224" spans="1:10" x14ac:dyDescent="0.3">
      <c r="A224">
        <v>222</v>
      </c>
      <c r="B224">
        <v>4172</v>
      </c>
      <c r="C224" t="b">
        <v>1</v>
      </c>
      <c r="D224">
        <v>8152</v>
      </c>
      <c r="E224">
        <v>8120</v>
      </c>
      <c r="F224">
        <v>288</v>
      </c>
      <c r="G224">
        <v>198.6</v>
      </c>
      <c r="H224">
        <v>1.450151</v>
      </c>
      <c r="I224">
        <v>-0.45015103000000001</v>
      </c>
      <c r="J224">
        <v>0.4081381</v>
      </c>
    </row>
    <row r="225" spans="1:10" x14ac:dyDescent="0.3">
      <c r="A225">
        <v>223</v>
      </c>
      <c r="B225">
        <v>4188</v>
      </c>
      <c r="C225" t="b">
        <v>1</v>
      </c>
      <c r="D225">
        <v>8088</v>
      </c>
      <c r="E225">
        <v>8120</v>
      </c>
      <c r="F225">
        <v>285.86667</v>
      </c>
      <c r="G225">
        <v>199.13333</v>
      </c>
      <c r="H225">
        <v>1.4355541000000001</v>
      </c>
      <c r="I225">
        <v>-0.4355541</v>
      </c>
      <c r="J225">
        <v>0.41058418000000002</v>
      </c>
    </row>
    <row r="226" spans="1:10" x14ac:dyDescent="0.3">
      <c r="A226">
        <v>224</v>
      </c>
      <c r="B226">
        <v>4204</v>
      </c>
      <c r="C226" t="b">
        <v>1</v>
      </c>
      <c r="D226">
        <v>8096</v>
      </c>
      <c r="E226">
        <v>8112</v>
      </c>
      <c r="F226">
        <v>283.73334</v>
      </c>
      <c r="G226">
        <v>199.13333</v>
      </c>
      <c r="H226">
        <v>1.424841</v>
      </c>
      <c r="I226">
        <v>-0.42484102000000001</v>
      </c>
      <c r="J226">
        <v>0.41239816000000001</v>
      </c>
    </row>
    <row r="227" spans="1:10" x14ac:dyDescent="0.3">
      <c r="A227">
        <v>225</v>
      </c>
      <c r="B227">
        <v>4220</v>
      </c>
      <c r="C227" t="b">
        <v>1</v>
      </c>
      <c r="D227">
        <v>8192</v>
      </c>
      <c r="E227">
        <v>8120</v>
      </c>
      <c r="F227">
        <v>281.06668000000002</v>
      </c>
      <c r="G227">
        <v>199.13333</v>
      </c>
      <c r="H227">
        <v>1.4114496999999999</v>
      </c>
      <c r="I227">
        <v>-0.41144969999999997</v>
      </c>
      <c r="J227">
        <v>0.41468832</v>
      </c>
    </row>
    <row r="228" spans="1:10" x14ac:dyDescent="0.3">
      <c r="A228">
        <v>226</v>
      </c>
      <c r="B228">
        <v>4251</v>
      </c>
      <c r="C228" t="b">
        <v>1</v>
      </c>
      <c r="D228">
        <v>8088</v>
      </c>
      <c r="E228">
        <v>8104</v>
      </c>
      <c r="F228">
        <v>278.39999999999998</v>
      </c>
      <c r="G228">
        <v>199.13333</v>
      </c>
      <c r="H228">
        <v>1.3980583</v>
      </c>
      <c r="I228">
        <v>-0.39805824000000001</v>
      </c>
      <c r="J228">
        <v>0.41700405000000001</v>
      </c>
    </row>
    <row r="229" spans="1:10" x14ac:dyDescent="0.3">
      <c r="A229">
        <v>227</v>
      </c>
      <c r="B229">
        <v>4283</v>
      </c>
      <c r="C229" t="b">
        <v>1</v>
      </c>
      <c r="D229">
        <v>8120</v>
      </c>
      <c r="E229">
        <v>8064</v>
      </c>
      <c r="F229">
        <v>276.26666</v>
      </c>
      <c r="G229">
        <v>198.6</v>
      </c>
      <c r="H229">
        <v>1.3910707</v>
      </c>
      <c r="I229">
        <v>-0.39107075000000002</v>
      </c>
      <c r="J229">
        <v>0.41822267000000002</v>
      </c>
    </row>
    <row r="230" spans="1:10" x14ac:dyDescent="0.3">
      <c r="A230">
        <v>228</v>
      </c>
      <c r="B230">
        <v>4299</v>
      </c>
      <c r="C230" t="b">
        <v>1</v>
      </c>
      <c r="D230">
        <v>8144</v>
      </c>
      <c r="E230">
        <v>8096</v>
      </c>
      <c r="F230">
        <v>275.73334</v>
      </c>
      <c r="G230">
        <v>197.53334000000001</v>
      </c>
      <c r="H230">
        <v>1.3958824999999999</v>
      </c>
      <c r="I230">
        <v>-0.39588252000000002</v>
      </c>
      <c r="J230">
        <v>0.41738275000000002</v>
      </c>
    </row>
    <row r="231" spans="1:10" x14ac:dyDescent="0.3">
      <c r="A231">
        <v>229</v>
      </c>
      <c r="B231">
        <v>4315</v>
      </c>
      <c r="C231" t="b">
        <v>1</v>
      </c>
      <c r="D231">
        <v>8152</v>
      </c>
      <c r="E231">
        <v>8128</v>
      </c>
      <c r="F231">
        <v>276.8</v>
      </c>
      <c r="G231">
        <v>197</v>
      </c>
      <c r="H231">
        <v>1.405076</v>
      </c>
      <c r="I231">
        <v>-0.40507609999999999</v>
      </c>
      <c r="J231">
        <v>0.41578725</v>
      </c>
    </row>
    <row r="232" spans="1:10" x14ac:dyDescent="0.3">
      <c r="A232">
        <v>230</v>
      </c>
      <c r="B232">
        <v>4331</v>
      </c>
      <c r="C232" t="b">
        <v>1</v>
      </c>
      <c r="D232">
        <v>8120</v>
      </c>
      <c r="E232">
        <v>8080</v>
      </c>
      <c r="F232">
        <v>276.26666</v>
      </c>
      <c r="G232">
        <v>195.93333000000001</v>
      </c>
      <c r="H232">
        <v>1.4100033999999999</v>
      </c>
      <c r="I232">
        <v>-0.41000335999999998</v>
      </c>
      <c r="J232">
        <v>0.41493717000000002</v>
      </c>
    </row>
    <row r="233" spans="1:10" x14ac:dyDescent="0.3">
      <c r="A233">
        <v>231</v>
      </c>
      <c r="B233">
        <v>4347</v>
      </c>
      <c r="C233" t="b">
        <v>1</v>
      </c>
      <c r="D233">
        <v>8120</v>
      </c>
      <c r="E233">
        <v>8088</v>
      </c>
      <c r="F233">
        <v>274.66665999999998</v>
      </c>
      <c r="G233">
        <v>194.33332999999999</v>
      </c>
      <c r="H233">
        <v>1.4133791</v>
      </c>
      <c r="I233">
        <v>-0.41337907000000002</v>
      </c>
      <c r="J233">
        <v>0.41435676999999999</v>
      </c>
    </row>
    <row r="234" spans="1:10" x14ac:dyDescent="0.3">
      <c r="A234">
        <v>232</v>
      </c>
      <c r="B234">
        <v>4378</v>
      </c>
      <c r="C234" t="b">
        <v>1</v>
      </c>
      <c r="D234">
        <v>8152</v>
      </c>
      <c r="E234">
        <v>8096</v>
      </c>
      <c r="F234">
        <v>274.66665999999998</v>
      </c>
      <c r="G234">
        <v>193.26666</v>
      </c>
      <c r="H234">
        <v>1.4211796999999999</v>
      </c>
      <c r="I234">
        <v>-0.42117968</v>
      </c>
      <c r="J234">
        <v>0.41302179999999999</v>
      </c>
    </row>
    <row r="235" spans="1:10" x14ac:dyDescent="0.3">
      <c r="A235">
        <v>233</v>
      </c>
      <c r="B235">
        <v>4394</v>
      </c>
      <c r="C235" t="b">
        <v>1</v>
      </c>
      <c r="D235">
        <v>8144</v>
      </c>
      <c r="E235">
        <v>8080</v>
      </c>
      <c r="F235">
        <v>275.73334</v>
      </c>
      <c r="G235">
        <v>191.66667000000001</v>
      </c>
      <c r="H235">
        <v>1.4386086</v>
      </c>
      <c r="I235">
        <v>-0.43860867999999997</v>
      </c>
      <c r="J235">
        <v>0.41006988</v>
      </c>
    </row>
    <row r="236" spans="1:10" x14ac:dyDescent="0.3">
      <c r="A236">
        <v>234</v>
      </c>
      <c r="B236">
        <v>4410</v>
      </c>
      <c r="C236" t="b">
        <v>1</v>
      </c>
      <c r="D236">
        <v>8064</v>
      </c>
      <c r="E236">
        <v>8104</v>
      </c>
      <c r="F236">
        <v>275.73334</v>
      </c>
      <c r="G236">
        <v>190.06666999999999</v>
      </c>
      <c r="H236">
        <v>1.4507190999999999</v>
      </c>
      <c r="I236">
        <v>-0.45071909999999998</v>
      </c>
      <c r="J236">
        <v>0.4080435</v>
      </c>
    </row>
    <row r="237" spans="1:10" x14ac:dyDescent="0.3">
      <c r="A237">
        <v>235</v>
      </c>
      <c r="B237">
        <v>4426</v>
      </c>
      <c r="C237" t="b">
        <v>1</v>
      </c>
      <c r="D237">
        <v>8096</v>
      </c>
      <c r="E237">
        <v>8104</v>
      </c>
      <c r="F237">
        <v>275.73334</v>
      </c>
      <c r="G237">
        <v>189</v>
      </c>
      <c r="H237">
        <v>1.4589065000000001</v>
      </c>
      <c r="I237">
        <v>-0.45890656000000002</v>
      </c>
      <c r="J237">
        <v>0.40668484999999999</v>
      </c>
    </row>
    <row r="238" spans="1:10" x14ac:dyDescent="0.3">
      <c r="A238">
        <v>236</v>
      </c>
      <c r="B238">
        <v>4442</v>
      </c>
      <c r="C238" t="b">
        <v>1</v>
      </c>
      <c r="D238">
        <v>8144</v>
      </c>
      <c r="E238">
        <v>8128</v>
      </c>
      <c r="F238">
        <v>278.39999999999998</v>
      </c>
      <c r="G238">
        <v>189</v>
      </c>
      <c r="H238">
        <v>1.4730158</v>
      </c>
      <c r="I238">
        <v>-0.47301584000000002</v>
      </c>
      <c r="J238">
        <v>0.40436460000000002</v>
      </c>
    </row>
    <row r="239" spans="1:10" x14ac:dyDescent="0.3">
      <c r="A239">
        <v>237</v>
      </c>
      <c r="B239">
        <v>4458</v>
      </c>
      <c r="C239" t="b">
        <v>1</v>
      </c>
      <c r="D239">
        <v>8104</v>
      </c>
      <c r="E239">
        <v>8104</v>
      </c>
      <c r="F239">
        <v>277.33334000000002</v>
      </c>
      <c r="G239">
        <v>188.46665999999999</v>
      </c>
      <c r="H239">
        <v>1.4715247</v>
      </c>
      <c r="I239">
        <v>-0.47152470000000002</v>
      </c>
      <c r="J239">
        <v>0.40460855000000001</v>
      </c>
    </row>
    <row r="240" spans="1:10" x14ac:dyDescent="0.3">
      <c r="A240">
        <v>238</v>
      </c>
      <c r="B240">
        <v>4474</v>
      </c>
      <c r="C240" t="b">
        <v>1</v>
      </c>
      <c r="D240">
        <v>8112</v>
      </c>
      <c r="E240">
        <v>8104</v>
      </c>
      <c r="F240">
        <v>277.86667</v>
      </c>
      <c r="G240">
        <v>187.4</v>
      </c>
      <c r="H240">
        <v>1.4827463999999999</v>
      </c>
      <c r="I240">
        <v>-0.48274642000000001</v>
      </c>
      <c r="J240">
        <v>0.40277975999999999</v>
      </c>
    </row>
    <row r="241" spans="1:10" x14ac:dyDescent="0.3">
      <c r="A241">
        <v>239</v>
      </c>
      <c r="B241">
        <v>4489</v>
      </c>
      <c r="C241" t="b">
        <v>1</v>
      </c>
      <c r="D241">
        <v>8120</v>
      </c>
      <c r="E241">
        <v>8096</v>
      </c>
      <c r="F241">
        <v>278.93331999999998</v>
      </c>
      <c r="G241">
        <v>186.86667</v>
      </c>
      <c r="H241">
        <v>1.4926862999999999</v>
      </c>
      <c r="I241">
        <v>-0.49268630000000002</v>
      </c>
      <c r="J241">
        <v>0.40117362000000001</v>
      </c>
    </row>
    <row r="242" spans="1:10" x14ac:dyDescent="0.3">
      <c r="A242">
        <v>240</v>
      </c>
      <c r="B242">
        <v>4505</v>
      </c>
      <c r="C242" t="b">
        <v>1</v>
      </c>
      <c r="D242">
        <v>8104</v>
      </c>
      <c r="E242">
        <v>8048</v>
      </c>
      <c r="F242">
        <v>280</v>
      </c>
      <c r="G242">
        <v>185.8</v>
      </c>
      <c r="H242">
        <v>1.5069968</v>
      </c>
      <c r="I242">
        <v>-0.50699675</v>
      </c>
      <c r="J242">
        <v>0.39888367000000002</v>
      </c>
    </row>
    <row r="243" spans="1:10" x14ac:dyDescent="0.3">
      <c r="A243">
        <v>241</v>
      </c>
      <c r="B243">
        <v>4521</v>
      </c>
      <c r="C243" t="b">
        <v>1</v>
      </c>
      <c r="D243">
        <v>8128</v>
      </c>
      <c r="E243">
        <v>8112</v>
      </c>
      <c r="F243">
        <v>281.06668000000002</v>
      </c>
      <c r="G243">
        <v>184.73334</v>
      </c>
      <c r="H243">
        <v>1.5214725</v>
      </c>
      <c r="I243">
        <v>-0.52147244999999998</v>
      </c>
      <c r="J243">
        <v>0.39659366000000001</v>
      </c>
    </row>
    <row r="244" spans="1:10" x14ac:dyDescent="0.3">
      <c r="A244">
        <v>242</v>
      </c>
      <c r="B244">
        <v>4537</v>
      </c>
      <c r="C244" t="b">
        <v>1</v>
      </c>
      <c r="D244">
        <v>8152</v>
      </c>
      <c r="E244">
        <v>8112</v>
      </c>
      <c r="F244">
        <v>282.66665999999998</v>
      </c>
      <c r="G244">
        <v>184.2</v>
      </c>
      <c r="H244">
        <v>1.5345639</v>
      </c>
      <c r="I244">
        <v>-0.53456384000000001</v>
      </c>
      <c r="J244">
        <v>0.39454523000000002</v>
      </c>
    </row>
    <row r="245" spans="1:10" x14ac:dyDescent="0.3">
      <c r="A245">
        <v>243</v>
      </c>
      <c r="B245">
        <v>4569</v>
      </c>
      <c r="C245" t="b">
        <v>1</v>
      </c>
      <c r="D245">
        <v>8104</v>
      </c>
      <c r="E245">
        <v>8080</v>
      </c>
      <c r="F245">
        <v>282.66665999999998</v>
      </c>
      <c r="G245">
        <v>183.66667000000001</v>
      </c>
      <c r="H245">
        <v>1.5390197999999999</v>
      </c>
      <c r="I245">
        <v>-0.5390199</v>
      </c>
      <c r="J245">
        <v>0.39385277000000002</v>
      </c>
    </row>
    <row r="246" spans="1:10" x14ac:dyDescent="0.3">
      <c r="A246">
        <v>244</v>
      </c>
      <c r="B246">
        <v>4600</v>
      </c>
      <c r="C246" t="b">
        <v>1</v>
      </c>
      <c r="D246">
        <v>8112</v>
      </c>
      <c r="E246">
        <v>8112</v>
      </c>
      <c r="F246">
        <v>280.53332999999998</v>
      </c>
      <c r="G246">
        <v>184.2</v>
      </c>
      <c r="H246">
        <v>1.5229822</v>
      </c>
      <c r="I246">
        <v>-0.52298224000000004</v>
      </c>
      <c r="J246">
        <v>0.39635629999999999</v>
      </c>
    </row>
    <row r="247" spans="1:10" x14ac:dyDescent="0.3">
      <c r="A247">
        <v>245</v>
      </c>
      <c r="B247">
        <v>4632</v>
      </c>
      <c r="C247" t="b">
        <v>1</v>
      </c>
      <c r="D247">
        <v>8128</v>
      </c>
      <c r="E247">
        <v>8104</v>
      </c>
      <c r="F247">
        <v>281.06668000000002</v>
      </c>
      <c r="G247">
        <v>185.26666</v>
      </c>
      <c r="H247">
        <v>1.5170926</v>
      </c>
      <c r="I247">
        <v>-0.51709260000000001</v>
      </c>
      <c r="J247">
        <v>0.39728375999999999</v>
      </c>
    </row>
    <row r="248" spans="1:10" x14ac:dyDescent="0.3">
      <c r="A248">
        <v>246</v>
      </c>
      <c r="B248">
        <v>4648</v>
      </c>
      <c r="C248" t="b">
        <v>1</v>
      </c>
      <c r="D248">
        <v>8128</v>
      </c>
      <c r="E248">
        <v>8104</v>
      </c>
      <c r="F248">
        <v>281.60000000000002</v>
      </c>
      <c r="G248">
        <v>186.33332999999999</v>
      </c>
      <c r="H248">
        <v>1.5112702</v>
      </c>
      <c r="I248">
        <v>-0.51127020000000001</v>
      </c>
      <c r="J248">
        <v>0.39820483000000001</v>
      </c>
    </row>
    <row r="249" spans="1:10" x14ac:dyDescent="0.3">
      <c r="A249">
        <v>247</v>
      </c>
      <c r="B249">
        <v>4664</v>
      </c>
      <c r="C249" t="b">
        <v>1</v>
      </c>
      <c r="D249">
        <v>8128</v>
      </c>
      <c r="E249">
        <v>8104</v>
      </c>
      <c r="F249">
        <v>280.53332999999998</v>
      </c>
      <c r="G249">
        <v>186.86667</v>
      </c>
      <c r="H249">
        <v>1.5012486</v>
      </c>
      <c r="I249">
        <v>-0.50124860000000004</v>
      </c>
      <c r="J249">
        <v>0.39980032999999998</v>
      </c>
    </row>
    <row r="250" spans="1:10" x14ac:dyDescent="0.3">
      <c r="A250">
        <v>248</v>
      </c>
      <c r="B250">
        <v>4680</v>
      </c>
      <c r="C250" t="b">
        <v>1</v>
      </c>
      <c r="D250">
        <v>8120</v>
      </c>
      <c r="E250">
        <v>8112</v>
      </c>
      <c r="F250">
        <v>279.46667000000002</v>
      </c>
      <c r="G250">
        <v>187.93333000000001</v>
      </c>
      <c r="H250">
        <v>1.4870521999999999</v>
      </c>
      <c r="I250">
        <v>-0.48705217000000001</v>
      </c>
      <c r="J250">
        <v>0.40208240000000001</v>
      </c>
    </row>
    <row r="251" spans="1:10" x14ac:dyDescent="0.3">
      <c r="A251">
        <v>249</v>
      </c>
      <c r="B251">
        <v>4696</v>
      </c>
      <c r="C251" t="b">
        <v>1</v>
      </c>
      <c r="D251">
        <v>8120</v>
      </c>
      <c r="E251">
        <v>8128</v>
      </c>
      <c r="F251">
        <v>280</v>
      </c>
      <c r="G251">
        <v>189</v>
      </c>
      <c r="H251">
        <v>1.4814814000000001</v>
      </c>
      <c r="I251">
        <v>-0.48148150000000001</v>
      </c>
      <c r="J251">
        <v>0.40298507</v>
      </c>
    </row>
    <row r="252" spans="1:10" x14ac:dyDescent="0.3">
      <c r="A252">
        <v>250</v>
      </c>
      <c r="B252">
        <v>4712</v>
      </c>
      <c r="C252" t="b">
        <v>1</v>
      </c>
      <c r="D252">
        <v>8136</v>
      </c>
      <c r="E252">
        <v>8104</v>
      </c>
      <c r="F252">
        <v>280.53332999999998</v>
      </c>
      <c r="G252">
        <v>189.53334000000001</v>
      </c>
      <c r="H252">
        <v>1.4801264999999999</v>
      </c>
      <c r="I252">
        <v>-0.48012653</v>
      </c>
      <c r="J252">
        <v>0.40320525000000002</v>
      </c>
    </row>
    <row r="253" spans="1:10" x14ac:dyDescent="0.3">
      <c r="A253">
        <v>251</v>
      </c>
      <c r="B253">
        <v>4728</v>
      </c>
      <c r="C253" t="b">
        <v>1</v>
      </c>
      <c r="D253">
        <v>8160</v>
      </c>
      <c r="E253">
        <v>8104</v>
      </c>
      <c r="F253">
        <v>279.46667000000002</v>
      </c>
      <c r="G253">
        <v>189.53334000000001</v>
      </c>
      <c r="H253">
        <v>1.4744987000000001</v>
      </c>
      <c r="I253">
        <v>-0.47449875000000002</v>
      </c>
      <c r="J253">
        <v>0.40412226000000001</v>
      </c>
    </row>
    <row r="254" spans="1:10" x14ac:dyDescent="0.3">
      <c r="A254">
        <v>252</v>
      </c>
      <c r="B254">
        <v>4744</v>
      </c>
      <c r="C254" t="b">
        <v>1</v>
      </c>
      <c r="D254">
        <v>8104</v>
      </c>
      <c r="E254">
        <v>8088</v>
      </c>
      <c r="F254">
        <v>280.53332999999998</v>
      </c>
      <c r="G254">
        <v>189.53334000000001</v>
      </c>
      <c r="H254">
        <v>1.4801264999999999</v>
      </c>
      <c r="I254">
        <v>-0.48012653</v>
      </c>
      <c r="J254">
        <v>0.40320525000000002</v>
      </c>
    </row>
    <row r="255" spans="1:10" x14ac:dyDescent="0.3">
      <c r="A255">
        <v>253</v>
      </c>
      <c r="B255">
        <v>4760</v>
      </c>
      <c r="C255" t="b">
        <v>1</v>
      </c>
      <c r="D255">
        <v>8104</v>
      </c>
      <c r="E255">
        <v>8032</v>
      </c>
      <c r="F255">
        <v>281.60000000000002</v>
      </c>
      <c r="G255">
        <v>189.53334000000001</v>
      </c>
      <c r="H255">
        <v>1.4857545000000001</v>
      </c>
      <c r="I255">
        <v>-0.48575446</v>
      </c>
      <c r="J255">
        <v>0.40229234000000003</v>
      </c>
    </row>
    <row r="256" spans="1:10" x14ac:dyDescent="0.3">
      <c r="A256">
        <v>254</v>
      </c>
      <c r="B256">
        <v>4775</v>
      </c>
      <c r="C256" t="b">
        <v>1</v>
      </c>
      <c r="D256">
        <v>8112</v>
      </c>
      <c r="E256">
        <v>8104</v>
      </c>
      <c r="F256">
        <v>281.60000000000002</v>
      </c>
      <c r="G256">
        <v>189.53334000000001</v>
      </c>
      <c r="H256">
        <v>1.4857545000000001</v>
      </c>
      <c r="I256">
        <v>-0.48575446</v>
      </c>
      <c r="J256">
        <v>0.40229234000000003</v>
      </c>
    </row>
    <row r="257" spans="1:10" x14ac:dyDescent="0.3">
      <c r="A257">
        <v>255</v>
      </c>
      <c r="B257">
        <v>4791</v>
      </c>
      <c r="C257" t="b">
        <v>1</v>
      </c>
      <c r="D257">
        <v>8160</v>
      </c>
      <c r="E257">
        <v>8128</v>
      </c>
      <c r="F257">
        <v>281.60000000000002</v>
      </c>
      <c r="G257">
        <v>189.53334000000001</v>
      </c>
      <c r="H257">
        <v>1.4857545000000001</v>
      </c>
      <c r="I257">
        <v>-0.48575446</v>
      </c>
      <c r="J257">
        <v>0.40229234000000003</v>
      </c>
    </row>
    <row r="258" spans="1:10" x14ac:dyDescent="0.3">
      <c r="A258">
        <v>256</v>
      </c>
      <c r="B258">
        <v>4807</v>
      </c>
      <c r="C258" t="b">
        <v>1</v>
      </c>
      <c r="D258">
        <v>8104</v>
      </c>
      <c r="E258">
        <v>8104</v>
      </c>
      <c r="F258">
        <v>281.06668000000002</v>
      </c>
      <c r="G258">
        <v>189.53334000000001</v>
      </c>
      <c r="H258">
        <v>1.4829406000000001</v>
      </c>
      <c r="I258">
        <v>-0.48294058000000001</v>
      </c>
      <c r="J258">
        <v>0.40274826000000002</v>
      </c>
    </row>
    <row r="259" spans="1:10" x14ac:dyDescent="0.3">
      <c r="A259">
        <v>257</v>
      </c>
      <c r="B259">
        <v>4823</v>
      </c>
      <c r="C259" t="b">
        <v>1</v>
      </c>
      <c r="D259">
        <v>8120</v>
      </c>
      <c r="E259">
        <v>8112</v>
      </c>
      <c r="F259">
        <v>280.53332999999998</v>
      </c>
      <c r="G259">
        <v>189.53334000000001</v>
      </c>
      <c r="H259">
        <v>1.4801264999999999</v>
      </c>
      <c r="I259">
        <v>-0.48012653</v>
      </c>
      <c r="J259">
        <v>0.40320525000000002</v>
      </c>
    </row>
    <row r="260" spans="1:10" x14ac:dyDescent="0.3">
      <c r="A260">
        <v>258</v>
      </c>
      <c r="B260">
        <v>4839</v>
      </c>
      <c r="C260" t="b">
        <v>1</v>
      </c>
      <c r="D260">
        <v>8104</v>
      </c>
      <c r="E260">
        <v>8096</v>
      </c>
      <c r="F260">
        <v>280</v>
      </c>
      <c r="G260">
        <v>190.06666999999999</v>
      </c>
      <c r="H260">
        <v>1.4731673000000001</v>
      </c>
      <c r="I260">
        <v>-0.47316733</v>
      </c>
      <c r="J260">
        <v>0.40433982000000002</v>
      </c>
    </row>
    <row r="261" spans="1:10" x14ac:dyDescent="0.3">
      <c r="A261">
        <v>259</v>
      </c>
      <c r="B261">
        <v>4855</v>
      </c>
      <c r="C261" t="b">
        <v>1</v>
      </c>
      <c r="D261">
        <v>8128</v>
      </c>
      <c r="E261">
        <v>8104</v>
      </c>
      <c r="F261">
        <v>280.53332999999998</v>
      </c>
      <c r="G261">
        <v>189.53334000000001</v>
      </c>
      <c r="H261">
        <v>1.4801264999999999</v>
      </c>
      <c r="I261">
        <v>-0.48012653</v>
      </c>
      <c r="J261">
        <v>0.40320525000000002</v>
      </c>
    </row>
    <row r="262" spans="1:10" x14ac:dyDescent="0.3">
      <c r="A262">
        <v>260</v>
      </c>
      <c r="B262">
        <v>4887</v>
      </c>
      <c r="C262" t="b">
        <v>1</v>
      </c>
      <c r="D262">
        <v>8144</v>
      </c>
      <c r="E262">
        <v>8128</v>
      </c>
      <c r="F262">
        <v>280</v>
      </c>
      <c r="G262">
        <v>189</v>
      </c>
      <c r="H262">
        <v>1.4814814000000001</v>
      </c>
      <c r="I262">
        <v>-0.48148150000000001</v>
      </c>
      <c r="J262">
        <v>0.40298507</v>
      </c>
    </row>
    <row r="263" spans="1:10" x14ac:dyDescent="0.3">
      <c r="A263">
        <v>261</v>
      </c>
      <c r="B263">
        <v>4903</v>
      </c>
      <c r="C263" t="b">
        <v>1</v>
      </c>
      <c r="D263">
        <v>8144</v>
      </c>
      <c r="E263">
        <v>8104</v>
      </c>
      <c r="F263">
        <v>280</v>
      </c>
      <c r="G263">
        <v>189</v>
      </c>
      <c r="H263">
        <v>1.4814814000000001</v>
      </c>
      <c r="I263">
        <v>-0.48148150000000001</v>
      </c>
      <c r="J263">
        <v>0.40298507</v>
      </c>
    </row>
    <row r="264" spans="1:10" x14ac:dyDescent="0.3">
      <c r="A264">
        <v>262</v>
      </c>
      <c r="B264">
        <v>4919</v>
      </c>
      <c r="C264" t="b">
        <v>1</v>
      </c>
      <c r="D264">
        <v>8088</v>
      </c>
      <c r="E264">
        <v>8080</v>
      </c>
      <c r="F264">
        <v>280</v>
      </c>
      <c r="G264">
        <v>189</v>
      </c>
      <c r="H264">
        <v>1.4814814000000001</v>
      </c>
      <c r="I264">
        <v>-0.48148150000000001</v>
      </c>
      <c r="J264">
        <v>0.40298507</v>
      </c>
    </row>
    <row r="265" spans="1:10" x14ac:dyDescent="0.3">
      <c r="A265">
        <v>263</v>
      </c>
      <c r="B265">
        <v>4935</v>
      </c>
      <c r="C265" t="b">
        <v>1</v>
      </c>
      <c r="D265">
        <v>8104</v>
      </c>
      <c r="E265">
        <v>8080</v>
      </c>
      <c r="F265">
        <v>280</v>
      </c>
      <c r="G265">
        <v>189</v>
      </c>
      <c r="H265">
        <v>1.4814814000000001</v>
      </c>
      <c r="I265">
        <v>-0.48148150000000001</v>
      </c>
      <c r="J265">
        <v>0.40298507</v>
      </c>
    </row>
    <row r="266" spans="1:10" x14ac:dyDescent="0.3">
      <c r="A266">
        <v>264</v>
      </c>
      <c r="B266">
        <v>4967</v>
      </c>
      <c r="C266" t="b">
        <v>1</v>
      </c>
      <c r="D266">
        <v>8120</v>
      </c>
      <c r="E266">
        <v>8144</v>
      </c>
      <c r="F266">
        <v>279.46667000000002</v>
      </c>
      <c r="G266">
        <v>189</v>
      </c>
      <c r="H266">
        <v>1.4786596000000001</v>
      </c>
      <c r="I266">
        <v>-0.47865965999999999</v>
      </c>
      <c r="J266">
        <v>0.40344384</v>
      </c>
    </row>
    <row r="267" spans="1:10" x14ac:dyDescent="0.3">
      <c r="A267">
        <v>265</v>
      </c>
      <c r="B267">
        <v>4999</v>
      </c>
      <c r="C267" t="b">
        <v>1</v>
      </c>
      <c r="D267">
        <v>8136</v>
      </c>
      <c r="E267">
        <v>8104</v>
      </c>
      <c r="F267">
        <v>278.93331999999998</v>
      </c>
      <c r="G267">
        <v>189</v>
      </c>
      <c r="H267">
        <v>1.4758377</v>
      </c>
      <c r="I267">
        <v>-0.47583767999999999</v>
      </c>
      <c r="J267">
        <v>0.40390369999999998</v>
      </c>
    </row>
    <row r="268" spans="1:10" x14ac:dyDescent="0.3">
      <c r="A268">
        <v>266</v>
      </c>
      <c r="B268">
        <v>5015</v>
      </c>
      <c r="C268" t="b">
        <v>1</v>
      </c>
      <c r="D268">
        <v>8128</v>
      </c>
      <c r="E268">
        <v>8112</v>
      </c>
      <c r="F268">
        <v>278.39999999999998</v>
      </c>
      <c r="G268">
        <v>189</v>
      </c>
      <c r="H268">
        <v>1.4730158</v>
      </c>
      <c r="I268">
        <v>-0.47301584000000002</v>
      </c>
      <c r="J268">
        <v>0.40436460000000002</v>
      </c>
    </row>
    <row r="269" spans="1:10" x14ac:dyDescent="0.3">
      <c r="A269">
        <v>267</v>
      </c>
      <c r="B269">
        <v>5031</v>
      </c>
      <c r="C269" t="b">
        <v>1</v>
      </c>
      <c r="D269">
        <v>8096</v>
      </c>
      <c r="E269">
        <v>8088</v>
      </c>
      <c r="F269">
        <v>278.39999999999998</v>
      </c>
      <c r="G269">
        <v>189</v>
      </c>
      <c r="H269">
        <v>1.4730158</v>
      </c>
      <c r="I269">
        <v>-0.47301584000000002</v>
      </c>
      <c r="J269">
        <v>0.40436460000000002</v>
      </c>
    </row>
    <row r="270" spans="1:10" x14ac:dyDescent="0.3">
      <c r="A270">
        <v>268</v>
      </c>
      <c r="B270">
        <v>5047</v>
      </c>
      <c r="C270" t="b">
        <v>1</v>
      </c>
      <c r="D270">
        <v>8152</v>
      </c>
      <c r="E270">
        <v>8104</v>
      </c>
      <c r="F270">
        <v>278.93331999999998</v>
      </c>
      <c r="G270">
        <v>189</v>
      </c>
      <c r="H270">
        <v>1.4758377</v>
      </c>
      <c r="I270">
        <v>-0.47583767999999999</v>
      </c>
      <c r="J270">
        <v>0.40390369999999998</v>
      </c>
    </row>
    <row r="271" spans="1:10" x14ac:dyDescent="0.3">
      <c r="A271">
        <v>269</v>
      </c>
      <c r="B271">
        <v>5063</v>
      </c>
      <c r="C271" t="b">
        <v>1</v>
      </c>
      <c r="D271">
        <v>8128</v>
      </c>
      <c r="E271">
        <v>8112</v>
      </c>
      <c r="F271">
        <v>280</v>
      </c>
      <c r="G271">
        <v>189</v>
      </c>
      <c r="H271">
        <v>1.4814814000000001</v>
      </c>
      <c r="I271">
        <v>-0.48148150000000001</v>
      </c>
      <c r="J271">
        <v>0.40298507</v>
      </c>
    </row>
    <row r="272" spans="1:10" x14ac:dyDescent="0.3">
      <c r="A272">
        <v>270</v>
      </c>
      <c r="B272">
        <v>5079</v>
      </c>
      <c r="C272" t="b">
        <v>1</v>
      </c>
      <c r="D272">
        <v>8128</v>
      </c>
      <c r="E272">
        <v>8072</v>
      </c>
      <c r="F272">
        <v>281.06668000000002</v>
      </c>
      <c r="G272">
        <v>189</v>
      </c>
      <c r="H272">
        <v>1.4871253</v>
      </c>
      <c r="I272">
        <v>-0.48712529999999998</v>
      </c>
      <c r="J272">
        <v>0.4020706</v>
      </c>
    </row>
    <row r="273" spans="1:10" x14ac:dyDescent="0.3">
      <c r="A273">
        <v>271</v>
      </c>
      <c r="B273">
        <v>5095</v>
      </c>
      <c r="C273" t="b">
        <v>1</v>
      </c>
      <c r="D273">
        <v>8128</v>
      </c>
      <c r="E273">
        <v>8120</v>
      </c>
      <c r="F273">
        <v>282.66665999999998</v>
      </c>
      <c r="G273">
        <v>189</v>
      </c>
      <c r="H273">
        <v>1.4955908</v>
      </c>
      <c r="I273">
        <v>-0.49559078000000001</v>
      </c>
      <c r="J273">
        <v>0.40070670000000003</v>
      </c>
    </row>
    <row r="274" spans="1:10" x14ac:dyDescent="0.3">
      <c r="A274">
        <v>272</v>
      </c>
      <c r="B274">
        <v>5111</v>
      </c>
      <c r="C274" t="b">
        <v>1</v>
      </c>
      <c r="D274">
        <v>8072</v>
      </c>
      <c r="E274">
        <v>8088</v>
      </c>
      <c r="F274">
        <v>283.73334</v>
      </c>
      <c r="G274">
        <v>189</v>
      </c>
      <c r="H274">
        <v>1.5012345</v>
      </c>
      <c r="I274">
        <v>-0.50123459999999997</v>
      </c>
      <c r="J274">
        <v>0.39980257000000002</v>
      </c>
    </row>
    <row r="275" spans="1:10" x14ac:dyDescent="0.3">
      <c r="A275">
        <v>273</v>
      </c>
      <c r="B275">
        <v>5127</v>
      </c>
      <c r="C275" t="b">
        <v>1</v>
      </c>
      <c r="D275">
        <v>8104</v>
      </c>
      <c r="E275">
        <v>8104</v>
      </c>
      <c r="F275">
        <v>284.8</v>
      </c>
      <c r="G275">
        <v>189</v>
      </c>
      <c r="H275">
        <v>1.5068782999999999</v>
      </c>
      <c r="I275">
        <v>-0.50687826000000002</v>
      </c>
      <c r="J275">
        <v>0.39890249999999999</v>
      </c>
    </row>
    <row r="276" spans="1:10" x14ac:dyDescent="0.3">
      <c r="A276">
        <v>274</v>
      </c>
      <c r="B276">
        <v>5142</v>
      </c>
      <c r="C276" t="b">
        <v>1</v>
      </c>
      <c r="D276">
        <v>8136</v>
      </c>
      <c r="E276">
        <v>8128</v>
      </c>
      <c r="F276">
        <v>285.33334000000002</v>
      </c>
      <c r="G276">
        <v>189</v>
      </c>
      <c r="H276">
        <v>1.5097001999999999</v>
      </c>
      <c r="I276">
        <v>-0.50970024000000003</v>
      </c>
      <c r="J276">
        <v>0.39845395</v>
      </c>
    </row>
    <row r="277" spans="1:10" x14ac:dyDescent="0.3">
      <c r="A277">
        <v>275</v>
      </c>
      <c r="B277">
        <v>5158</v>
      </c>
      <c r="C277" t="b">
        <v>1</v>
      </c>
      <c r="D277">
        <v>8104</v>
      </c>
      <c r="E277">
        <v>8128</v>
      </c>
      <c r="F277">
        <v>284.26666</v>
      </c>
      <c r="G277">
        <v>190.06666999999999</v>
      </c>
      <c r="H277">
        <v>1.4956156</v>
      </c>
      <c r="I277">
        <v>-0.49561557000000001</v>
      </c>
      <c r="J277">
        <v>0.40070274</v>
      </c>
    </row>
    <row r="278" spans="1:10" x14ac:dyDescent="0.3">
      <c r="A278">
        <v>276</v>
      </c>
      <c r="B278">
        <v>5174</v>
      </c>
      <c r="C278" t="b">
        <v>1</v>
      </c>
      <c r="D278">
        <v>8080</v>
      </c>
      <c r="E278">
        <v>8112</v>
      </c>
      <c r="F278">
        <v>282.66665999999998</v>
      </c>
      <c r="G278">
        <v>190.6</v>
      </c>
      <c r="H278">
        <v>1.4830359</v>
      </c>
      <c r="I278">
        <v>-0.48303592000000001</v>
      </c>
      <c r="J278">
        <v>0.4027328</v>
      </c>
    </row>
    <row r="279" spans="1:10" x14ac:dyDescent="0.3">
      <c r="A279">
        <v>277</v>
      </c>
      <c r="B279">
        <v>5190</v>
      </c>
      <c r="C279" t="b">
        <v>1</v>
      </c>
      <c r="D279">
        <v>8064</v>
      </c>
      <c r="E279">
        <v>8104</v>
      </c>
      <c r="F279">
        <v>281.06668000000002</v>
      </c>
      <c r="G279">
        <v>191.13333</v>
      </c>
      <c r="H279">
        <v>1.4705268</v>
      </c>
      <c r="I279">
        <v>-0.47052677999999998</v>
      </c>
      <c r="J279">
        <v>0.40477197999999998</v>
      </c>
    </row>
    <row r="280" spans="1:10" x14ac:dyDescent="0.3">
      <c r="A280">
        <v>278</v>
      </c>
      <c r="B280">
        <v>5206</v>
      </c>
      <c r="C280" t="b">
        <v>1</v>
      </c>
      <c r="D280">
        <v>8136</v>
      </c>
      <c r="E280">
        <v>8104</v>
      </c>
      <c r="F280">
        <v>279.46667000000002</v>
      </c>
      <c r="G280">
        <v>191.66667000000001</v>
      </c>
      <c r="H280">
        <v>1.4580869999999999</v>
      </c>
      <c r="I280">
        <v>-0.45808696999999998</v>
      </c>
      <c r="J280">
        <v>0.40682042000000002</v>
      </c>
    </row>
    <row r="281" spans="1:10" x14ac:dyDescent="0.3">
      <c r="A281">
        <v>279</v>
      </c>
      <c r="B281">
        <v>5222</v>
      </c>
      <c r="C281" t="b">
        <v>1</v>
      </c>
      <c r="D281">
        <v>8184</v>
      </c>
      <c r="E281">
        <v>8104</v>
      </c>
      <c r="F281">
        <v>278.39999999999998</v>
      </c>
      <c r="G281">
        <v>191.66667000000001</v>
      </c>
      <c r="H281">
        <v>1.4525216999999999</v>
      </c>
      <c r="I281">
        <v>-0.45252167999999998</v>
      </c>
      <c r="J281">
        <v>0.40774359999999998</v>
      </c>
    </row>
    <row r="282" spans="1:10" x14ac:dyDescent="0.3">
      <c r="A282">
        <v>280</v>
      </c>
      <c r="B282">
        <v>5238</v>
      </c>
      <c r="C282" t="b">
        <v>1</v>
      </c>
      <c r="D282">
        <v>8128</v>
      </c>
      <c r="E282">
        <v>8112</v>
      </c>
      <c r="F282">
        <v>278.93331999999998</v>
      </c>
      <c r="G282">
        <v>191.66667000000001</v>
      </c>
      <c r="H282">
        <v>1.4553043000000001</v>
      </c>
      <c r="I282">
        <v>-0.45530424000000003</v>
      </c>
      <c r="J282">
        <v>0.40728152000000001</v>
      </c>
    </row>
    <row r="283" spans="1:10" x14ac:dyDescent="0.3">
      <c r="A283">
        <v>281</v>
      </c>
      <c r="B283">
        <v>5254</v>
      </c>
      <c r="C283" t="b">
        <v>1</v>
      </c>
      <c r="D283">
        <v>8064</v>
      </c>
      <c r="E283">
        <v>8080</v>
      </c>
      <c r="F283">
        <v>279.46667000000002</v>
      </c>
      <c r="G283">
        <v>191.66667000000001</v>
      </c>
      <c r="H283">
        <v>1.4580869999999999</v>
      </c>
      <c r="I283">
        <v>-0.45808696999999998</v>
      </c>
      <c r="J283">
        <v>0.40682042000000002</v>
      </c>
    </row>
    <row r="284" spans="1:10" x14ac:dyDescent="0.3">
      <c r="A284">
        <v>282</v>
      </c>
      <c r="B284">
        <v>5270</v>
      </c>
      <c r="C284" t="b">
        <v>1</v>
      </c>
      <c r="D284">
        <v>8120</v>
      </c>
      <c r="E284">
        <v>8088</v>
      </c>
      <c r="F284">
        <v>280</v>
      </c>
      <c r="G284">
        <v>191.66667000000001</v>
      </c>
      <c r="H284">
        <v>1.4608696000000001</v>
      </c>
      <c r="I284">
        <v>-0.46086951999999998</v>
      </c>
      <c r="J284">
        <v>0.40636042</v>
      </c>
    </row>
    <row r="285" spans="1:10" x14ac:dyDescent="0.3">
      <c r="A285">
        <v>283</v>
      </c>
      <c r="B285">
        <v>5286</v>
      </c>
      <c r="C285" t="b">
        <v>1</v>
      </c>
      <c r="D285">
        <v>8128</v>
      </c>
      <c r="E285">
        <v>8120</v>
      </c>
      <c r="F285">
        <v>280</v>
      </c>
      <c r="G285">
        <v>191.66667000000001</v>
      </c>
      <c r="H285">
        <v>1.4608696000000001</v>
      </c>
      <c r="I285">
        <v>-0.46086951999999998</v>
      </c>
      <c r="J285">
        <v>0.40636042</v>
      </c>
    </row>
    <row r="286" spans="1:10" x14ac:dyDescent="0.3">
      <c r="A286">
        <v>284</v>
      </c>
      <c r="B286">
        <v>5317</v>
      </c>
      <c r="C286" t="b">
        <v>1</v>
      </c>
      <c r="D286">
        <v>8128</v>
      </c>
      <c r="E286">
        <v>8112</v>
      </c>
      <c r="F286">
        <v>280</v>
      </c>
      <c r="G286">
        <v>192.2</v>
      </c>
      <c r="H286">
        <v>1.4568158</v>
      </c>
      <c r="I286">
        <v>-0.45681583999999997</v>
      </c>
      <c r="J286">
        <v>0.40703089999999997</v>
      </c>
    </row>
    <row r="287" spans="1:10" x14ac:dyDescent="0.3">
      <c r="A287">
        <v>285</v>
      </c>
      <c r="B287">
        <v>5333</v>
      </c>
      <c r="C287" t="b">
        <v>1</v>
      </c>
      <c r="D287">
        <v>8072</v>
      </c>
      <c r="E287">
        <v>8128</v>
      </c>
      <c r="F287">
        <v>279.46667000000002</v>
      </c>
      <c r="G287">
        <v>192.73334</v>
      </c>
      <c r="H287">
        <v>1.4500173000000001</v>
      </c>
      <c r="I287">
        <v>-0.45001730000000001</v>
      </c>
      <c r="J287">
        <v>0.40816039999999998</v>
      </c>
    </row>
    <row r="288" spans="1:10" x14ac:dyDescent="0.3">
      <c r="A288">
        <v>286</v>
      </c>
      <c r="B288">
        <v>5349</v>
      </c>
      <c r="C288" t="b">
        <v>1</v>
      </c>
      <c r="D288">
        <v>8112</v>
      </c>
      <c r="E288">
        <v>8080</v>
      </c>
      <c r="F288">
        <v>278.93331999999998</v>
      </c>
      <c r="G288">
        <v>193.26666</v>
      </c>
      <c r="H288">
        <v>1.4432563</v>
      </c>
      <c r="I288">
        <v>-0.44325626000000001</v>
      </c>
      <c r="J288">
        <v>0.40928987</v>
      </c>
    </row>
    <row r="289" spans="1:10" x14ac:dyDescent="0.3">
      <c r="A289">
        <v>287</v>
      </c>
      <c r="B289">
        <v>5365</v>
      </c>
      <c r="C289" t="b">
        <v>1</v>
      </c>
      <c r="D289">
        <v>8080</v>
      </c>
      <c r="E289">
        <v>8096</v>
      </c>
      <c r="F289">
        <v>277.86667</v>
      </c>
      <c r="G289">
        <v>193.8</v>
      </c>
      <c r="H289">
        <v>1.4337806</v>
      </c>
      <c r="I289">
        <v>-0.43378052</v>
      </c>
      <c r="J289">
        <v>0.41088337000000003</v>
      </c>
    </row>
    <row r="290" spans="1:10" x14ac:dyDescent="0.3">
      <c r="A290">
        <v>288</v>
      </c>
      <c r="B290">
        <v>5381</v>
      </c>
      <c r="C290" t="b">
        <v>1</v>
      </c>
      <c r="D290">
        <v>8152</v>
      </c>
      <c r="E290">
        <v>8104</v>
      </c>
      <c r="F290">
        <v>276.8</v>
      </c>
      <c r="G290">
        <v>193.8</v>
      </c>
      <c r="H290">
        <v>1.4282764999999999</v>
      </c>
      <c r="I290">
        <v>-0.42827648000000001</v>
      </c>
      <c r="J290">
        <v>0.41181472000000002</v>
      </c>
    </row>
    <row r="291" spans="1:10" x14ac:dyDescent="0.3">
      <c r="A291">
        <v>289</v>
      </c>
      <c r="B291">
        <v>5412</v>
      </c>
      <c r="C291" t="b">
        <v>1</v>
      </c>
      <c r="D291">
        <v>8152</v>
      </c>
      <c r="E291">
        <v>8096</v>
      </c>
      <c r="F291">
        <v>275.73334</v>
      </c>
      <c r="G291">
        <v>193.26666</v>
      </c>
      <c r="H291">
        <v>1.4266989000000001</v>
      </c>
      <c r="I291">
        <v>-0.42669891999999998</v>
      </c>
      <c r="J291">
        <v>0.41208243</v>
      </c>
    </row>
    <row r="292" spans="1:10" x14ac:dyDescent="0.3">
      <c r="A292">
        <v>290</v>
      </c>
      <c r="B292">
        <v>5428</v>
      </c>
      <c r="C292" t="b">
        <v>1</v>
      </c>
      <c r="D292">
        <v>8112</v>
      </c>
      <c r="E292">
        <v>8072</v>
      </c>
      <c r="F292">
        <v>276.26666</v>
      </c>
      <c r="G292">
        <v>191.66667000000001</v>
      </c>
      <c r="H292">
        <v>1.4413912</v>
      </c>
      <c r="I292">
        <v>-0.44139126000000001</v>
      </c>
      <c r="J292">
        <v>0.40960249999999998</v>
      </c>
    </row>
    <row r="293" spans="1:10" x14ac:dyDescent="0.3">
      <c r="A293">
        <v>291</v>
      </c>
      <c r="B293">
        <v>5444</v>
      </c>
      <c r="C293" t="b">
        <v>1</v>
      </c>
      <c r="D293">
        <v>8104</v>
      </c>
      <c r="E293">
        <v>8128</v>
      </c>
      <c r="F293">
        <v>276.8</v>
      </c>
      <c r="G293">
        <v>190.6</v>
      </c>
      <c r="H293">
        <v>1.452256</v>
      </c>
      <c r="I293">
        <v>-0.45225592999999997</v>
      </c>
      <c r="J293">
        <v>0.40778776999999999</v>
      </c>
    </row>
    <row r="294" spans="1:10" x14ac:dyDescent="0.3">
      <c r="A294">
        <v>292</v>
      </c>
      <c r="B294">
        <v>5459</v>
      </c>
      <c r="C294" t="b">
        <v>1</v>
      </c>
      <c r="D294">
        <v>8128</v>
      </c>
      <c r="E294">
        <v>8112</v>
      </c>
      <c r="F294">
        <v>278.39999999999998</v>
      </c>
      <c r="G294">
        <v>190.06666999999999</v>
      </c>
      <c r="H294">
        <v>1.4647492</v>
      </c>
      <c r="I294">
        <v>-0.46474919999999997</v>
      </c>
      <c r="J294">
        <v>0.40572077000000001</v>
      </c>
    </row>
    <row r="295" spans="1:10" x14ac:dyDescent="0.3">
      <c r="A295">
        <v>293</v>
      </c>
      <c r="B295">
        <v>5475</v>
      </c>
      <c r="C295" t="b">
        <v>1</v>
      </c>
      <c r="D295">
        <v>8120</v>
      </c>
      <c r="E295">
        <v>8104</v>
      </c>
      <c r="F295">
        <v>279.46667000000002</v>
      </c>
      <c r="G295">
        <v>189.53334000000001</v>
      </c>
      <c r="H295">
        <v>1.4744987000000001</v>
      </c>
      <c r="I295">
        <v>-0.47449875000000002</v>
      </c>
      <c r="J295">
        <v>0.40412226000000001</v>
      </c>
    </row>
    <row r="296" spans="1:10" x14ac:dyDescent="0.3">
      <c r="A296">
        <v>294</v>
      </c>
      <c r="B296">
        <v>5491</v>
      </c>
      <c r="C296" t="b">
        <v>1</v>
      </c>
      <c r="D296">
        <v>8088</v>
      </c>
      <c r="E296">
        <v>8088</v>
      </c>
      <c r="F296">
        <v>280</v>
      </c>
      <c r="G296">
        <v>189.53334000000001</v>
      </c>
      <c r="H296">
        <v>1.4773126999999999</v>
      </c>
      <c r="I296">
        <v>-0.47731265</v>
      </c>
      <c r="J296">
        <v>0.40366324999999997</v>
      </c>
    </row>
    <row r="297" spans="1:10" x14ac:dyDescent="0.3">
      <c r="A297">
        <v>295</v>
      </c>
      <c r="B297">
        <v>5507</v>
      </c>
      <c r="C297" t="b">
        <v>1</v>
      </c>
      <c r="D297">
        <v>8120</v>
      </c>
      <c r="E297">
        <v>8104</v>
      </c>
      <c r="F297">
        <v>279.46667000000002</v>
      </c>
      <c r="G297">
        <v>189.53334000000001</v>
      </c>
      <c r="H297">
        <v>1.4744987000000001</v>
      </c>
      <c r="I297">
        <v>-0.47449875000000002</v>
      </c>
      <c r="J297">
        <v>0.40412226000000001</v>
      </c>
    </row>
    <row r="298" spans="1:10" x14ac:dyDescent="0.3">
      <c r="A298">
        <v>296</v>
      </c>
      <c r="B298">
        <v>5523</v>
      </c>
      <c r="C298" t="b">
        <v>1</v>
      </c>
      <c r="D298">
        <v>8104</v>
      </c>
      <c r="E298">
        <v>8104</v>
      </c>
      <c r="F298">
        <v>278.93331999999998</v>
      </c>
      <c r="G298">
        <v>189.53334000000001</v>
      </c>
      <c r="H298">
        <v>1.4716847</v>
      </c>
      <c r="I298">
        <v>-0.47168472</v>
      </c>
      <c r="J298">
        <v>0.40458232</v>
      </c>
    </row>
    <row r="299" spans="1:10" x14ac:dyDescent="0.3">
      <c r="A299">
        <v>297</v>
      </c>
      <c r="B299">
        <v>5538</v>
      </c>
      <c r="C299" t="b">
        <v>1</v>
      </c>
      <c r="D299">
        <v>8152</v>
      </c>
      <c r="E299">
        <v>8120</v>
      </c>
      <c r="F299">
        <v>278.39999999999998</v>
      </c>
      <c r="G299">
        <v>189.53334000000001</v>
      </c>
      <c r="H299">
        <v>1.4688709</v>
      </c>
      <c r="I299">
        <v>-0.46887082000000002</v>
      </c>
      <c r="J299">
        <v>0.40504345000000003</v>
      </c>
    </row>
    <row r="300" spans="1:10" x14ac:dyDescent="0.3">
      <c r="A300">
        <v>298</v>
      </c>
      <c r="B300">
        <v>5554</v>
      </c>
      <c r="C300" t="b">
        <v>1</v>
      </c>
      <c r="D300">
        <v>8168</v>
      </c>
      <c r="E300">
        <v>8104</v>
      </c>
      <c r="F300">
        <v>277.86667</v>
      </c>
      <c r="G300">
        <v>189.53334000000001</v>
      </c>
      <c r="H300">
        <v>1.4660569999999999</v>
      </c>
      <c r="I300">
        <v>-0.46605693999999998</v>
      </c>
      <c r="J300">
        <v>0.40550563000000001</v>
      </c>
    </row>
    <row r="301" spans="1:10" x14ac:dyDescent="0.3">
      <c r="A301">
        <v>299</v>
      </c>
      <c r="B301">
        <v>5570</v>
      </c>
      <c r="C301" t="b">
        <v>1</v>
      </c>
      <c r="D301">
        <v>8152</v>
      </c>
      <c r="E301">
        <v>8096</v>
      </c>
      <c r="F301">
        <v>279.46667000000002</v>
      </c>
      <c r="G301">
        <v>189</v>
      </c>
      <c r="H301">
        <v>1.4786596000000001</v>
      </c>
      <c r="I301">
        <v>-0.47865965999999999</v>
      </c>
      <c r="J301">
        <v>0.40344384</v>
      </c>
    </row>
    <row r="302" spans="1:10" x14ac:dyDescent="0.3">
      <c r="A302">
        <v>300</v>
      </c>
      <c r="B302">
        <v>5586</v>
      </c>
      <c r="C302" t="b">
        <v>1</v>
      </c>
      <c r="D302">
        <v>8112</v>
      </c>
      <c r="E302">
        <v>8088</v>
      </c>
      <c r="F302">
        <v>281.60000000000002</v>
      </c>
      <c r="G302">
        <v>188.46665999999999</v>
      </c>
      <c r="H302">
        <v>1.4941635</v>
      </c>
      <c r="I302">
        <v>-0.49416349999999998</v>
      </c>
      <c r="J302">
        <v>0.40093603999999999</v>
      </c>
    </row>
    <row r="303" spans="1:10" x14ac:dyDescent="0.3">
      <c r="A303">
        <v>301</v>
      </c>
      <c r="B303">
        <v>5602</v>
      </c>
      <c r="C303" t="b">
        <v>1</v>
      </c>
      <c r="D303">
        <v>8120</v>
      </c>
      <c r="E303">
        <v>8096</v>
      </c>
      <c r="F303">
        <v>283.73334</v>
      </c>
      <c r="G303">
        <v>187.4</v>
      </c>
      <c r="H303">
        <v>1.514052</v>
      </c>
      <c r="I303">
        <v>-0.51405202999999999</v>
      </c>
      <c r="J303">
        <v>0.39776423999999999</v>
      </c>
    </row>
    <row r="304" spans="1:10" x14ac:dyDescent="0.3">
      <c r="A304">
        <v>302</v>
      </c>
      <c r="B304">
        <v>5618</v>
      </c>
      <c r="C304" t="b">
        <v>1</v>
      </c>
      <c r="D304">
        <v>8104</v>
      </c>
      <c r="E304">
        <v>8128</v>
      </c>
      <c r="F304">
        <v>284.26666</v>
      </c>
      <c r="G304">
        <v>186.33332999999999</v>
      </c>
      <c r="H304">
        <v>1.5255814000000001</v>
      </c>
      <c r="I304">
        <v>-0.52558139999999998</v>
      </c>
      <c r="J304">
        <v>0.39594844000000001</v>
      </c>
    </row>
    <row r="305" spans="1:10" x14ac:dyDescent="0.3">
      <c r="A305">
        <v>303</v>
      </c>
      <c r="B305">
        <v>5633</v>
      </c>
      <c r="C305" t="b">
        <v>1</v>
      </c>
      <c r="D305">
        <v>8136</v>
      </c>
      <c r="E305">
        <v>8088</v>
      </c>
      <c r="F305">
        <v>284.8</v>
      </c>
      <c r="G305">
        <v>185.8</v>
      </c>
      <c r="H305">
        <v>1.5328310000000001</v>
      </c>
      <c r="I305">
        <v>-0.5328309</v>
      </c>
      <c r="J305">
        <v>0.39481515</v>
      </c>
    </row>
    <row r="306" spans="1:10" x14ac:dyDescent="0.3">
      <c r="A306">
        <v>304</v>
      </c>
      <c r="B306">
        <v>5649</v>
      </c>
      <c r="C306" t="b">
        <v>1</v>
      </c>
      <c r="D306">
        <v>8112</v>
      </c>
      <c r="E306">
        <v>8144</v>
      </c>
      <c r="F306">
        <v>284.8</v>
      </c>
      <c r="G306">
        <v>185.8</v>
      </c>
      <c r="H306">
        <v>1.5328310000000001</v>
      </c>
      <c r="I306">
        <v>-0.5328309</v>
      </c>
      <c r="J306">
        <v>0.39481515</v>
      </c>
    </row>
    <row r="307" spans="1:10" x14ac:dyDescent="0.3">
      <c r="A307">
        <v>305</v>
      </c>
      <c r="B307">
        <v>5665</v>
      </c>
      <c r="C307" t="b">
        <v>1</v>
      </c>
      <c r="D307">
        <v>8104</v>
      </c>
      <c r="E307">
        <v>8112</v>
      </c>
      <c r="F307">
        <v>284.8</v>
      </c>
      <c r="G307">
        <v>186.86667</v>
      </c>
      <c r="H307">
        <v>1.5240811999999999</v>
      </c>
      <c r="I307">
        <v>-0.52408122999999995</v>
      </c>
      <c r="J307">
        <v>0.39618376</v>
      </c>
    </row>
    <row r="308" spans="1:10" x14ac:dyDescent="0.3">
      <c r="A308">
        <v>306</v>
      </c>
      <c r="B308">
        <v>5681</v>
      </c>
      <c r="C308" t="b">
        <v>1</v>
      </c>
      <c r="D308">
        <v>8152</v>
      </c>
      <c r="E308">
        <v>8120</v>
      </c>
      <c r="F308">
        <v>284.8</v>
      </c>
      <c r="G308">
        <v>188.46665999999999</v>
      </c>
      <c r="H308">
        <v>1.5111425000000001</v>
      </c>
      <c r="I308">
        <v>-0.51114254999999997</v>
      </c>
      <c r="J308">
        <v>0.3982251</v>
      </c>
    </row>
    <row r="309" spans="1:10" x14ac:dyDescent="0.3">
      <c r="A309">
        <v>307</v>
      </c>
      <c r="B309">
        <v>5713</v>
      </c>
      <c r="C309" t="b">
        <v>1</v>
      </c>
      <c r="D309">
        <v>8152</v>
      </c>
      <c r="E309">
        <v>8080</v>
      </c>
      <c r="F309">
        <v>285.33334000000002</v>
      </c>
      <c r="G309">
        <v>189</v>
      </c>
      <c r="H309">
        <v>1.5097001999999999</v>
      </c>
      <c r="I309">
        <v>-0.50970024000000003</v>
      </c>
      <c r="J309">
        <v>0.39845395</v>
      </c>
    </row>
    <row r="310" spans="1:10" x14ac:dyDescent="0.3">
      <c r="A310">
        <v>308</v>
      </c>
      <c r="B310">
        <v>5745</v>
      </c>
      <c r="C310" t="b">
        <v>1</v>
      </c>
      <c r="D310">
        <v>8080</v>
      </c>
      <c r="E310">
        <v>8096</v>
      </c>
      <c r="F310">
        <v>284.8</v>
      </c>
      <c r="G310">
        <v>189.53334000000001</v>
      </c>
      <c r="H310">
        <v>1.5026379999999999</v>
      </c>
      <c r="I310">
        <v>-0.50263789999999997</v>
      </c>
      <c r="J310">
        <v>0.3995784</v>
      </c>
    </row>
    <row r="311" spans="1:10" x14ac:dyDescent="0.3">
      <c r="A311">
        <v>309</v>
      </c>
      <c r="B311">
        <v>5761</v>
      </c>
      <c r="C311" t="b">
        <v>1</v>
      </c>
      <c r="D311">
        <v>8128</v>
      </c>
      <c r="E311">
        <v>8104</v>
      </c>
      <c r="F311">
        <v>285.86667</v>
      </c>
      <c r="G311">
        <v>189.53334000000001</v>
      </c>
      <c r="H311">
        <v>1.5082659</v>
      </c>
      <c r="I311">
        <v>-0.50826585000000002</v>
      </c>
      <c r="J311">
        <v>0.39868182000000002</v>
      </c>
    </row>
    <row r="312" spans="1:10" x14ac:dyDescent="0.3">
      <c r="A312">
        <v>310</v>
      </c>
      <c r="B312">
        <v>5777</v>
      </c>
      <c r="C312" t="b">
        <v>1</v>
      </c>
      <c r="D312">
        <v>8104</v>
      </c>
      <c r="E312">
        <v>8128</v>
      </c>
      <c r="F312">
        <v>286.39999999999998</v>
      </c>
      <c r="G312">
        <v>189.53334000000001</v>
      </c>
      <c r="H312">
        <v>1.5110798000000001</v>
      </c>
      <c r="I312">
        <v>-0.51107970000000003</v>
      </c>
      <c r="J312">
        <v>0.39823504999999998</v>
      </c>
    </row>
    <row r="313" spans="1:10" x14ac:dyDescent="0.3">
      <c r="A313">
        <v>311</v>
      </c>
      <c r="B313">
        <v>5792</v>
      </c>
      <c r="C313" t="b">
        <v>1</v>
      </c>
      <c r="D313">
        <v>8160</v>
      </c>
      <c r="E313">
        <v>8128</v>
      </c>
      <c r="F313">
        <v>286.93331999999998</v>
      </c>
      <c r="G313">
        <v>189.53334000000001</v>
      </c>
      <c r="H313">
        <v>1.5138936000000001</v>
      </c>
      <c r="I313">
        <v>-0.51389366000000003</v>
      </c>
      <c r="J313">
        <v>0.39778930000000001</v>
      </c>
    </row>
    <row r="314" spans="1:10" x14ac:dyDescent="0.3">
      <c r="A314">
        <v>312</v>
      </c>
      <c r="B314">
        <v>5808</v>
      </c>
      <c r="C314" t="b">
        <v>1</v>
      </c>
      <c r="D314">
        <v>8160</v>
      </c>
      <c r="E314">
        <v>8096</v>
      </c>
      <c r="F314">
        <v>287.46667000000002</v>
      </c>
      <c r="G314">
        <v>189.53334000000001</v>
      </c>
      <c r="H314">
        <v>1.5167077</v>
      </c>
      <c r="I314">
        <v>-0.51670769999999999</v>
      </c>
      <c r="J314">
        <v>0.39734452999999997</v>
      </c>
    </row>
    <row r="315" spans="1:10" x14ac:dyDescent="0.3">
      <c r="A315">
        <v>313</v>
      </c>
      <c r="B315">
        <v>5824</v>
      </c>
      <c r="C315" t="b">
        <v>1</v>
      </c>
      <c r="D315">
        <v>8112</v>
      </c>
      <c r="E315">
        <v>8096</v>
      </c>
      <c r="F315">
        <v>288</v>
      </c>
      <c r="G315">
        <v>189.53334000000001</v>
      </c>
      <c r="H315">
        <v>1.5195216</v>
      </c>
      <c r="I315">
        <v>-0.51952160000000003</v>
      </c>
      <c r="J315">
        <v>0.39690077000000001</v>
      </c>
    </row>
    <row r="316" spans="1:10" x14ac:dyDescent="0.3">
      <c r="A316">
        <v>314</v>
      </c>
      <c r="B316">
        <v>5840</v>
      </c>
      <c r="C316" t="b">
        <v>1</v>
      </c>
      <c r="D316">
        <v>8128</v>
      </c>
      <c r="E316">
        <v>8104</v>
      </c>
      <c r="F316">
        <v>286.39999999999998</v>
      </c>
      <c r="G316">
        <v>189.53334000000001</v>
      </c>
      <c r="H316">
        <v>1.5110798000000001</v>
      </c>
      <c r="I316">
        <v>-0.51107970000000003</v>
      </c>
      <c r="J316">
        <v>0.39823504999999998</v>
      </c>
    </row>
    <row r="317" spans="1:10" x14ac:dyDescent="0.3">
      <c r="A317">
        <v>315</v>
      </c>
      <c r="B317">
        <v>5856</v>
      </c>
      <c r="C317" t="b">
        <v>1</v>
      </c>
      <c r="D317">
        <v>8112</v>
      </c>
      <c r="E317">
        <v>8080</v>
      </c>
      <c r="F317">
        <v>284.8</v>
      </c>
      <c r="G317">
        <v>189</v>
      </c>
      <c r="H317">
        <v>1.5068782999999999</v>
      </c>
      <c r="I317">
        <v>-0.50687826000000002</v>
      </c>
      <c r="J317">
        <v>0.39890249999999999</v>
      </c>
    </row>
    <row r="318" spans="1:10" x14ac:dyDescent="0.3">
      <c r="A318">
        <v>316</v>
      </c>
      <c r="B318">
        <v>5872</v>
      </c>
      <c r="C318" t="b">
        <v>1</v>
      </c>
      <c r="D318">
        <v>8112</v>
      </c>
      <c r="E318">
        <v>8128</v>
      </c>
      <c r="F318">
        <v>282.13333</v>
      </c>
      <c r="G318">
        <v>189</v>
      </c>
      <c r="H318">
        <v>1.492769</v>
      </c>
      <c r="I318">
        <v>-0.49276893999999999</v>
      </c>
      <c r="J318">
        <v>0.40116033000000001</v>
      </c>
    </row>
    <row r="319" spans="1:10" x14ac:dyDescent="0.3">
      <c r="A319">
        <v>317</v>
      </c>
      <c r="B319">
        <v>5888</v>
      </c>
      <c r="C319" t="b">
        <v>1</v>
      </c>
      <c r="D319">
        <v>8160</v>
      </c>
      <c r="E319">
        <v>8104</v>
      </c>
      <c r="F319">
        <v>281.60000000000002</v>
      </c>
      <c r="G319">
        <v>189.53334000000001</v>
      </c>
      <c r="H319">
        <v>1.4857545000000001</v>
      </c>
      <c r="I319">
        <v>-0.48575446</v>
      </c>
      <c r="J319">
        <v>0.40229234000000003</v>
      </c>
    </row>
    <row r="320" spans="1:10" x14ac:dyDescent="0.3">
      <c r="A320">
        <v>318</v>
      </c>
      <c r="B320">
        <v>5919</v>
      </c>
      <c r="C320" t="b">
        <v>1</v>
      </c>
      <c r="D320">
        <v>8056</v>
      </c>
      <c r="E320">
        <v>8096</v>
      </c>
      <c r="F320">
        <v>281.06668000000002</v>
      </c>
      <c r="G320">
        <v>190.06666999999999</v>
      </c>
      <c r="H320">
        <v>1.4787794000000001</v>
      </c>
      <c r="I320">
        <v>-0.47877945999999999</v>
      </c>
      <c r="J320">
        <v>0.40342434999999999</v>
      </c>
    </row>
    <row r="321" spans="1:10" x14ac:dyDescent="0.3">
      <c r="A321">
        <v>319</v>
      </c>
      <c r="B321">
        <v>5951</v>
      </c>
      <c r="C321" t="b">
        <v>1</v>
      </c>
      <c r="D321">
        <v>8080</v>
      </c>
      <c r="E321">
        <v>8104</v>
      </c>
      <c r="F321">
        <v>281.06668000000002</v>
      </c>
      <c r="G321">
        <v>190.6</v>
      </c>
      <c r="H321">
        <v>1.4746416</v>
      </c>
      <c r="I321">
        <v>-0.47464149999999999</v>
      </c>
      <c r="J321">
        <v>0.40409893000000002</v>
      </c>
    </row>
    <row r="322" spans="1:10" x14ac:dyDescent="0.3">
      <c r="A322">
        <v>320</v>
      </c>
      <c r="B322">
        <v>5967</v>
      </c>
      <c r="C322" t="b">
        <v>1</v>
      </c>
      <c r="D322">
        <v>8112</v>
      </c>
      <c r="E322">
        <v>8128</v>
      </c>
      <c r="F322">
        <v>281.06668000000002</v>
      </c>
      <c r="G322">
        <v>190.06666999999999</v>
      </c>
      <c r="H322">
        <v>1.4787794000000001</v>
      </c>
      <c r="I322">
        <v>-0.47877945999999999</v>
      </c>
      <c r="J322">
        <v>0.40342434999999999</v>
      </c>
    </row>
    <row r="323" spans="1:10" x14ac:dyDescent="0.3">
      <c r="A323">
        <v>321</v>
      </c>
      <c r="B323">
        <v>5983</v>
      </c>
      <c r="C323" t="b">
        <v>1</v>
      </c>
      <c r="D323">
        <v>8128</v>
      </c>
      <c r="E323">
        <v>8104</v>
      </c>
      <c r="F323">
        <v>281.06668000000002</v>
      </c>
      <c r="G323">
        <v>189</v>
      </c>
      <c r="H323">
        <v>1.4871253</v>
      </c>
      <c r="I323">
        <v>-0.48712529999999998</v>
      </c>
      <c r="J323">
        <v>0.4020706</v>
      </c>
    </row>
    <row r="324" spans="1:10" x14ac:dyDescent="0.3">
      <c r="A324">
        <v>322</v>
      </c>
      <c r="B324">
        <v>5999</v>
      </c>
      <c r="C324" t="b">
        <v>1</v>
      </c>
      <c r="D324">
        <v>8088</v>
      </c>
      <c r="E324">
        <v>8112</v>
      </c>
      <c r="F324">
        <v>277.86667</v>
      </c>
      <c r="G324">
        <v>188.46665999999999</v>
      </c>
      <c r="H324">
        <v>1.4743545</v>
      </c>
      <c r="I324">
        <v>-0.47435450000000001</v>
      </c>
      <c r="J324">
        <v>0.4041458</v>
      </c>
    </row>
    <row r="325" spans="1:10" x14ac:dyDescent="0.3">
      <c r="A325">
        <v>323</v>
      </c>
      <c r="B325">
        <v>6015</v>
      </c>
      <c r="C325" t="b">
        <v>1</v>
      </c>
      <c r="D325">
        <v>8096</v>
      </c>
      <c r="E325">
        <v>8080</v>
      </c>
      <c r="F325">
        <v>276.8</v>
      </c>
      <c r="G325">
        <v>187.93333000000001</v>
      </c>
      <c r="H325">
        <v>1.4728626</v>
      </c>
      <c r="I325">
        <v>-0.47286263000000001</v>
      </c>
      <c r="J325">
        <v>0.40438962000000001</v>
      </c>
    </row>
    <row r="326" spans="1:10" x14ac:dyDescent="0.3">
      <c r="A326">
        <v>324</v>
      </c>
      <c r="B326">
        <v>6030</v>
      </c>
      <c r="C326" t="b">
        <v>1</v>
      </c>
      <c r="D326">
        <v>8136</v>
      </c>
      <c r="E326">
        <v>8120</v>
      </c>
      <c r="F326">
        <v>275.73334</v>
      </c>
      <c r="G326">
        <v>188.46665999999999</v>
      </c>
      <c r="H326">
        <v>1.4630350999999999</v>
      </c>
      <c r="I326">
        <v>-0.46303509999999998</v>
      </c>
      <c r="J326">
        <v>0.40600314999999998</v>
      </c>
    </row>
    <row r="327" spans="1:10" x14ac:dyDescent="0.3">
      <c r="A327">
        <v>325</v>
      </c>
      <c r="B327">
        <v>6062</v>
      </c>
      <c r="C327" t="b">
        <v>1</v>
      </c>
      <c r="D327">
        <v>8136</v>
      </c>
      <c r="E327">
        <v>8048</v>
      </c>
      <c r="F327">
        <v>275.73334</v>
      </c>
      <c r="G327">
        <v>188.46665999999999</v>
      </c>
      <c r="H327">
        <v>1.4630350999999999</v>
      </c>
      <c r="I327">
        <v>-0.46303509999999998</v>
      </c>
      <c r="J327">
        <v>0.40600314999999998</v>
      </c>
    </row>
    <row r="328" spans="1:10" x14ac:dyDescent="0.3">
      <c r="A328">
        <v>326</v>
      </c>
      <c r="B328">
        <v>6078</v>
      </c>
      <c r="C328" t="b">
        <v>1</v>
      </c>
      <c r="D328">
        <v>8104</v>
      </c>
      <c r="E328">
        <v>8104</v>
      </c>
      <c r="F328">
        <v>274.13333</v>
      </c>
      <c r="G328">
        <v>188.46665999999999</v>
      </c>
      <c r="H328">
        <v>1.4545455</v>
      </c>
      <c r="I328">
        <v>-0.45454549999999999</v>
      </c>
      <c r="J328">
        <v>0.40740739999999998</v>
      </c>
    </row>
    <row r="329" spans="1:10" x14ac:dyDescent="0.3">
      <c r="A329">
        <v>327</v>
      </c>
      <c r="B329">
        <v>6094</v>
      </c>
      <c r="C329" t="b">
        <v>1</v>
      </c>
      <c r="D329">
        <v>8144</v>
      </c>
      <c r="E329">
        <v>8088</v>
      </c>
      <c r="F329">
        <v>274.66665999999998</v>
      </c>
      <c r="G329">
        <v>187.4</v>
      </c>
      <c r="H329">
        <v>1.4656705999999999</v>
      </c>
      <c r="I329">
        <v>-0.46567059999999999</v>
      </c>
      <c r="J329">
        <v>0.40556920000000002</v>
      </c>
    </row>
    <row r="330" spans="1:10" x14ac:dyDescent="0.3">
      <c r="A330">
        <v>328</v>
      </c>
      <c r="B330">
        <v>6109</v>
      </c>
      <c r="C330" t="b">
        <v>1</v>
      </c>
      <c r="D330">
        <v>8152</v>
      </c>
      <c r="E330">
        <v>8136</v>
      </c>
      <c r="F330">
        <v>275.2</v>
      </c>
      <c r="G330">
        <v>187.4</v>
      </c>
      <c r="H330">
        <v>1.4685166999999999</v>
      </c>
      <c r="I330">
        <v>-0.46851664999999998</v>
      </c>
      <c r="J330">
        <v>0.40510157000000002</v>
      </c>
    </row>
    <row r="331" spans="1:10" x14ac:dyDescent="0.3">
      <c r="A331">
        <v>329</v>
      </c>
      <c r="B331">
        <v>6125</v>
      </c>
      <c r="C331" t="b">
        <v>1</v>
      </c>
      <c r="D331">
        <v>8128</v>
      </c>
      <c r="E331">
        <v>8104</v>
      </c>
      <c r="F331">
        <v>275.73334</v>
      </c>
      <c r="G331">
        <v>187.4</v>
      </c>
      <c r="H331">
        <v>1.4713626</v>
      </c>
      <c r="I331">
        <v>-0.47136255999999999</v>
      </c>
      <c r="J331">
        <v>0.40463506999999999</v>
      </c>
    </row>
    <row r="332" spans="1:10" x14ac:dyDescent="0.3">
      <c r="A332">
        <v>330</v>
      </c>
      <c r="B332">
        <v>6142</v>
      </c>
      <c r="C332" t="b">
        <v>1</v>
      </c>
      <c r="D332">
        <v>8136</v>
      </c>
      <c r="E332">
        <v>8120</v>
      </c>
      <c r="F332">
        <v>276.26666</v>
      </c>
      <c r="G332">
        <v>187.93333000000001</v>
      </c>
      <c r="H332">
        <v>1.4700248</v>
      </c>
      <c r="I332">
        <v>-0.47002480000000002</v>
      </c>
      <c r="J332">
        <v>0.4048542</v>
      </c>
    </row>
    <row r="333" spans="1:10" x14ac:dyDescent="0.3">
      <c r="A333">
        <v>331</v>
      </c>
      <c r="B333">
        <v>6157</v>
      </c>
      <c r="C333" t="b">
        <v>1</v>
      </c>
      <c r="D333">
        <v>8104</v>
      </c>
      <c r="E333">
        <v>8104</v>
      </c>
      <c r="F333">
        <v>277.86667</v>
      </c>
      <c r="G333">
        <v>188.46665999999999</v>
      </c>
      <c r="H333">
        <v>1.4743545</v>
      </c>
      <c r="I333">
        <v>-0.47435450000000001</v>
      </c>
      <c r="J333">
        <v>0.4041458</v>
      </c>
    </row>
    <row r="334" spans="1:10" x14ac:dyDescent="0.3">
      <c r="A334">
        <v>332</v>
      </c>
      <c r="B334">
        <v>6173</v>
      </c>
      <c r="C334" t="b">
        <v>1</v>
      </c>
      <c r="D334">
        <v>8088</v>
      </c>
      <c r="E334">
        <v>8104</v>
      </c>
      <c r="F334">
        <v>278.93331999999998</v>
      </c>
      <c r="G334">
        <v>188.46665999999999</v>
      </c>
      <c r="H334">
        <v>1.4800141</v>
      </c>
      <c r="I334">
        <v>-0.48001411999999999</v>
      </c>
      <c r="J334">
        <v>0.40322350000000001</v>
      </c>
    </row>
    <row r="335" spans="1:10" x14ac:dyDescent="0.3">
      <c r="A335">
        <v>333</v>
      </c>
      <c r="B335">
        <v>6189</v>
      </c>
      <c r="C335" t="b">
        <v>1</v>
      </c>
      <c r="D335">
        <v>8144</v>
      </c>
      <c r="E335">
        <v>8088</v>
      </c>
      <c r="F335">
        <v>280</v>
      </c>
      <c r="G335">
        <v>188.46665999999999</v>
      </c>
      <c r="H335">
        <v>1.4856739000000001</v>
      </c>
      <c r="I335">
        <v>-0.48567389999999999</v>
      </c>
      <c r="J335">
        <v>0.40230536</v>
      </c>
    </row>
    <row r="336" spans="1:10" x14ac:dyDescent="0.3">
      <c r="A336">
        <v>334</v>
      </c>
      <c r="B336">
        <v>6205</v>
      </c>
      <c r="C336" t="b">
        <v>1</v>
      </c>
      <c r="D336">
        <v>8144</v>
      </c>
      <c r="E336">
        <v>8112</v>
      </c>
      <c r="F336">
        <v>281.60000000000002</v>
      </c>
      <c r="G336">
        <v>188.46665999999999</v>
      </c>
      <c r="H336">
        <v>1.4941635</v>
      </c>
      <c r="I336">
        <v>-0.49416349999999998</v>
      </c>
      <c r="J336">
        <v>0.40093603999999999</v>
      </c>
    </row>
    <row r="337" spans="1:10" x14ac:dyDescent="0.3">
      <c r="A337">
        <v>335</v>
      </c>
      <c r="B337">
        <v>6221</v>
      </c>
      <c r="C337" t="b">
        <v>1</v>
      </c>
      <c r="D337">
        <v>8144</v>
      </c>
      <c r="E337">
        <v>8080</v>
      </c>
      <c r="F337">
        <v>283.73334</v>
      </c>
      <c r="G337">
        <v>188.46665999999999</v>
      </c>
      <c r="H337">
        <v>1.5054829000000001</v>
      </c>
      <c r="I337">
        <v>-0.50548289999999996</v>
      </c>
      <c r="J337">
        <v>0.39912465000000003</v>
      </c>
    </row>
    <row r="338" spans="1:10" x14ac:dyDescent="0.3">
      <c r="A338">
        <v>336</v>
      </c>
      <c r="B338">
        <v>6236</v>
      </c>
      <c r="C338" t="b">
        <v>1</v>
      </c>
      <c r="D338">
        <v>8088</v>
      </c>
      <c r="E338">
        <v>8112</v>
      </c>
      <c r="F338">
        <v>285.86667</v>
      </c>
      <c r="G338">
        <v>188.46665999999999</v>
      </c>
      <c r="H338">
        <v>1.5168022999999999</v>
      </c>
      <c r="I338">
        <v>-0.51680230000000005</v>
      </c>
      <c r="J338">
        <v>0.39732960000000001</v>
      </c>
    </row>
    <row r="339" spans="1:10" x14ac:dyDescent="0.3">
      <c r="A339">
        <v>337</v>
      </c>
      <c r="B339">
        <v>6252</v>
      </c>
      <c r="C339" t="b">
        <v>1</v>
      </c>
      <c r="D339">
        <v>8104</v>
      </c>
      <c r="E339">
        <v>8104</v>
      </c>
      <c r="F339">
        <v>289.60000000000002</v>
      </c>
      <c r="G339">
        <v>188.46665999999999</v>
      </c>
      <c r="H339">
        <v>1.5366112999999999</v>
      </c>
      <c r="I339">
        <v>-0.53661130000000001</v>
      </c>
      <c r="J339">
        <v>0.39422676000000001</v>
      </c>
    </row>
    <row r="340" spans="1:10" x14ac:dyDescent="0.3">
      <c r="A340">
        <v>338</v>
      </c>
      <c r="B340">
        <v>6284</v>
      </c>
      <c r="C340" t="b">
        <v>1</v>
      </c>
      <c r="D340">
        <v>8176</v>
      </c>
      <c r="E340">
        <v>8112</v>
      </c>
      <c r="F340">
        <v>292.8</v>
      </c>
      <c r="G340">
        <v>189</v>
      </c>
      <c r="H340">
        <v>1.5492063</v>
      </c>
      <c r="I340">
        <v>-0.54920625999999995</v>
      </c>
      <c r="J340">
        <v>0.39227897</v>
      </c>
    </row>
    <row r="341" spans="1:10" x14ac:dyDescent="0.3">
      <c r="A341">
        <v>339</v>
      </c>
      <c r="B341">
        <v>6316</v>
      </c>
      <c r="C341" t="b">
        <v>1</v>
      </c>
      <c r="D341">
        <v>8152</v>
      </c>
      <c r="E341">
        <v>8104</v>
      </c>
      <c r="F341">
        <v>294.93331999999998</v>
      </c>
      <c r="G341">
        <v>188.46665999999999</v>
      </c>
      <c r="H341">
        <v>1.5649097999999999</v>
      </c>
      <c r="I341">
        <v>-0.56490976000000004</v>
      </c>
      <c r="J341">
        <v>0.38987726</v>
      </c>
    </row>
    <row r="342" spans="1:10" x14ac:dyDescent="0.3">
      <c r="A342">
        <v>340</v>
      </c>
      <c r="B342">
        <v>6332</v>
      </c>
      <c r="C342" t="b">
        <v>1</v>
      </c>
      <c r="D342">
        <v>8080</v>
      </c>
      <c r="E342">
        <v>8072</v>
      </c>
      <c r="F342">
        <v>293.33334000000002</v>
      </c>
      <c r="G342">
        <v>188.46665999999999</v>
      </c>
      <c r="H342">
        <v>1.5564203000000001</v>
      </c>
      <c r="I342">
        <v>-0.55642029999999998</v>
      </c>
      <c r="J342">
        <v>0.39117200000000002</v>
      </c>
    </row>
    <row r="343" spans="1:10" x14ac:dyDescent="0.3">
      <c r="A343">
        <v>341</v>
      </c>
      <c r="B343">
        <v>6348</v>
      </c>
      <c r="C343" t="b">
        <v>1</v>
      </c>
      <c r="D343">
        <v>8128</v>
      </c>
      <c r="E343">
        <v>8096</v>
      </c>
      <c r="F343">
        <v>294.93331999999998</v>
      </c>
      <c r="G343">
        <v>188.46665999999999</v>
      </c>
      <c r="H343">
        <v>1.5649097999999999</v>
      </c>
      <c r="I343">
        <v>-0.56490976000000004</v>
      </c>
      <c r="J343">
        <v>0.38987726</v>
      </c>
    </row>
    <row r="344" spans="1:10" x14ac:dyDescent="0.3">
      <c r="A344">
        <v>342</v>
      </c>
      <c r="B344">
        <v>6364</v>
      </c>
      <c r="C344" t="b">
        <v>1</v>
      </c>
      <c r="D344">
        <v>8176</v>
      </c>
      <c r="E344">
        <v>8128</v>
      </c>
      <c r="F344">
        <v>296</v>
      </c>
      <c r="G344">
        <v>189.53334000000001</v>
      </c>
      <c r="H344">
        <v>1.5617304999999999</v>
      </c>
      <c r="I344">
        <v>-0.56173050000000002</v>
      </c>
      <c r="J344">
        <v>0.39036113</v>
      </c>
    </row>
    <row r="345" spans="1:10" x14ac:dyDescent="0.3">
      <c r="A345">
        <v>343</v>
      </c>
      <c r="B345">
        <v>6379</v>
      </c>
      <c r="C345" t="b">
        <v>1</v>
      </c>
      <c r="D345">
        <v>8128</v>
      </c>
      <c r="E345">
        <v>8112</v>
      </c>
      <c r="F345">
        <v>295.46667000000002</v>
      </c>
      <c r="G345">
        <v>189.53334000000001</v>
      </c>
      <c r="H345">
        <v>1.5589166000000001</v>
      </c>
      <c r="I345">
        <v>-0.55891659999999999</v>
      </c>
      <c r="J345">
        <v>0.39079039999999998</v>
      </c>
    </row>
    <row r="346" spans="1:10" x14ac:dyDescent="0.3">
      <c r="A346">
        <v>344</v>
      </c>
      <c r="B346">
        <v>6395</v>
      </c>
      <c r="C346" t="b">
        <v>1</v>
      </c>
      <c r="D346">
        <v>8136</v>
      </c>
      <c r="E346">
        <v>8104</v>
      </c>
      <c r="F346">
        <v>294.93331999999998</v>
      </c>
      <c r="G346">
        <v>189.53334000000001</v>
      </c>
      <c r="H346">
        <v>1.5561026</v>
      </c>
      <c r="I346">
        <v>-0.5561026</v>
      </c>
      <c r="J346">
        <v>0.39122059999999997</v>
      </c>
    </row>
    <row r="347" spans="1:10" x14ac:dyDescent="0.3">
      <c r="A347">
        <v>345</v>
      </c>
      <c r="B347">
        <v>6411</v>
      </c>
      <c r="C347" t="b">
        <v>1</v>
      </c>
      <c r="D347">
        <v>8080</v>
      </c>
      <c r="E347">
        <v>8120</v>
      </c>
      <c r="F347">
        <v>294.39999999999998</v>
      </c>
      <c r="G347">
        <v>190.06666999999999</v>
      </c>
      <c r="H347">
        <v>1.5489302</v>
      </c>
      <c r="I347">
        <v>-0.54893017</v>
      </c>
      <c r="J347">
        <v>0.39232144000000002</v>
      </c>
    </row>
    <row r="348" spans="1:10" x14ac:dyDescent="0.3">
      <c r="A348">
        <v>346</v>
      </c>
      <c r="B348">
        <v>6427</v>
      </c>
      <c r="C348" t="b">
        <v>1</v>
      </c>
      <c r="D348">
        <v>8136</v>
      </c>
      <c r="E348">
        <v>8136</v>
      </c>
      <c r="F348">
        <v>294.39999999999998</v>
      </c>
      <c r="G348">
        <v>191.13333</v>
      </c>
      <c r="H348">
        <v>1.540286</v>
      </c>
      <c r="I348">
        <v>-0.54028600000000004</v>
      </c>
      <c r="J348">
        <v>0.39365645999999999</v>
      </c>
    </row>
    <row r="349" spans="1:10" x14ac:dyDescent="0.3">
      <c r="A349">
        <v>347</v>
      </c>
      <c r="B349">
        <v>6443</v>
      </c>
      <c r="C349" t="b">
        <v>1</v>
      </c>
      <c r="D349">
        <v>8136</v>
      </c>
      <c r="E349">
        <v>8104</v>
      </c>
      <c r="F349">
        <v>294.93331999999998</v>
      </c>
      <c r="G349">
        <v>191.66667000000001</v>
      </c>
      <c r="H349">
        <v>1.5387824999999999</v>
      </c>
      <c r="I349">
        <v>-0.53878250000000005</v>
      </c>
      <c r="J349">
        <v>0.39388960000000001</v>
      </c>
    </row>
    <row r="350" spans="1:10" x14ac:dyDescent="0.3">
      <c r="A350">
        <v>348</v>
      </c>
      <c r="B350">
        <v>6459</v>
      </c>
      <c r="C350" t="b">
        <v>1</v>
      </c>
      <c r="D350">
        <v>8104</v>
      </c>
      <c r="E350">
        <v>8128</v>
      </c>
      <c r="F350">
        <v>295.46667000000002</v>
      </c>
      <c r="G350">
        <v>192.73334</v>
      </c>
      <c r="H350">
        <v>1.5330336</v>
      </c>
      <c r="I350">
        <v>-0.53303354999999997</v>
      </c>
      <c r="J350">
        <v>0.39478355999999998</v>
      </c>
    </row>
    <row r="351" spans="1:10" x14ac:dyDescent="0.3">
      <c r="A351">
        <v>349</v>
      </c>
      <c r="B351">
        <v>6475</v>
      </c>
      <c r="C351" t="b">
        <v>1</v>
      </c>
      <c r="D351">
        <v>8144</v>
      </c>
      <c r="E351">
        <v>8152</v>
      </c>
      <c r="F351">
        <v>295.46667000000002</v>
      </c>
      <c r="G351">
        <v>194.33332999999999</v>
      </c>
      <c r="H351">
        <v>1.5204116999999999</v>
      </c>
      <c r="I351">
        <v>-0.52041172999999996</v>
      </c>
      <c r="J351">
        <v>0.39676057999999997</v>
      </c>
    </row>
    <row r="352" spans="1:10" x14ac:dyDescent="0.3">
      <c r="A352">
        <v>350</v>
      </c>
      <c r="B352">
        <v>6491</v>
      </c>
      <c r="C352" t="b">
        <v>1</v>
      </c>
      <c r="D352">
        <v>8128</v>
      </c>
      <c r="E352">
        <v>8120</v>
      </c>
      <c r="F352">
        <v>294.93331999999998</v>
      </c>
      <c r="G352">
        <v>195.93333000000001</v>
      </c>
      <c r="H352">
        <v>1.5052738000000001</v>
      </c>
      <c r="I352">
        <v>-0.5052738</v>
      </c>
      <c r="J352">
        <v>0.39915796999999997</v>
      </c>
    </row>
    <row r="353" spans="1:10" x14ac:dyDescent="0.3">
      <c r="A353">
        <v>351</v>
      </c>
      <c r="B353">
        <v>6507</v>
      </c>
      <c r="C353" t="b">
        <v>1</v>
      </c>
      <c r="D353">
        <v>8104</v>
      </c>
      <c r="E353">
        <v>8080</v>
      </c>
      <c r="F353">
        <v>293.86667</v>
      </c>
      <c r="G353">
        <v>197</v>
      </c>
      <c r="H353">
        <v>1.491709</v>
      </c>
      <c r="I353">
        <v>-0.49170895999999997</v>
      </c>
      <c r="J353">
        <v>0.40133098</v>
      </c>
    </row>
    <row r="354" spans="1:10" x14ac:dyDescent="0.3">
      <c r="A354">
        <v>352</v>
      </c>
      <c r="B354">
        <v>6523</v>
      </c>
      <c r="C354" t="b">
        <v>1</v>
      </c>
      <c r="D354">
        <v>8128</v>
      </c>
      <c r="E354">
        <v>8104</v>
      </c>
      <c r="F354">
        <v>292.8</v>
      </c>
      <c r="G354">
        <v>198.06666999999999</v>
      </c>
      <c r="H354">
        <v>1.4782900999999999</v>
      </c>
      <c r="I354">
        <v>-0.47829008000000001</v>
      </c>
      <c r="J354">
        <v>0.40350399999999997</v>
      </c>
    </row>
    <row r="355" spans="1:10" x14ac:dyDescent="0.3">
      <c r="A355">
        <v>353</v>
      </c>
      <c r="B355">
        <v>6538</v>
      </c>
      <c r="C355" t="b">
        <v>1</v>
      </c>
      <c r="D355">
        <v>8152</v>
      </c>
      <c r="E355">
        <v>8096</v>
      </c>
      <c r="F355">
        <v>291.73334</v>
      </c>
      <c r="G355">
        <v>197.53334000000001</v>
      </c>
      <c r="H355">
        <v>1.4768815</v>
      </c>
      <c r="I355">
        <v>-0.47688150000000001</v>
      </c>
      <c r="J355">
        <v>0.40373350000000002</v>
      </c>
    </row>
    <row r="356" spans="1:10" x14ac:dyDescent="0.3">
      <c r="A356">
        <v>354</v>
      </c>
      <c r="B356">
        <v>6555</v>
      </c>
      <c r="C356" t="b">
        <v>1</v>
      </c>
      <c r="D356">
        <v>8128</v>
      </c>
      <c r="E356">
        <v>8104</v>
      </c>
      <c r="F356">
        <v>290.66665999999998</v>
      </c>
      <c r="G356">
        <v>197.53334000000001</v>
      </c>
      <c r="H356">
        <v>1.4714814000000001</v>
      </c>
      <c r="I356">
        <v>-0.4714815</v>
      </c>
      <c r="J356">
        <v>0.40461560000000002</v>
      </c>
    </row>
    <row r="357" spans="1:10" x14ac:dyDescent="0.3">
      <c r="A357">
        <v>355</v>
      </c>
      <c r="B357">
        <v>6570</v>
      </c>
      <c r="C357" t="b">
        <v>1</v>
      </c>
      <c r="D357">
        <v>8128</v>
      </c>
      <c r="E357">
        <v>8080</v>
      </c>
      <c r="F357">
        <v>292.26666</v>
      </c>
      <c r="G357">
        <v>197</v>
      </c>
      <c r="H357">
        <v>1.4835871</v>
      </c>
      <c r="I357">
        <v>-0.48358711999999998</v>
      </c>
      <c r="J357">
        <v>0.40264339999999998</v>
      </c>
    </row>
    <row r="358" spans="1:10" x14ac:dyDescent="0.3">
      <c r="A358">
        <v>356</v>
      </c>
      <c r="B358">
        <v>6586</v>
      </c>
      <c r="C358" t="b">
        <v>1</v>
      </c>
      <c r="D358">
        <v>8120</v>
      </c>
      <c r="E358">
        <v>8080</v>
      </c>
      <c r="F358">
        <v>292.26666</v>
      </c>
      <c r="G358">
        <v>196.46665999999999</v>
      </c>
      <c r="H358">
        <v>1.4876145000000001</v>
      </c>
      <c r="I358">
        <v>-0.48761453999999999</v>
      </c>
      <c r="J358">
        <v>0.40199151999999999</v>
      </c>
    </row>
    <row r="359" spans="1:10" x14ac:dyDescent="0.3">
      <c r="A359">
        <v>357</v>
      </c>
      <c r="B359">
        <v>6602</v>
      </c>
      <c r="C359" t="b">
        <v>1</v>
      </c>
      <c r="D359">
        <v>8112</v>
      </c>
      <c r="E359">
        <v>8112</v>
      </c>
      <c r="F359">
        <v>290.66665999999998</v>
      </c>
      <c r="G359">
        <v>195.93333000000001</v>
      </c>
      <c r="H359">
        <v>1.4834977</v>
      </c>
      <c r="I359">
        <v>-0.48349774000000001</v>
      </c>
      <c r="J359">
        <v>0.40265793</v>
      </c>
    </row>
    <row r="360" spans="1:10" x14ac:dyDescent="0.3">
      <c r="A360">
        <v>358</v>
      </c>
      <c r="B360">
        <v>6618</v>
      </c>
      <c r="C360" t="b">
        <v>1</v>
      </c>
      <c r="D360">
        <v>8128</v>
      </c>
      <c r="E360">
        <v>8128</v>
      </c>
      <c r="F360">
        <v>290.66665999999998</v>
      </c>
      <c r="G360">
        <v>195.93333000000001</v>
      </c>
      <c r="H360">
        <v>1.4834977</v>
      </c>
      <c r="I360">
        <v>-0.48349774000000001</v>
      </c>
      <c r="J360">
        <v>0.40265793</v>
      </c>
    </row>
    <row r="361" spans="1:10" x14ac:dyDescent="0.3">
      <c r="A361">
        <v>359</v>
      </c>
      <c r="B361">
        <v>6634</v>
      </c>
      <c r="C361" t="b">
        <v>1</v>
      </c>
      <c r="D361">
        <v>8128</v>
      </c>
      <c r="E361">
        <v>8120</v>
      </c>
      <c r="F361">
        <v>290.66665999999998</v>
      </c>
      <c r="G361">
        <v>196.46665999999999</v>
      </c>
      <c r="H361">
        <v>1.4794706</v>
      </c>
      <c r="I361">
        <v>-0.47947064</v>
      </c>
      <c r="J361">
        <v>0.4033119</v>
      </c>
    </row>
    <row r="362" spans="1:10" x14ac:dyDescent="0.3">
      <c r="A362">
        <v>360</v>
      </c>
      <c r="B362">
        <v>6649</v>
      </c>
      <c r="C362" t="b">
        <v>1</v>
      </c>
      <c r="D362">
        <v>8088</v>
      </c>
      <c r="E362">
        <v>8104</v>
      </c>
      <c r="F362">
        <v>290.13333</v>
      </c>
      <c r="G362">
        <v>196.46665999999999</v>
      </c>
      <c r="H362">
        <v>1.4767561</v>
      </c>
      <c r="I362">
        <v>-0.47675606999999998</v>
      </c>
      <c r="J362">
        <v>0.40375393999999998</v>
      </c>
    </row>
    <row r="363" spans="1:10" x14ac:dyDescent="0.3">
      <c r="A363">
        <v>361</v>
      </c>
      <c r="B363">
        <v>6665</v>
      </c>
      <c r="C363" t="b">
        <v>1</v>
      </c>
      <c r="D363">
        <v>8144</v>
      </c>
      <c r="E363">
        <v>8120</v>
      </c>
      <c r="F363">
        <v>289.60000000000002</v>
      </c>
      <c r="G363">
        <v>196.46665999999999</v>
      </c>
      <c r="H363">
        <v>1.4740415</v>
      </c>
      <c r="I363">
        <v>-0.4740415</v>
      </c>
      <c r="J363">
        <v>0.40419695</v>
      </c>
    </row>
    <row r="364" spans="1:10" x14ac:dyDescent="0.3">
      <c r="A364">
        <v>362</v>
      </c>
      <c r="B364">
        <v>6681</v>
      </c>
      <c r="C364" t="b">
        <v>1</v>
      </c>
      <c r="D364">
        <v>8128</v>
      </c>
      <c r="E364">
        <v>8080</v>
      </c>
      <c r="F364">
        <v>289.06668000000002</v>
      </c>
      <c r="G364">
        <v>197</v>
      </c>
      <c r="H364">
        <v>1.4673436</v>
      </c>
      <c r="I364">
        <v>-0.46734356999999999</v>
      </c>
      <c r="J364">
        <v>0.40529418</v>
      </c>
    </row>
    <row r="365" spans="1:10" x14ac:dyDescent="0.3">
      <c r="A365">
        <v>363</v>
      </c>
      <c r="B365">
        <v>6697</v>
      </c>
      <c r="C365" t="b">
        <v>1</v>
      </c>
      <c r="D365">
        <v>8152</v>
      </c>
      <c r="E365">
        <v>8120</v>
      </c>
      <c r="F365">
        <v>288.53332999999998</v>
      </c>
      <c r="G365">
        <v>197</v>
      </c>
      <c r="H365">
        <v>1.4646361999999999</v>
      </c>
      <c r="I365">
        <v>-0.46463618000000001</v>
      </c>
      <c r="J365">
        <v>0.40573939999999997</v>
      </c>
    </row>
    <row r="366" spans="1:10" x14ac:dyDescent="0.3">
      <c r="A366">
        <v>364</v>
      </c>
      <c r="B366">
        <v>6713</v>
      </c>
      <c r="C366" t="b">
        <v>1</v>
      </c>
      <c r="D366">
        <v>8136</v>
      </c>
      <c r="E366">
        <v>8112</v>
      </c>
      <c r="F366">
        <v>288.53332999999998</v>
      </c>
      <c r="G366">
        <v>195.93333000000001</v>
      </c>
      <c r="H366">
        <v>1.4726096</v>
      </c>
      <c r="I366">
        <v>-0.47260966999999998</v>
      </c>
      <c r="J366">
        <v>0.40443099999999998</v>
      </c>
    </row>
    <row r="367" spans="1:10" x14ac:dyDescent="0.3">
      <c r="A367">
        <v>365</v>
      </c>
      <c r="B367">
        <v>6729</v>
      </c>
      <c r="C367" t="b">
        <v>1</v>
      </c>
      <c r="D367">
        <v>8136</v>
      </c>
      <c r="E367">
        <v>8104</v>
      </c>
      <c r="F367">
        <v>288.53332999999998</v>
      </c>
      <c r="G367">
        <v>194.86667</v>
      </c>
      <c r="H367">
        <v>1.4806705</v>
      </c>
      <c r="I367">
        <v>-0.48067048000000001</v>
      </c>
      <c r="J367">
        <v>0.40311681999999999</v>
      </c>
    </row>
    <row r="368" spans="1:10" x14ac:dyDescent="0.3">
      <c r="A368">
        <v>366</v>
      </c>
      <c r="B368">
        <v>6744</v>
      </c>
      <c r="C368" t="b">
        <v>1</v>
      </c>
      <c r="D368">
        <v>8144</v>
      </c>
      <c r="E368">
        <v>8088</v>
      </c>
      <c r="F368">
        <v>289.06668000000002</v>
      </c>
      <c r="G368">
        <v>193.8</v>
      </c>
      <c r="H368">
        <v>1.4915721</v>
      </c>
      <c r="I368">
        <v>-0.49157210000000001</v>
      </c>
      <c r="J368">
        <v>0.40135300000000002</v>
      </c>
    </row>
    <row r="369" spans="1:10" x14ac:dyDescent="0.3">
      <c r="A369">
        <v>367</v>
      </c>
      <c r="B369">
        <v>6760</v>
      </c>
      <c r="C369" t="b">
        <v>1</v>
      </c>
      <c r="D369">
        <v>8104</v>
      </c>
      <c r="E369">
        <v>8096</v>
      </c>
      <c r="F369">
        <v>289.60000000000002</v>
      </c>
      <c r="G369">
        <v>192.73334</v>
      </c>
      <c r="H369">
        <v>1.5025942000000001</v>
      </c>
      <c r="I369">
        <v>-0.50259423000000003</v>
      </c>
      <c r="J369">
        <v>0.39958534000000001</v>
      </c>
    </row>
    <row r="370" spans="1:10" x14ac:dyDescent="0.3">
      <c r="A370">
        <v>368</v>
      </c>
      <c r="B370">
        <v>6776</v>
      </c>
      <c r="C370" t="b">
        <v>1</v>
      </c>
      <c r="D370">
        <v>8104</v>
      </c>
      <c r="E370">
        <v>8128</v>
      </c>
      <c r="F370">
        <v>290.13333</v>
      </c>
      <c r="G370">
        <v>192.73334</v>
      </c>
      <c r="H370">
        <v>1.5053614</v>
      </c>
      <c r="I370">
        <v>-0.50536144000000005</v>
      </c>
      <c r="J370">
        <v>0.399144</v>
      </c>
    </row>
    <row r="371" spans="1:10" x14ac:dyDescent="0.3">
      <c r="A371">
        <v>369</v>
      </c>
      <c r="B371">
        <v>6792</v>
      </c>
      <c r="C371" t="b">
        <v>1</v>
      </c>
      <c r="D371">
        <v>8112</v>
      </c>
      <c r="E371">
        <v>8136</v>
      </c>
      <c r="F371">
        <v>289.06668000000002</v>
      </c>
      <c r="G371">
        <v>192.73334</v>
      </c>
      <c r="H371">
        <v>1.4998271000000001</v>
      </c>
      <c r="I371">
        <v>-0.49982710000000002</v>
      </c>
      <c r="J371">
        <v>0.40002766000000001</v>
      </c>
    </row>
    <row r="372" spans="1:10" x14ac:dyDescent="0.3">
      <c r="A372">
        <v>370</v>
      </c>
      <c r="B372">
        <v>6808</v>
      </c>
      <c r="C372" t="b">
        <v>1</v>
      </c>
      <c r="D372">
        <v>8112</v>
      </c>
      <c r="E372">
        <v>8104</v>
      </c>
      <c r="F372">
        <v>288</v>
      </c>
      <c r="G372">
        <v>193.26666</v>
      </c>
      <c r="H372">
        <v>1.4901690000000001</v>
      </c>
      <c r="I372">
        <v>-0.49016905</v>
      </c>
      <c r="J372">
        <v>0.40157916999999999</v>
      </c>
    </row>
    <row r="373" spans="1:10" x14ac:dyDescent="0.3">
      <c r="A373">
        <v>371</v>
      </c>
      <c r="B373">
        <v>6824</v>
      </c>
      <c r="C373" t="b">
        <v>1</v>
      </c>
      <c r="D373">
        <v>8064</v>
      </c>
      <c r="E373">
        <v>8104</v>
      </c>
      <c r="F373">
        <v>286.39999999999998</v>
      </c>
      <c r="G373">
        <v>193.8</v>
      </c>
      <c r="H373">
        <v>1.4778122</v>
      </c>
      <c r="I373">
        <v>-0.47781210000000002</v>
      </c>
      <c r="J373">
        <v>0.40358182999999997</v>
      </c>
    </row>
    <row r="374" spans="1:10" x14ac:dyDescent="0.3">
      <c r="A374">
        <v>372</v>
      </c>
      <c r="B374">
        <v>6840</v>
      </c>
      <c r="C374" t="b">
        <v>1</v>
      </c>
      <c r="D374">
        <v>8104</v>
      </c>
      <c r="E374">
        <v>8088</v>
      </c>
      <c r="F374">
        <v>284.8</v>
      </c>
      <c r="G374">
        <v>194.33332999999999</v>
      </c>
      <c r="H374">
        <v>1.4655231</v>
      </c>
      <c r="I374">
        <v>-0.46552312000000001</v>
      </c>
      <c r="J374">
        <v>0.40559345000000002</v>
      </c>
    </row>
    <row r="375" spans="1:10" x14ac:dyDescent="0.3">
      <c r="A375">
        <v>373</v>
      </c>
      <c r="B375">
        <v>6856</v>
      </c>
      <c r="C375" t="b">
        <v>1</v>
      </c>
      <c r="D375">
        <v>8176</v>
      </c>
      <c r="E375">
        <v>8080</v>
      </c>
      <c r="F375">
        <v>283.73334</v>
      </c>
      <c r="G375">
        <v>194.33332999999999</v>
      </c>
      <c r="H375">
        <v>1.4600344000000001</v>
      </c>
      <c r="I375">
        <v>-0.46003437000000003</v>
      </c>
      <c r="J375">
        <v>0.40649839999999998</v>
      </c>
    </row>
    <row r="376" spans="1:10" x14ac:dyDescent="0.3">
      <c r="A376">
        <v>374</v>
      </c>
      <c r="B376">
        <v>6872</v>
      </c>
      <c r="C376" t="b">
        <v>1</v>
      </c>
      <c r="D376">
        <v>8104</v>
      </c>
      <c r="E376">
        <v>8128</v>
      </c>
      <c r="F376">
        <v>282.13333</v>
      </c>
      <c r="G376">
        <v>193.8</v>
      </c>
      <c r="H376">
        <v>1.4557964000000001</v>
      </c>
      <c r="I376">
        <v>-0.45579633000000003</v>
      </c>
      <c r="J376">
        <v>0.4071999</v>
      </c>
    </row>
    <row r="377" spans="1:10" x14ac:dyDescent="0.3">
      <c r="A377">
        <v>375</v>
      </c>
      <c r="B377">
        <v>6888</v>
      </c>
      <c r="C377" t="b">
        <v>1</v>
      </c>
      <c r="D377">
        <v>8144</v>
      </c>
      <c r="E377">
        <v>8112</v>
      </c>
      <c r="F377">
        <v>281.06668000000002</v>
      </c>
      <c r="G377">
        <v>193.26666</v>
      </c>
      <c r="H377">
        <v>1.4542946999999999</v>
      </c>
      <c r="I377">
        <v>-0.45429468000000001</v>
      </c>
      <c r="J377">
        <v>0.40744903999999998</v>
      </c>
    </row>
    <row r="378" spans="1:10" x14ac:dyDescent="0.3">
      <c r="A378">
        <v>376</v>
      </c>
      <c r="B378">
        <v>6904</v>
      </c>
      <c r="C378" t="b">
        <v>1</v>
      </c>
      <c r="D378">
        <v>8120</v>
      </c>
      <c r="E378">
        <v>8064</v>
      </c>
      <c r="F378">
        <v>280.53332999999998</v>
      </c>
      <c r="G378">
        <v>191.13333</v>
      </c>
      <c r="H378">
        <v>1.4677362</v>
      </c>
      <c r="I378">
        <v>-0.46773627000000001</v>
      </c>
      <c r="J378">
        <v>0.40522970000000003</v>
      </c>
    </row>
    <row r="379" spans="1:10" x14ac:dyDescent="0.3">
      <c r="A379">
        <v>377</v>
      </c>
      <c r="B379">
        <v>6919</v>
      </c>
      <c r="C379" t="b">
        <v>1</v>
      </c>
      <c r="D379">
        <v>8128</v>
      </c>
      <c r="E379">
        <v>8088</v>
      </c>
      <c r="F379">
        <v>280.53332999999998</v>
      </c>
      <c r="G379">
        <v>189</v>
      </c>
      <c r="H379">
        <v>1.4843033999999999</v>
      </c>
      <c r="I379">
        <v>-0.48430329999999999</v>
      </c>
      <c r="J379">
        <v>0.40252733000000002</v>
      </c>
    </row>
    <row r="380" spans="1:10" x14ac:dyDescent="0.3">
      <c r="A380">
        <v>378</v>
      </c>
      <c r="B380">
        <v>6935</v>
      </c>
      <c r="C380" t="b">
        <v>1</v>
      </c>
      <c r="D380">
        <v>8144</v>
      </c>
      <c r="E380">
        <v>8112</v>
      </c>
      <c r="F380">
        <v>280.53332999999998</v>
      </c>
      <c r="G380">
        <v>188.46665999999999</v>
      </c>
      <c r="H380">
        <v>1.4885037000000001</v>
      </c>
      <c r="I380">
        <v>-0.48850371999999997</v>
      </c>
      <c r="J380">
        <v>0.40184789999999998</v>
      </c>
    </row>
    <row r="381" spans="1:10" x14ac:dyDescent="0.3">
      <c r="A381">
        <v>379</v>
      </c>
      <c r="B381">
        <v>6967</v>
      </c>
      <c r="C381" t="b">
        <v>1</v>
      </c>
      <c r="D381">
        <v>8152</v>
      </c>
      <c r="E381">
        <v>8080</v>
      </c>
      <c r="F381">
        <v>281.06668000000002</v>
      </c>
      <c r="G381">
        <v>186.86667</v>
      </c>
      <c r="H381">
        <v>1.5041028000000001</v>
      </c>
      <c r="I381">
        <v>-0.50410279999999996</v>
      </c>
      <c r="J381">
        <v>0.39934461999999998</v>
      </c>
    </row>
    <row r="382" spans="1:10" x14ac:dyDescent="0.3">
      <c r="A382">
        <v>380</v>
      </c>
      <c r="B382">
        <v>6983</v>
      </c>
      <c r="C382" t="b">
        <v>1</v>
      </c>
      <c r="D382">
        <v>8104</v>
      </c>
      <c r="E382">
        <v>8120</v>
      </c>
      <c r="F382">
        <v>280.53332999999998</v>
      </c>
      <c r="G382">
        <v>185.26666</v>
      </c>
      <c r="H382">
        <v>1.5142137</v>
      </c>
      <c r="I382">
        <v>-0.51421373999999997</v>
      </c>
      <c r="J382">
        <v>0.39773867000000002</v>
      </c>
    </row>
    <row r="383" spans="1:10" x14ac:dyDescent="0.3">
      <c r="A383">
        <v>381</v>
      </c>
      <c r="B383">
        <v>6999</v>
      </c>
      <c r="C383" t="b">
        <v>1</v>
      </c>
      <c r="D383">
        <v>8112</v>
      </c>
      <c r="E383">
        <v>8096</v>
      </c>
      <c r="F383">
        <v>280</v>
      </c>
      <c r="G383">
        <v>184.73334</v>
      </c>
      <c r="H383">
        <v>1.5156982999999999</v>
      </c>
      <c r="I383">
        <v>-0.51569825000000002</v>
      </c>
      <c r="J383">
        <v>0.39750394</v>
      </c>
    </row>
    <row r="384" spans="1:10" x14ac:dyDescent="0.3">
      <c r="A384">
        <v>382</v>
      </c>
      <c r="B384">
        <v>7015</v>
      </c>
      <c r="C384" t="b">
        <v>1</v>
      </c>
      <c r="D384">
        <v>8144</v>
      </c>
      <c r="E384">
        <v>8112</v>
      </c>
      <c r="F384">
        <v>280.53332999999998</v>
      </c>
      <c r="G384">
        <v>185.26666</v>
      </c>
      <c r="H384">
        <v>1.5142137</v>
      </c>
      <c r="I384">
        <v>-0.51421373999999997</v>
      </c>
      <c r="J384">
        <v>0.39773867000000002</v>
      </c>
    </row>
    <row r="385" spans="1:10" x14ac:dyDescent="0.3">
      <c r="A385">
        <v>383</v>
      </c>
      <c r="B385">
        <v>7031</v>
      </c>
      <c r="C385" t="b">
        <v>1</v>
      </c>
      <c r="D385">
        <v>8096</v>
      </c>
      <c r="E385">
        <v>8080</v>
      </c>
      <c r="F385">
        <v>278.93331999999998</v>
      </c>
      <c r="G385">
        <v>184.73334</v>
      </c>
      <c r="H385">
        <v>1.509924</v>
      </c>
      <c r="I385">
        <v>-0.50992409999999999</v>
      </c>
      <c r="J385">
        <v>0.39841842999999999</v>
      </c>
    </row>
    <row r="386" spans="1:10" x14ac:dyDescent="0.3">
      <c r="A386">
        <v>384</v>
      </c>
      <c r="B386">
        <v>7047</v>
      </c>
      <c r="C386" t="b">
        <v>1</v>
      </c>
      <c r="D386">
        <v>8128</v>
      </c>
      <c r="E386">
        <v>8112</v>
      </c>
      <c r="F386">
        <v>278.93331999999998</v>
      </c>
      <c r="G386">
        <v>185.26666</v>
      </c>
      <c r="H386">
        <v>1.5055774</v>
      </c>
      <c r="I386">
        <v>-0.50557750000000001</v>
      </c>
      <c r="J386">
        <v>0.39910957000000002</v>
      </c>
    </row>
    <row r="387" spans="1:10" x14ac:dyDescent="0.3">
      <c r="A387">
        <v>385</v>
      </c>
      <c r="B387">
        <v>7063</v>
      </c>
      <c r="C387" t="b">
        <v>1</v>
      </c>
      <c r="D387">
        <v>8136</v>
      </c>
      <c r="E387">
        <v>8104</v>
      </c>
      <c r="F387">
        <v>280</v>
      </c>
      <c r="G387">
        <v>185.26666</v>
      </c>
      <c r="H387">
        <v>1.5113350000000001</v>
      </c>
      <c r="I387">
        <v>-0.51133510000000004</v>
      </c>
      <c r="J387">
        <v>0.39819458000000002</v>
      </c>
    </row>
    <row r="388" spans="1:10" x14ac:dyDescent="0.3">
      <c r="A388">
        <v>386</v>
      </c>
      <c r="B388">
        <v>7079</v>
      </c>
      <c r="C388" t="b">
        <v>1</v>
      </c>
      <c r="D388">
        <v>8112</v>
      </c>
      <c r="E388">
        <v>8088</v>
      </c>
      <c r="F388">
        <v>281.60000000000002</v>
      </c>
      <c r="G388">
        <v>185.26666</v>
      </c>
      <c r="H388">
        <v>1.5199712999999999</v>
      </c>
      <c r="I388">
        <v>-0.51997125</v>
      </c>
      <c r="J388">
        <v>0.39682993</v>
      </c>
    </row>
    <row r="389" spans="1:10" x14ac:dyDescent="0.3">
      <c r="A389">
        <v>387</v>
      </c>
      <c r="B389">
        <v>7095</v>
      </c>
      <c r="C389" t="b">
        <v>1</v>
      </c>
      <c r="D389">
        <v>8104</v>
      </c>
      <c r="E389">
        <v>8104</v>
      </c>
      <c r="F389">
        <v>282.13333</v>
      </c>
      <c r="G389">
        <v>185.26666</v>
      </c>
      <c r="H389">
        <v>1.5228499</v>
      </c>
      <c r="I389">
        <v>-0.52285000000000004</v>
      </c>
      <c r="J389">
        <v>0.39637712000000003</v>
      </c>
    </row>
    <row r="390" spans="1:10" x14ac:dyDescent="0.3">
      <c r="A390">
        <v>388</v>
      </c>
      <c r="B390">
        <v>7111</v>
      </c>
      <c r="C390" t="b">
        <v>1</v>
      </c>
      <c r="D390">
        <v>8088</v>
      </c>
      <c r="E390">
        <v>8128</v>
      </c>
      <c r="F390">
        <v>282.13333</v>
      </c>
      <c r="G390">
        <v>185.26666</v>
      </c>
      <c r="H390">
        <v>1.5228499</v>
      </c>
      <c r="I390">
        <v>-0.52285000000000004</v>
      </c>
      <c r="J390">
        <v>0.39637712000000003</v>
      </c>
    </row>
    <row r="391" spans="1:10" x14ac:dyDescent="0.3">
      <c r="A391">
        <v>389</v>
      </c>
      <c r="B391">
        <v>7127</v>
      </c>
      <c r="C391" t="b">
        <v>1</v>
      </c>
      <c r="D391">
        <v>8136</v>
      </c>
      <c r="E391">
        <v>8120</v>
      </c>
      <c r="F391">
        <v>282.66665999999998</v>
      </c>
      <c r="G391">
        <v>185.26666</v>
      </c>
      <c r="H391">
        <v>1.5257286999999999</v>
      </c>
      <c r="I391">
        <v>-0.52572863999999997</v>
      </c>
      <c r="J391">
        <v>0.39592534000000001</v>
      </c>
    </row>
    <row r="392" spans="1:10" x14ac:dyDescent="0.3">
      <c r="A392">
        <v>390</v>
      </c>
      <c r="B392">
        <v>7143</v>
      </c>
      <c r="C392" t="b">
        <v>1</v>
      </c>
      <c r="D392">
        <v>8096</v>
      </c>
      <c r="E392">
        <v>8136</v>
      </c>
      <c r="F392">
        <v>282.66665999999998</v>
      </c>
      <c r="G392">
        <v>186.33332999999999</v>
      </c>
      <c r="H392">
        <v>1.5169946000000001</v>
      </c>
      <c r="I392">
        <v>-0.51699459999999997</v>
      </c>
      <c r="J392">
        <v>0.39729920000000002</v>
      </c>
    </row>
    <row r="393" spans="1:10" x14ac:dyDescent="0.3">
      <c r="A393">
        <v>391</v>
      </c>
      <c r="B393">
        <v>7159</v>
      </c>
      <c r="C393" t="b">
        <v>1</v>
      </c>
      <c r="D393">
        <v>8144</v>
      </c>
      <c r="E393">
        <v>8136</v>
      </c>
      <c r="F393">
        <v>281.60000000000002</v>
      </c>
      <c r="G393">
        <v>189</v>
      </c>
      <c r="H393">
        <v>1.4899471</v>
      </c>
      <c r="I393">
        <v>-0.48994710000000002</v>
      </c>
      <c r="J393">
        <v>0.40161496000000002</v>
      </c>
    </row>
    <row r="394" spans="1:10" x14ac:dyDescent="0.3">
      <c r="A394">
        <v>392</v>
      </c>
      <c r="B394">
        <v>7175</v>
      </c>
      <c r="C394" t="b">
        <v>1</v>
      </c>
      <c r="D394">
        <v>8096</v>
      </c>
      <c r="E394">
        <v>8128</v>
      </c>
      <c r="F394">
        <v>279.46667000000002</v>
      </c>
      <c r="G394">
        <v>191.66667000000001</v>
      </c>
      <c r="H394">
        <v>1.4580869999999999</v>
      </c>
      <c r="I394">
        <v>-0.45808696999999998</v>
      </c>
      <c r="J394">
        <v>0.40682042000000002</v>
      </c>
    </row>
    <row r="395" spans="1:10" x14ac:dyDescent="0.3">
      <c r="A395">
        <v>393</v>
      </c>
      <c r="B395">
        <v>7191</v>
      </c>
      <c r="C395" t="b">
        <v>1</v>
      </c>
      <c r="D395">
        <v>8104</v>
      </c>
      <c r="E395">
        <v>8104</v>
      </c>
      <c r="F395">
        <v>277.86667</v>
      </c>
      <c r="G395">
        <v>192.73334</v>
      </c>
      <c r="H395">
        <v>1.4417156</v>
      </c>
      <c r="I395">
        <v>-0.44171566000000001</v>
      </c>
      <c r="J395">
        <v>0.40954810000000003</v>
      </c>
    </row>
    <row r="396" spans="1:10" x14ac:dyDescent="0.3">
      <c r="A396">
        <v>394</v>
      </c>
      <c r="B396">
        <v>7207</v>
      </c>
      <c r="C396" t="b">
        <v>1</v>
      </c>
      <c r="D396">
        <v>8128</v>
      </c>
      <c r="E396">
        <v>8128</v>
      </c>
      <c r="F396">
        <v>275.2</v>
      </c>
      <c r="G396">
        <v>195.4</v>
      </c>
      <c r="H396">
        <v>1.4083931000000001</v>
      </c>
      <c r="I396">
        <v>-0.40839313999999999</v>
      </c>
      <c r="J396">
        <v>0.41521459999999999</v>
      </c>
    </row>
    <row r="397" spans="1:10" x14ac:dyDescent="0.3">
      <c r="A397">
        <v>395</v>
      </c>
      <c r="B397">
        <v>7223</v>
      </c>
      <c r="C397" t="b">
        <v>1</v>
      </c>
      <c r="D397">
        <v>8152</v>
      </c>
      <c r="E397">
        <v>8104</v>
      </c>
      <c r="F397">
        <v>275.2</v>
      </c>
      <c r="G397">
        <v>198.06666999999999</v>
      </c>
      <c r="H397">
        <v>1.3894312</v>
      </c>
      <c r="I397">
        <v>-0.38943124000000001</v>
      </c>
      <c r="J397">
        <v>0.41850966000000001</v>
      </c>
    </row>
    <row r="398" spans="1:10" x14ac:dyDescent="0.3">
      <c r="A398">
        <v>396</v>
      </c>
      <c r="B398">
        <v>7238</v>
      </c>
      <c r="C398" t="b">
        <v>1</v>
      </c>
      <c r="D398">
        <v>8088</v>
      </c>
      <c r="E398">
        <v>8096</v>
      </c>
      <c r="F398">
        <v>273.60000000000002</v>
      </c>
      <c r="G398">
        <v>198.6</v>
      </c>
      <c r="H398">
        <v>1.3776435</v>
      </c>
      <c r="I398">
        <v>-0.37764350000000002</v>
      </c>
      <c r="J398">
        <v>0.42058449999999997</v>
      </c>
    </row>
    <row r="399" spans="1:10" x14ac:dyDescent="0.3">
      <c r="A399">
        <v>397</v>
      </c>
      <c r="B399">
        <v>7254</v>
      </c>
      <c r="C399" t="b">
        <v>1</v>
      </c>
      <c r="D399">
        <v>8096</v>
      </c>
      <c r="E399">
        <v>8088</v>
      </c>
      <c r="F399">
        <v>270.93331999999998</v>
      </c>
      <c r="G399">
        <v>198.06666999999999</v>
      </c>
      <c r="H399">
        <v>1.3678895</v>
      </c>
      <c r="I399">
        <v>-0.36788952000000003</v>
      </c>
      <c r="J399">
        <v>0.422317</v>
      </c>
    </row>
    <row r="400" spans="1:10" x14ac:dyDescent="0.3">
      <c r="A400">
        <v>398</v>
      </c>
      <c r="B400">
        <v>7270</v>
      </c>
      <c r="C400" t="b">
        <v>1</v>
      </c>
      <c r="D400">
        <v>8152</v>
      </c>
      <c r="E400">
        <v>8080</v>
      </c>
      <c r="F400">
        <v>272</v>
      </c>
      <c r="G400">
        <v>198.06666999999999</v>
      </c>
      <c r="H400">
        <v>1.373275</v>
      </c>
      <c r="I400">
        <v>-0.37327500000000002</v>
      </c>
      <c r="J400">
        <v>0.42135866999999999</v>
      </c>
    </row>
    <row r="401" spans="1:10" x14ac:dyDescent="0.3">
      <c r="A401">
        <v>399</v>
      </c>
      <c r="B401">
        <v>7286</v>
      </c>
      <c r="C401" t="b">
        <v>1</v>
      </c>
      <c r="D401">
        <v>8152</v>
      </c>
      <c r="E401">
        <v>8112</v>
      </c>
      <c r="F401">
        <v>274.66665999999998</v>
      </c>
      <c r="G401">
        <v>197</v>
      </c>
      <c r="H401">
        <v>1.3942469</v>
      </c>
      <c r="I401">
        <v>-0.39424700000000001</v>
      </c>
      <c r="J401">
        <v>0.41766787</v>
      </c>
    </row>
    <row r="402" spans="1:10" x14ac:dyDescent="0.3">
      <c r="A402">
        <v>400</v>
      </c>
      <c r="B402">
        <v>7302</v>
      </c>
      <c r="C402" t="b">
        <v>1</v>
      </c>
      <c r="D402">
        <v>8128</v>
      </c>
      <c r="E402">
        <v>8144</v>
      </c>
      <c r="F402">
        <v>274.66665999999998</v>
      </c>
      <c r="G402">
        <v>196.46665999999999</v>
      </c>
      <c r="H402">
        <v>1.3980319999999999</v>
      </c>
      <c r="I402">
        <v>-0.39803189999999999</v>
      </c>
      <c r="J402">
        <v>0.41700863999999999</v>
      </c>
    </row>
    <row r="403" spans="1:10" x14ac:dyDescent="0.3">
      <c r="A403">
        <v>401</v>
      </c>
      <c r="B403">
        <v>7318</v>
      </c>
      <c r="C403" t="b">
        <v>1</v>
      </c>
      <c r="D403">
        <v>8128</v>
      </c>
      <c r="E403">
        <v>8152</v>
      </c>
      <c r="F403">
        <v>274.66665999999998</v>
      </c>
      <c r="G403">
        <v>197</v>
      </c>
      <c r="H403">
        <v>1.3942469</v>
      </c>
      <c r="I403">
        <v>-0.39424700000000001</v>
      </c>
      <c r="J403">
        <v>0.41766787</v>
      </c>
    </row>
    <row r="404" spans="1:10" x14ac:dyDescent="0.3">
      <c r="A404">
        <v>402</v>
      </c>
      <c r="B404">
        <v>7350</v>
      </c>
      <c r="C404" t="b">
        <v>1</v>
      </c>
      <c r="D404">
        <v>8128</v>
      </c>
      <c r="E404">
        <v>8128</v>
      </c>
      <c r="F404">
        <v>275.73334</v>
      </c>
      <c r="G404">
        <v>198.6</v>
      </c>
      <c r="H404">
        <v>1.3883852999999999</v>
      </c>
      <c r="I404">
        <v>-0.38838536000000001</v>
      </c>
      <c r="J404">
        <v>0.41869292000000002</v>
      </c>
    </row>
    <row r="405" spans="1:10" x14ac:dyDescent="0.3">
      <c r="A405">
        <v>403</v>
      </c>
      <c r="B405">
        <v>7366</v>
      </c>
      <c r="C405" t="b">
        <v>1</v>
      </c>
      <c r="D405">
        <v>8128</v>
      </c>
      <c r="E405">
        <v>8128</v>
      </c>
      <c r="F405">
        <v>276.8</v>
      </c>
      <c r="G405">
        <v>200.2</v>
      </c>
      <c r="H405">
        <v>1.3826174</v>
      </c>
      <c r="I405">
        <v>-0.38261735000000002</v>
      </c>
      <c r="J405">
        <v>0.41970649999999998</v>
      </c>
    </row>
    <row r="406" spans="1:10" x14ac:dyDescent="0.3">
      <c r="A406">
        <v>404</v>
      </c>
      <c r="B406">
        <v>7382</v>
      </c>
      <c r="C406" t="b">
        <v>1</v>
      </c>
      <c r="D406">
        <v>8080</v>
      </c>
      <c r="E406">
        <v>8104</v>
      </c>
      <c r="F406">
        <v>277.86667</v>
      </c>
      <c r="G406">
        <v>201.8</v>
      </c>
      <c r="H406">
        <v>1.3769408000000001</v>
      </c>
      <c r="I406">
        <v>-0.37694084999999999</v>
      </c>
      <c r="J406">
        <v>0.42070879999999999</v>
      </c>
    </row>
    <row r="407" spans="1:10" x14ac:dyDescent="0.3">
      <c r="A407">
        <v>405</v>
      </c>
      <c r="B407">
        <v>7397</v>
      </c>
      <c r="C407" t="b">
        <v>1</v>
      </c>
      <c r="D407">
        <v>8120</v>
      </c>
      <c r="E407">
        <v>8112</v>
      </c>
      <c r="F407">
        <v>279.46667000000002</v>
      </c>
      <c r="G407">
        <v>202.33332999999999</v>
      </c>
      <c r="H407">
        <v>1.3812191</v>
      </c>
      <c r="I407">
        <v>-0.38121917999999999</v>
      </c>
      <c r="J407">
        <v>0.41995295999999999</v>
      </c>
    </row>
    <row r="408" spans="1:10" x14ac:dyDescent="0.3">
      <c r="A408">
        <v>406</v>
      </c>
      <c r="B408">
        <v>7413</v>
      </c>
      <c r="C408" t="b">
        <v>1</v>
      </c>
      <c r="D408">
        <v>8160</v>
      </c>
      <c r="E408">
        <v>8096</v>
      </c>
      <c r="F408">
        <v>281.06668000000002</v>
      </c>
      <c r="G408">
        <v>201.26666</v>
      </c>
      <c r="H408">
        <v>1.3964890000000001</v>
      </c>
      <c r="I408">
        <v>-0.39648899999999998</v>
      </c>
      <c r="J408">
        <v>0.41727710000000001</v>
      </c>
    </row>
    <row r="409" spans="1:10" x14ac:dyDescent="0.3">
      <c r="A409">
        <v>407</v>
      </c>
      <c r="B409">
        <v>7429</v>
      </c>
      <c r="C409" t="b">
        <v>1</v>
      </c>
      <c r="D409">
        <v>8104</v>
      </c>
      <c r="E409">
        <v>8088</v>
      </c>
      <c r="F409">
        <v>282.66665999999998</v>
      </c>
      <c r="G409">
        <v>199.66667000000001</v>
      </c>
      <c r="H409">
        <v>1.4156926999999999</v>
      </c>
      <c r="I409">
        <v>-0.41569275</v>
      </c>
      <c r="J409">
        <v>0.41395995000000002</v>
      </c>
    </row>
    <row r="410" spans="1:10" x14ac:dyDescent="0.3">
      <c r="A410">
        <v>408</v>
      </c>
      <c r="B410">
        <v>7445</v>
      </c>
      <c r="C410" t="b">
        <v>1</v>
      </c>
      <c r="D410">
        <v>8120</v>
      </c>
      <c r="E410">
        <v>8112</v>
      </c>
      <c r="F410">
        <v>283.73334</v>
      </c>
      <c r="G410">
        <v>198.06666999999999</v>
      </c>
      <c r="H410">
        <v>1.4325143</v>
      </c>
      <c r="I410">
        <v>-0.43251434</v>
      </c>
      <c r="J410">
        <v>0.4110973</v>
      </c>
    </row>
    <row r="411" spans="1:10" x14ac:dyDescent="0.3">
      <c r="A411">
        <v>409</v>
      </c>
      <c r="B411">
        <v>7461</v>
      </c>
      <c r="C411" t="b">
        <v>1</v>
      </c>
      <c r="D411">
        <v>8136</v>
      </c>
      <c r="E411">
        <v>8128</v>
      </c>
      <c r="F411">
        <v>284.8</v>
      </c>
      <c r="G411">
        <v>197</v>
      </c>
      <c r="H411">
        <v>1.4456853000000001</v>
      </c>
      <c r="I411">
        <v>-0.4456852</v>
      </c>
      <c r="J411">
        <v>0.40888335999999997</v>
      </c>
    </row>
    <row r="412" spans="1:10" x14ac:dyDescent="0.3">
      <c r="A412">
        <v>410</v>
      </c>
      <c r="B412">
        <v>7477</v>
      </c>
      <c r="C412" t="b">
        <v>1</v>
      </c>
      <c r="D412">
        <v>8168</v>
      </c>
      <c r="E412">
        <v>8104</v>
      </c>
      <c r="F412">
        <v>285.33334000000002</v>
      </c>
      <c r="G412">
        <v>195.4</v>
      </c>
      <c r="H412">
        <v>1.4602525</v>
      </c>
      <c r="I412">
        <v>-0.46025258000000002</v>
      </c>
      <c r="J412">
        <v>0.40646233999999998</v>
      </c>
    </row>
    <row r="413" spans="1:10" x14ac:dyDescent="0.3">
      <c r="A413">
        <v>411</v>
      </c>
      <c r="B413">
        <v>7493</v>
      </c>
      <c r="C413" t="b">
        <v>1</v>
      </c>
      <c r="D413">
        <v>8192</v>
      </c>
      <c r="E413">
        <v>8128</v>
      </c>
      <c r="F413">
        <v>287.46667000000002</v>
      </c>
      <c r="G413">
        <v>195.93333000000001</v>
      </c>
      <c r="H413">
        <v>1.4671657</v>
      </c>
      <c r="I413">
        <v>-0.46716574</v>
      </c>
      <c r="J413">
        <v>0.4053234</v>
      </c>
    </row>
    <row r="414" spans="1:10" x14ac:dyDescent="0.3">
      <c r="A414">
        <v>412</v>
      </c>
      <c r="B414">
        <v>7509</v>
      </c>
      <c r="C414" t="b">
        <v>1</v>
      </c>
      <c r="D414">
        <v>8120</v>
      </c>
      <c r="E414">
        <v>8112</v>
      </c>
      <c r="F414">
        <v>289.60000000000002</v>
      </c>
      <c r="G414">
        <v>196.46665999999999</v>
      </c>
      <c r="H414">
        <v>1.4740415</v>
      </c>
      <c r="I414">
        <v>-0.4740415</v>
      </c>
      <c r="J414">
        <v>0.40419695</v>
      </c>
    </row>
    <row r="415" spans="1:10" x14ac:dyDescent="0.3">
      <c r="A415">
        <v>413</v>
      </c>
      <c r="B415">
        <v>7524</v>
      </c>
      <c r="C415" t="b">
        <v>1</v>
      </c>
      <c r="D415">
        <v>8064</v>
      </c>
      <c r="E415">
        <v>8080</v>
      </c>
      <c r="F415">
        <v>290.13333</v>
      </c>
      <c r="G415">
        <v>197.53334000000001</v>
      </c>
      <c r="H415">
        <v>1.4687816</v>
      </c>
      <c r="I415">
        <v>-0.46878160000000002</v>
      </c>
      <c r="J415">
        <v>0.40505809999999998</v>
      </c>
    </row>
    <row r="416" spans="1:10" x14ac:dyDescent="0.3">
      <c r="A416">
        <v>414</v>
      </c>
      <c r="B416">
        <v>7540</v>
      </c>
      <c r="C416" t="b">
        <v>1</v>
      </c>
      <c r="D416">
        <v>8104</v>
      </c>
      <c r="E416">
        <v>8120</v>
      </c>
      <c r="F416">
        <v>288</v>
      </c>
      <c r="G416">
        <v>198.6</v>
      </c>
      <c r="H416">
        <v>1.450151</v>
      </c>
      <c r="I416">
        <v>-0.45015103000000001</v>
      </c>
      <c r="J416">
        <v>0.4081381</v>
      </c>
    </row>
    <row r="417" spans="1:10" x14ac:dyDescent="0.3">
      <c r="A417">
        <v>415</v>
      </c>
      <c r="B417">
        <v>7556</v>
      </c>
      <c r="C417" t="b">
        <v>1</v>
      </c>
      <c r="D417">
        <v>8168</v>
      </c>
      <c r="E417">
        <v>8136</v>
      </c>
      <c r="F417">
        <v>287.46667000000002</v>
      </c>
      <c r="G417">
        <v>200.2</v>
      </c>
      <c r="H417">
        <v>1.4358975</v>
      </c>
      <c r="I417">
        <v>-0.43589749999999999</v>
      </c>
      <c r="J417">
        <v>0.41052630000000001</v>
      </c>
    </row>
    <row r="418" spans="1:10" x14ac:dyDescent="0.3">
      <c r="A418">
        <v>416</v>
      </c>
      <c r="B418">
        <v>7572</v>
      </c>
      <c r="C418" t="b">
        <v>1</v>
      </c>
      <c r="D418">
        <v>8168</v>
      </c>
      <c r="E418">
        <v>8072</v>
      </c>
      <c r="F418">
        <v>286.93331999999998</v>
      </c>
      <c r="G418">
        <v>200.2</v>
      </c>
      <c r="H418">
        <v>1.4332334</v>
      </c>
      <c r="I418">
        <v>-0.43323338</v>
      </c>
      <c r="J418">
        <v>0.41097578000000001</v>
      </c>
    </row>
    <row r="419" spans="1:10" x14ac:dyDescent="0.3">
      <c r="A419">
        <v>417</v>
      </c>
      <c r="B419">
        <v>7588</v>
      </c>
      <c r="C419" t="b">
        <v>1</v>
      </c>
      <c r="D419">
        <v>8088</v>
      </c>
      <c r="E419">
        <v>8080</v>
      </c>
      <c r="F419">
        <v>285.33334000000002</v>
      </c>
      <c r="G419">
        <v>197</v>
      </c>
      <c r="H419">
        <v>1.4483926</v>
      </c>
      <c r="I419">
        <v>-0.44839259999999997</v>
      </c>
      <c r="J419">
        <v>0.40843122999999998</v>
      </c>
    </row>
    <row r="420" spans="1:10" x14ac:dyDescent="0.3">
      <c r="A420">
        <v>418</v>
      </c>
      <c r="B420">
        <v>7619</v>
      </c>
      <c r="C420" t="b">
        <v>1</v>
      </c>
      <c r="D420">
        <v>8128</v>
      </c>
      <c r="E420">
        <v>8120</v>
      </c>
      <c r="F420">
        <v>285.33334000000002</v>
      </c>
      <c r="G420">
        <v>196.46665999999999</v>
      </c>
      <c r="H420">
        <v>1.4523245</v>
      </c>
      <c r="I420">
        <v>-0.45232450000000002</v>
      </c>
      <c r="J420">
        <v>0.40777639999999998</v>
      </c>
    </row>
    <row r="421" spans="1:10" x14ac:dyDescent="0.3">
      <c r="A421">
        <v>419</v>
      </c>
      <c r="B421">
        <v>7651</v>
      </c>
      <c r="C421" t="b">
        <v>1</v>
      </c>
      <c r="D421">
        <v>8104</v>
      </c>
      <c r="E421">
        <v>8080</v>
      </c>
      <c r="F421">
        <v>285.33334000000002</v>
      </c>
      <c r="G421">
        <v>193.26666</v>
      </c>
      <c r="H421">
        <v>1.4763713000000001</v>
      </c>
      <c r="I421">
        <v>-0.47637126000000002</v>
      </c>
      <c r="J421">
        <v>0.40381666999999999</v>
      </c>
    </row>
    <row r="422" spans="1:10" x14ac:dyDescent="0.3">
      <c r="A422">
        <v>420</v>
      </c>
      <c r="B422">
        <v>7667</v>
      </c>
      <c r="C422" t="b">
        <v>1</v>
      </c>
      <c r="D422">
        <v>8112</v>
      </c>
      <c r="E422">
        <v>8128</v>
      </c>
      <c r="F422">
        <v>284.26666</v>
      </c>
      <c r="G422">
        <v>190.06666999999999</v>
      </c>
      <c r="H422">
        <v>1.4956156</v>
      </c>
      <c r="I422">
        <v>-0.49561557000000001</v>
      </c>
      <c r="J422">
        <v>0.40070274</v>
      </c>
    </row>
    <row r="423" spans="1:10" x14ac:dyDescent="0.3">
      <c r="A423">
        <v>421</v>
      </c>
      <c r="B423">
        <v>7683</v>
      </c>
      <c r="C423" t="b">
        <v>1</v>
      </c>
      <c r="D423">
        <v>8136</v>
      </c>
      <c r="E423">
        <v>8104</v>
      </c>
      <c r="F423">
        <v>283.2</v>
      </c>
      <c r="G423">
        <v>189.53334000000001</v>
      </c>
      <c r="H423">
        <v>1.4941963</v>
      </c>
      <c r="I423">
        <v>-0.49419626999999999</v>
      </c>
      <c r="J423">
        <v>0.40093076</v>
      </c>
    </row>
    <row r="424" spans="1:10" x14ac:dyDescent="0.3">
      <c r="A424">
        <v>422</v>
      </c>
      <c r="B424">
        <v>7699</v>
      </c>
      <c r="C424" t="b">
        <v>1</v>
      </c>
      <c r="D424">
        <v>8144</v>
      </c>
      <c r="E424">
        <v>8112</v>
      </c>
      <c r="F424">
        <v>283.73334</v>
      </c>
      <c r="G424">
        <v>190.06666999999999</v>
      </c>
      <c r="H424">
        <v>1.4928094999999999</v>
      </c>
      <c r="I424">
        <v>-0.49280955999999998</v>
      </c>
      <c r="J424">
        <v>0.4011538</v>
      </c>
    </row>
    <row r="425" spans="1:10" x14ac:dyDescent="0.3">
      <c r="A425">
        <v>423</v>
      </c>
      <c r="B425">
        <v>7715</v>
      </c>
      <c r="C425" t="b">
        <v>1</v>
      </c>
      <c r="D425">
        <v>8112</v>
      </c>
      <c r="E425">
        <v>8096</v>
      </c>
      <c r="F425">
        <v>283.2</v>
      </c>
      <c r="G425">
        <v>190.06666999999999</v>
      </c>
      <c r="H425">
        <v>1.4900036000000001</v>
      </c>
      <c r="I425">
        <v>-0.49000359999999998</v>
      </c>
      <c r="J425">
        <v>0.40160586999999998</v>
      </c>
    </row>
    <row r="426" spans="1:10" x14ac:dyDescent="0.3">
      <c r="A426">
        <v>424</v>
      </c>
      <c r="B426">
        <v>7747</v>
      </c>
      <c r="C426" t="b">
        <v>1</v>
      </c>
      <c r="D426">
        <v>8072</v>
      </c>
      <c r="E426">
        <v>8104</v>
      </c>
      <c r="F426">
        <v>282.66665999999998</v>
      </c>
      <c r="G426">
        <v>189.53334000000001</v>
      </c>
      <c r="H426">
        <v>1.4913822000000001</v>
      </c>
      <c r="I426">
        <v>-0.49138224000000003</v>
      </c>
      <c r="J426">
        <v>0.40138360000000001</v>
      </c>
    </row>
    <row r="427" spans="1:10" x14ac:dyDescent="0.3">
      <c r="A427">
        <v>425</v>
      </c>
      <c r="B427">
        <v>7778</v>
      </c>
      <c r="C427" t="b">
        <v>1</v>
      </c>
      <c r="D427">
        <v>8128</v>
      </c>
      <c r="E427">
        <v>8088</v>
      </c>
      <c r="F427">
        <v>282.13333</v>
      </c>
      <c r="G427">
        <v>189.53334000000001</v>
      </c>
      <c r="H427">
        <v>1.4885683000000001</v>
      </c>
      <c r="I427">
        <v>-0.48856833999999999</v>
      </c>
      <c r="J427">
        <v>0.40183746999999997</v>
      </c>
    </row>
    <row r="428" spans="1:10" x14ac:dyDescent="0.3">
      <c r="A428">
        <v>426</v>
      </c>
      <c r="B428">
        <v>7794</v>
      </c>
      <c r="C428" t="b">
        <v>1</v>
      </c>
      <c r="D428">
        <v>8152</v>
      </c>
      <c r="E428">
        <v>8128</v>
      </c>
      <c r="F428">
        <v>281.60000000000002</v>
      </c>
      <c r="G428">
        <v>189</v>
      </c>
      <c r="H428">
        <v>1.4899471</v>
      </c>
      <c r="I428">
        <v>-0.48994710000000002</v>
      </c>
      <c r="J428">
        <v>0.40161496000000002</v>
      </c>
    </row>
    <row r="429" spans="1:10" x14ac:dyDescent="0.3">
      <c r="A429">
        <v>427</v>
      </c>
      <c r="B429">
        <v>7810</v>
      </c>
      <c r="C429" t="b">
        <v>1</v>
      </c>
      <c r="D429">
        <v>8160</v>
      </c>
      <c r="E429">
        <v>8104</v>
      </c>
      <c r="F429">
        <v>281.06668000000002</v>
      </c>
      <c r="G429">
        <v>188.46665999999999</v>
      </c>
      <c r="H429">
        <v>1.4913337</v>
      </c>
      <c r="I429">
        <v>-0.49133369999999998</v>
      </c>
      <c r="J429">
        <v>0.40139144999999998</v>
      </c>
    </row>
    <row r="430" spans="1:10" x14ac:dyDescent="0.3">
      <c r="A430">
        <v>428</v>
      </c>
      <c r="B430">
        <v>7826</v>
      </c>
      <c r="C430" t="b">
        <v>1</v>
      </c>
      <c r="D430">
        <v>8088</v>
      </c>
      <c r="E430">
        <v>8096</v>
      </c>
      <c r="F430">
        <v>280.53332999999998</v>
      </c>
      <c r="G430">
        <v>187.93333000000001</v>
      </c>
      <c r="H430">
        <v>1.4927279</v>
      </c>
      <c r="I430">
        <v>-0.49272788000000001</v>
      </c>
      <c r="J430">
        <v>0.40116691999999998</v>
      </c>
    </row>
    <row r="431" spans="1:10" x14ac:dyDescent="0.3">
      <c r="A431">
        <v>429</v>
      </c>
      <c r="B431">
        <v>7842</v>
      </c>
      <c r="C431" t="b">
        <v>1</v>
      </c>
      <c r="D431">
        <v>8104</v>
      </c>
      <c r="E431">
        <v>8040</v>
      </c>
      <c r="F431">
        <v>281.06668000000002</v>
      </c>
      <c r="G431">
        <v>186.86667</v>
      </c>
      <c r="H431">
        <v>1.5041028000000001</v>
      </c>
      <c r="I431">
        <v>-0.50410279999999996</v>
      </c>
      <c r="J431">
        <v>0.39934461999999998</v>
      </c>
    </row>
    <row r="432" spans="1:10" x14ac:dyDescent="0.3">
      <c r="A432">
        <v>430</v>
      </c>
      <c r="B432">
        <v>7858</v>
      </c>
      <c r="C432" t="b">
        <v>1</v>
      </c>
      <c r="D432">
        <v>8136</v>
      </c>
      <c r="E432">
        <v>8080</v>
      </c>
      <c r="F432">
        <v>282.13333</v>
      </c>
      <c r="G432">
        <v>185.26666</v>
      </c>
      <c r="H432">
        <v>1.5228499</v>
      </c>
      <c r="I432">
        <v>-0.52285000000000004</v>
      </c>
      <c r="J432">
        <v>0.39637712000000003</v>
      </c>
    </row>
    <row r="433" spans="1:10" x14ac:dyDescent="0.3">
      <c r="A433">
        <v>431</v>
      </c>
      <c r="B433">
        <v>7874</v>
      </c>
      <c r="C433" t="b">
        <v>1</v>
      </c>
      <c r="D433">
        <v>8104</v>
      </c>
      <c r="E433">
        <v>8144</v>
      </c>
      <c r="F433">
        <v>281.06668000000002</v>
      </c>
      <c r="G433">
        <v>184.2</v>
      </c>
      <c r="H433">
        <v>1.5258776999999999</v>
      </c>
      <c r="I433">
        <v>-0.52587779999999995</v>
      </c>
      <c r="J433">
        <v>0.39590197999999999</v>
      </c>
    </row>
    <row r="434" spans="1:10" x14ac:dyDescent="0.3">
      <c r="A434">
        <v>432</v>
      </c>
      <c r="B434">
        <v>7890</v>
      </c>
      <c r="C434" t="b">
        <v>1</v>
      </c>
      <c r="D434">
        <v>8128</v>
      </c>
      <c r="E434">
        <v>8080</v>
      </c>
      <c r="F434">
        <v>281.06668000000002</v>
      </c>
      <c r="G434">
        <v>184.2</v>
      </c>
      <c r="H434">
        <v>1.5258776999999999</v>
      </c>
      <c r="I434">
        <v>-0.52587779999999995</v>
      </c>
      <c r="J434">
        <v>0.39590197999999999</v>
      </c>
    </row>
    <row r="435" spans="1:10" x14ac:dyDescent="0.3">
      <c r="A435">
        <v>433</v>
      </c>
      <c r="B435">
        <v>7906</v>
      </c>
      <c r="C435" t="b">
        <v>1</v>
      </c>
      <c r="D435">
        <v>8144</v>
      </c>
      <c r="E435">
        <v>8120</v>
      </c>
      <c r="F435">
        <v>281.06668000000002</v>
      </c>
      <c r="G435">
        <v>181.53334000000001</v>
      </c>
      <c r="H435">
        <v>1.5482924</v>
      </c>
      <c r="I435">
        <v>-0.54829234000000004</v>
      </c>
      <c r="J435">
        <v>0.39241964000000001</v>
      </c>
    </row>
    <row r="436" spans="1:10" x14ac:dyDescent="0.3">
      <c r="A436">
        <v>434</v>
      </c>
      <c r="B436">
        <v>7922</v>
      </c>
      <c r="C436" t="b">
        <v>1</v>
      </c>
      <c r="D436">
        <v>8112</v>
      </c>
      <c r="E436">
        <v>8104</v>
      </c>
      <c r="F436">
        <v>281.06668000000002</v>
      </c>
      <c r="G436">
        <v>183.13333</v>
      </c>
      <c r="H436">
        <v>1.5347652000000001</v>
      </c>
      <c r="I436">
        <v>-0.5347653</v>
      </c>
      <c r="J436">
        <v>0.39451385</v>
      </c>
    </row>
    <row r="437" spans="1:10" x14ac:dyDescent="0.3">
      <c r="A437">
        <v>435</v>
      </c>
      <c r="B437">
        <v>7938</v>
      </c>
      <c r="C437" t="b">
        <v>1</v>
      </c>
      <c r="D437">
        <v>8112</v>
      </c>
      <c r="E437">
        <v>8096</v>
      </c>
      <c r="F437">
        <v>281.06668000000002</v>
      </c>
      <c r="G437">
        <v>184.73334</v>
      </c>
      <c r="H437">
        <v>1.5214725</v>
      </c>
      <c r="I437">
        <v>-0.52147244999999998</v>
      </c>
      <c r="J437">
        <v>0.39659366000000001</v>
      </c>
    </row>
    <row r="438" spans="1:10" x14ac:dyDescent="0.3">
      <c r="A438">
        <v>436</v>
      </c>
      <c r="B438">
        <v>7953</v>
      </c>
      <c r="C438" t="b">
        <v>1</v>
      </c>
      <c r="D438">
        <v>8152</v>
      </c>
      <c r="E438">
        <v>8120</v>
      </c>
      <c r="F438">
        <v>282.13333</v>
      </c>
      <c r="G438">
        <v>184.73334</v>
      </c>
      <c r="H438">
        <v>1.5272465</v>
      </c>
      <c r="I438">
        <v>-0.5272464</v>
      </c>
      <c r="J438">
        <v>0.39568757999999998</v>
      </c>
    </row>
    <row r="439" spans="1:10" x14ac:dyDescent="0.3">
      <c r="A439">
        <v>437</v>
      </c>
      <c r="B439">
        <v>7970</v>
      </c>
      <c r="C439" t="b">
        <v>1</v>
      </c>
      <c r="D439">
        <v>8152</v>
      </c>
      <c r="E439">
        <v>8136</v>
      </c>
      <c r="F439">
        <v>283.2</v>
      </c>
      <c r="G439">
        <v>185.26666</v>
      </c>
      <c r="H439">
        <v>1.5286074999999999</v>
      </c>
      <c r="I439">
        <v>-0.52860750000000001</v>
      </c>
      <c r="J439">
        <v>0.39547458000000002</v>
      </c>
    </row>
    <row r="440" spans="1:10" x14ac:dyDescent="0.3">
      <c r="A440">
        <v>438</v>
      </c>
      <c r="B440">
        <v>7985</v>
      </c>
      <c r="C440" t="b">
        <v>1</v>
      </c>
      <c r="D440">
        <v>8128</v>
      </c>
      <c r="E440">
        <v>8128</v>
      </c>
      <c r="F440">
        <v>284.26666</v>
      </c>
      <c r="G440">
        <v>186.33332999999999</v>
      </c>
      <c r="H440">
        <v>1.5255814000000001</v>
      </c>
      <c r="I440">
        <v>-0.52558139999999998</v>
      </c>
      <c r="J440">
        <v>0.39594844000000001</v>
      </c>
    </row>
    <row r="441" spans="1:10" x14ac:dyDescent="0.3">
      <c r="A441">
        <v>439</v>
      </c>
      <c r="B441">
        <v>8001</v>
      </c>
      <c r="C441" t="b">
        <v>1</v>
      </c>
      <c r="D441">
        <v>8088</v>
      </c>
      <c r="E441">
        <v>8144</v>
      </c>
      <c r="F441">
        <v>285.33334000000002</v>
      </c>
      <c r="G441">
        <v>187.93333000000001</v>
      </c>
      <c r="H441">
        <v>1.5182690000000001</v>
      </c>
      <c r="I441">
        <v>-0.51826894000000001</v>
      </c>
      <c r="J441">
        <v>0.39709818000000002</v>
      </c>
    </row>
    <row r="442" spans="1:10" x14ac:dyDescent="0.3">
      <c r="A442">
        <v>440</v>
      </c>
      <c r="B442">
        <v>8017</v>
      </c>
      <c r="C442" t="b">
        <v>1</v>
      </c>
      <c r="D442">
        <v>8104</v>
      </c>
      <c r="E442">
        <v>8096</v>
      </c>
      <c r="F442">
        <v>285.33334000000002</v>
      </c>
      <c r="G442">
        <v>189.53334000000001</v>
      </c>
      <c r="H442">
        <v>1.505452</v>
      </c>
      <c r="I442">
        <v>-0.50545200000000001</v>
      </c>
      <c r="J442">
        <v>0.39912956999999999</v>
      </c>
    </row>
    <row r="443" spans="1:10" x14ac:dyDescent="0.3">
      <c r="A443">
        <v>441</v>
      </c>
      <c r="B443">
        <v>8033</v>
      </c>
      <c r="C443" t="b">
        <v>1</v>
      </c>
      <c r="D443">
        <v>8136</v>
      </c>
      <c r="E443">
        <v>8104</v>
      </c>
      <c r="F443">
        <v>285.33334000000002</v>
      </c>
      <c r="G443">
        <v>191.13333</v>
      </c>
      <c r="H443">
        <v>1.4928497000000001</v>
      </c>
      <c r="I443">
        <v>-0.49284973999999998</v>
      </c>
      <c r="J443">
        <v>0.40114734000000002</v>
      </c>
    </row>
    <row r="444" spans="1:10" x14ac:dyDescent="0.3">
      <c r="A444">
        <v>442</v>
      </c>
      <c r="B444">
        <v>8065</v>
      </c>
      <c r="C444" t="b">
        <v>1</v>
      </c>
      <c r="D444">
        <v>8104</v>
      </c>
      <c r="E444">
        <v>8104</v>
      </c>
      <c r="F444">
        <v>283.73334</v>
      </c>
      <c r="G444">
        <v>191.13333</v>
      </c>
      <c r="H444">
        <v>1.4844786000000001</v>
      </c>
      <c r="I444">
        <v>-0.48447859999999998</v>
      </c>
      <c r="J444">
        <v>0.40249892999999998</v>
      </c>
    </row>
    <row r="445" spans="1:10" x14ac:dyDescent="0.3">
      <c r="A445">
        <v>443</v>
      </c>
      <c r="B445">
        <v>8096</v>
      </c>
      <c r="C445" t="b">
        <v>1</v>
      </c>
      <c r="D445">
        <v>8112</v>
      </c>
      <c r="E445">
        <v>8096</v>
      </c>
      <c r="F445">
        <v>282.13333</v>
      </c>
      <c r="G445">
        <v>191.13333</v>
      </c>
      <c r="H445">
        <v>1.4761074999999999</v>
      </c>
      <c r="I445">
        <v>-0.47610744999999999</v>
      </c>
      <c r="J445">
        <v>0.40385969999999999</v>
      </c>
    </row>
    <row r="446" spans="1:10" x14ac:dyDescent="0.3">
      <c r="A446">
        <v>444</v>
      </c>
      <c r="B446">
        <v>8127</v>
      </c>
      <c r="C446" t="b">
        <v>1</v>
      </c>
      <c r="D446">
        <v>8104</v>
      </c>
      <c r="E446">
        <v>8112</v>
      </c>
      <c r="F446">
        <v>280.53332999999998</v>
      </c>
      <c r="G446">
        <v>191.66667000000001</v>
      </c>
      <c r="H446">
        <v>1.4636521</v>
      </c>
      <c r="I446">
        <v>-0.46365210000000001</v>
      </c>
      <c r="J446">
        <v>0.40590145999999999</v>
      </c>
    </row>
    <row r="447" spans="1:10" x14ac:dyDescent="0.3">
      <c r="A447">
        <v>445</v>
      </c>
      <c r="B447">
        <v>8143</v>
      </c>
      <c r="C447" t="b">
        <v>1</v>
      </c>
      <c r="D447">
        <v>8168</v>
      </c>
      <c r="E447">
        <v>8128</v>
      </c>
      <c r="F447">
        <v>278.93331999999998</v>
      </c>
      <c r="G447">
        <v>192.2</v>
      </c>
      <c r="H447">
        <v>1.4512659999999999</v>
      </c>
      <c r="I447">
        <v>-0.451266</v>
      </c>
      <c r="J447">
        <v>0.4079525</v>
      </c>
    </row>
    <row r="448" spans="1:10" x14ac:dyDescent="0.3">
      <c r="A448">
        <v>446</v>
      </c>
      <c r="B448">
        <v>8159</v>
      </c>
      <c r="C448" t="b">
        <v>1</v>
      </c>
      <c r="D448">
        <v>8104</v>
      </c>
      <c r="E448">
        <v>8120</v>
      </c>
      <c r="F448">
        <v>278.93331999999998</v>
      </c>
      <c r="G448">
        <v>193.26666</v>
      </c>
      <c r="H448">
        <v>1.4432563</v>
      </c>
      <c r="I448">
        <v>-0.44325626000000001</v>
      </c>
      <c r="J448">
        <v>0.40928987</v>
      </c>
    </row>
    <row r="449" spans="1:10" x14ac:dyDescent="0.3">
      <c r="A449">
        <v>447</v>
      </c>
      <c r="B449">
        <v>8175</v>
      </c>
      <c r="C449" t="b">
        <v>1</v>
      </c>
      <c r="D449">
        <v>8120</v>
      </c>
      <c r="E449">
        <v>8104</v>
      </c>
      <c r="F449">
        <v>279.46667000000002</v>
      </c>
      <c r="G449">
        <v>195.4</v>
      </c>
      <c r="H449">
        <v>1.4302287</v>
      </c>
      <c r="I449">
        <v>-0.43022867999999997</v>
      </c>
      <c r="J449">
        <v>0.41148390000000001</v>
      </c>
    </row>
    <row r="450" spans="1:10" x14ac:dyDescent="0.3">
      <c r="A450">
        <v>448</v>
      </c>
      <c r="B450">
        <v>8191</v>
      </c>
      <c r="C450" t="b">
        <v>1</v>
      </c>
      <c r="D450">
        <v>8144</v>
      </c>
      <c r="E450">
        <v>8136</v>
      </c>
      <c r="F450">
        <v>278.93331999999998</v>
      </c>
      <c r="G450">
        <v>198.06666999999999</v>
      </c>
      <c r="H450">
        <v>1.40828</v>
      </c>
      <c r="I450">
        <v>-0.40827999999999998</v>
      </c>
      <c r="J450">
        <v>0.41523409999999999</v>
      </c>
    </row>
    <row r="451" spans="1:10" x14ac:dyDescent="0.3">
      <c r="A451">
        <v>449</v>
      </c>
      <c r="B451">
        <v>8207</v>
      </c>
      <c r="C451" t="b">
        <v>1</v>
      </c>
      <c r="D451">
        <v>8144</v>
      </c>
      <c r="E451">
        <v>8096</v>
      </c>
      <c r="F451">
        <v>280</v>
      </c>
      <c r="G451">
        <v>199.13333</v>
      </c>
      <c r="H451">
        <v>1.4060931000000001</v>
      </c>
      <c r="I451">
        <v>-0.40609309999999998</v>
      </c>
      <c r="J451">
        <v>0.41561150000000002</v>
      </c>
    </row>
    <row r="452" spans="1:10" x14ac:dyDescent="0.3">
      <c r="A452">
        <v>450</v>
      </c>
      <c r="B452">
        <v>8223</v>
      </c>
      <c r="C452" t="b">
        <v>1</v>
      </c>
      <c r="D452">
        <v>8176</v>
      </c>
      <c r="E452">
        <v>8104</v>
      </c>
      <c r="F452">
        <v>282.13333</v>
      </c>
      <c r="G452">
        <v>199.13333</v>
      </c>
      <c r="H452">
        <v>1.4168061999999999</v>
      </c>
      <c r="I452">
        <v>-0.41680615999999998</v>
      </c>
      <c r="J452">
        <v>0.41376921999999999</v>
      </c>
    </row>
    <row r="453" spans="1:10" x14ac:dyDescent="0.3">
      <c r="A453">
        <v>451</v>
      </c>
      <c r="B453">
        <v>8238</v>
      </c>
      <c r="C453" t="b">
        <v>1</v>
      </c>
      <c r="D453">
        <v>8128</v>
      </c>
      <c r="E453">
        <v>8080</v>
      </c>
      <c r="F453">
        <v>283.2</v>
      </c>
      <c r="G453">
        <v>199.13333</v>
      </c>
      <c r="H453">
        <v>1.4221627999999999</v>
      </c>
      <c r="I453">
        <v>-0.42216277000000002</v>
      </c>
      <c r="J453">
        <v>0.41285416000000003</v>
      </c>
    </row>
    <row r="454" spans="1:10" x14ac:dyDescent="0.3">
      <c r="A454">
        <v>452</v>
      </c>
      <c r="B454">
        <v>8254</v>
      </c>
      <c r="C454" t="b">
        <v>1</v>
      </c>
      <c r="D454">
        <v>8112</v>
      </c>
      <c r="E454">
        <v>8088</v>
      </c>
      <c r="F454">
        <v>283.2</v>
      </c>
      <c r="G454">
        <v>197.53334000000001</v>
      </c>
      <c r="H454">
        <v>1.4336821</v>
      </c>
      <c r="I454">
        <v>-0.43368208000000003</v>
      </c>
      <c r="J454">
        <v>0.41090003000000003</v>
      </c>
    </row>
    <row r="455" spans="1:10" x14ac:dyDescent="0.3">
      <c r="A455">
        <v>453</v>
      </c>
      <c r="B455">
        <v>8270</v>
      </c>
      <c r="C455" t="b">
        <v>1</v>
      </c>
      <c r="D455">
        <v>8128</v>
      </c>
      <c r="E455">
        <v>8104</v>
      </c>
      <c r="F455">
        <v>283.2</v>
      </c>
      <c r="G455">
        <v>195.93333000000001</v>
      </c>
      <c r="H455">
        <v>1.4453895999999999</v>
      </c>
      <c r="I455">
        <v>-0.44538962999999998</v>
      </c>
      <c r="J455">
        <v>0.40893278</v>
      </c>
    </row>
    <row r="456" spans="1:10" x14ac:dyDescent="0.3">
      <c r="A456">
        <v>454</v>
      </c>
      <c r="B456">
        <v>8286</v>
      </c>
      <c r="C456" t="b">
        <v>1</v>
      </c>
      <c r="D456">
        <v>8152</v>
      </c>
      <c r="E456">
        <v>8120</v>
      </c>
      <c r="F456">
        <v>283.2</v>
      </c>
      <c r="G456">
        <v>194.33332999999999</v>
      </c>
      <c r="H456">
        <v>1.4572898999999999</v>
      </c>
      <c r="I456">
        <v>-0.45728999999999997</v>
      </c>
      <c r="J456">
        <v>0.40695238</v>
      </c>
    </row>
    <row r="457" spans="1:10" x14ac:dyDescent="0.3">
      <c r="A457">
        <v>455</v>
      </c>
      <c r="B457">
        <v>8302</v>
      </c>
      <c r="C457" t="b">
        <v>1</v>
      </c>
      <c r="D457">
        <v>8112</v>
      </c>
      <c r="E457">
        <v>8120</v>
      </c>
      <c r="F457">
        <v>283.2</v>
      </c>
      <c r="G457">
        <v>192.73334</v>
      </c>
      <c r="H457">
        <v>1.4693878</v>
      </c>
      <c r="I457">
        <v>-0.46938780000000002</v>
      </c>
      <c r="J457">
        <v>0.40495867000000002</v>
      </c>
    </row>
    <row r="458" spans="1:10" x14ac:dyDescent="0.3">
      <c r="A458">
        <v>456</v>
      </c>
      <c r="B458">
        <v>8317</v>
      </c>
      <c r="C458" t="b">
        <v>1</v>
      </c>
      <c r="D458">
        <v>8104</v>
      </c>
      <c r="E458">
        <v>8096</v>
      </c>
      <c r="F458">
        <v>282.13333</v>
      </c>
      <c r="G458">
        <v>191.13333</v>
      </c>
      <c r="H458">
        <v>1.4761074999999999</v>
      </c>
      <c r="I458">
        <v>-0.47610744999999999</v>
      </c>
      <c r="J458">
        <v>0.40385969999999999</v>
      </c>
    </row>
    <row r="459" spans="1:10" x14ac:dyDescent="0.3">
      <c r="A459">
        <v>457</v>
      </c>
      <c r="B459">
        <v>8333</v>
      </c>
      <c r="C459" t="b">
        <v>1</v>
      </c>
      <c r="D459">
        <v>8152</v>
      </c>
      <c r="E459">
        <v>8056</v>
      </c>
      <c r="F459">
        <v>283.73334</v>
      </c>
      <c r="G459">
        <v>191.13333</v>
      </c>
      <c r="H459">
        <v>1.4844786000000001</v>
      </c>
      <c r="I459">
        <v>-0.48447859999999998</v>
      </c>
      <c r="J459">
        <v>0.40249892999999998</v>
      </c>
    </row>
    <row r="460" spans="1:10" x14ac:dyDescent="0.3">
      <c r="A460">
        <v>458</v>
      </c>
      <c r="B460">
        <v>8349</v>
      </c>
      <c r="C460" t="b">
        <v>1</v>
      </c>
      <c r="D460">
        <v>8128</v>
      </c>
      <c r="E460">
        <v>8112</v>
      </c>
      <c r="F460">
        <v>285.33334000000002</v>
      </c>
      <c r="G460">
        <v>191.66667000000001</v>
      </c>
      <c r="H460">
        <v>1.4886956</v>
      </c>
      <c r="I460">
        <v>-0.48869564999999998</v>
      </c>
      <c r="J460">
        <v>0.40181693000000002</v>
      </c>
    </row>
    <row r="461" spans="1:10" x14ac:dyDescent="0.3">
      <c r="A461">
        <v>459</v>
      </c>
      <c r="B461">
        <v>8365</v>
      </c>
      <c r="C461" t="b">
        <v>1</v>
      </c>
      <c r="D461">
        <v>8136</v>
      </c>
      <c r="E461">
        <v>8104</v>
      </c>
      <c r="F461">
        <v>286.93331999999998</v>
      </c>
      <c r="G461">
        <v>191.66667000000001</v>
      </c>
      <c r="H461">
        <v>1.4970433999999999</v>
      </c>
      <c r="I461">
        <v>-0.49704336999999998</v>
      </c>
      <c r="J461">
        <v>0.40047361999999997</v>
      </c>
    </row>
    <row r="462" spans="1:10" x14ac:dyDescent="0.3">
      <c r="A462">
        <v>460</v>
      </c>
      <c r="B462">
        <v>8381</v>
      </c>
      <c r="C462" t="b">
        <v>1</v>
      </c>
      <c r="D462">
        <v>8128</v>
      </c>
      <c r="E462">
        <v>8088</v>
      </c>
      <c r="F462">
        <v>288</v>
      </c>
      <c r="G462">
        <v>191.13333</v>
      </c>
      <c r="H462">
        <v>1.5068016</v>
      </c>
      <c r="I462">
        <v>-0.50680155000000005</v>
      </c>
      <c r="J462">
        <v>0.39891470000000001</v>
      </c>
    </row>
    <row r="463" spans="1:10" x14ac:dyDescent="0.3">
      <c r="A463">
        <v>461</v>
      </c>
      <c r="B463">
        <v>8397</v>
      </c>
      <c r="C463" t="b">
        <v>1</v>
      </c>
      <c r="D463">
        <v>8144</v>
      </c>
      <c r="E463">
        <v>8088</v>
      </c>
      <c r="F463">
        <v>290.13333</v>
      </c>
      <c r="G463">
        <v>189.53334000000001</v>
      </c>
      <c r="H463">
        <v>1.5307773</v>
      </c>
      <c r="I463">
        <v>-0.53077730000000001</v>
      </c>
      <c r="J463">
        <v>0.39513552000000002</v>
      </c>
    </row>
    <row r="464" spans="1:10" x14ac:dyDescent="0.3">
      <c r="A464">
        <v>462</v>
      </c>
      <c r="B464">
        <v>8412</v>
      </c>
      <c r="C464" t="b">
        <v>1</v>
      </c>
      <c r="D464">
        <v>8120</v>
      </c>
      <c r="E464">
        <v>8104</v>
      </c>
      <c r="F464">
        <v>291.2</v>
      </c>
      <c r="G464">
        <v>189</v>
      </c>
      <c r="H464">
        <v>1.5407408</v>
      </c>
      <c r="I464">
        <v>-0.54074080000000002</v>
      </c>
      <c r="J464">
        <v>0.39358599999999999</v>
      </c>
    </row>
    <row r="465" spans="1:10" x14ac:dyDescent="0.3">
      <c r="A465">
        <v>463</v>
      </c>
      <c r="B465">
        <v>8428</v>
      </c>
      <c r="C465" t="b">
        <v>1</v>
      </c>
      <c r="D465">
        <v>8128</v>
      </c>
      <c r="E465">
        <v>8120</v>
      </c>
      <c r="F465">
        <v>291.73334</v>
      </c>
      <c r="G465">
        <v>187.93333000000001</v>
      </c>
      <c r="H465">
        <v>1.5523236</v>
      </c>
      <c r="I465">
        <v>-0.55232349999999997</v>
      </c>
      <c r="J465">
        <v>0.39179984000000001</v>
      </c>
    </row>
    <row r="466" spans="1:10" x14ac:dyDescent="0.3">
      <c r="A466">
        <v>464</v>
      </c>
      <c r="B466">
        <v>8444</v>
      </c>
      <c r="C466" t="b">
        <v>1</v>
      </c>
      <c r="D466">
        <v>8120</v>
      </c>
      <c r="E466">
        <v>8128</v>
      </c>
      <c r="F466">
        <v>290.66665999999998</v>
      </c>
      <c r="G466">
        <v>186.86667</v>
      </c>
      <c r="H466">
        <v>1.5554762</v>
      </c>
      <c r="I466">
        <v>-0.55547619999999998</v>
      </c>
      <c r="J466">
        <v>0.39131650000000001</v>
      </c>
    </row>
    <row r="467" spans="1:10" x14ac:dyDescent="0.3">
      <c r="A467">
        <v>465</v>
      </c>
      <c r="B467">
        <v>8460</v>
      </c>
      <c r="C467" t="b">
        <v>1</v>
      </c>
      <c r="D467">
        <v>8152</v>
      </c>
      <c r="E467">
        <v>8112</v>
      </c>
      <c r="F467">
        <v>289.60000000000002</v>
      </c>
      <c r="G467">
        <v>187.4</v>
      </c>
      <c r="H467">
        <v>1.5453576</v>
      </c>
      <c r="I467">
        <v>-0.5453576</v>
      </c>
      <c r="J467">
        <v>0.3928721</v>
      </c>
    </row>
    <row r="468" spans="1:10" x14ac:dyDescent="0.3">
      <c r="A468">
        <v>466</v>
      </c>
      <c r="B468">
        <v>8476</v>
      </c>
      <c r="C468" t="b">
        <v>1</v>
      </c>
      <c r="D468">
        <v>8088</v>
      </c>
      <c r="E468">
        <v>8104</v>
      </c>
      <c r="F468">
        <v>288</v>
      </c>
      <c r="G468">
        <v>187.93333000000001</v>
      </c>
      <c r="H468">
        <v>1.5324583000000001</v>
      </c>
      <c r="I468">
        <v>-0.53245830000000005</v>
      </c>
      <c r="J468">
        <v>0.39487323000000002</v>
      </c>
    </row>
    <row r="469" spans="1:10" x14ac:dyDescent="0.3">
      <c r="A469">
        <v>467</v>
      </c>
      <c r="B469">
        <v>8492</v>
      </c>
      <c r="C469" t="b">
        <v>1</v>
      </c>
      <c r="D469">
        <v>8104</v>
      </c>
      <c r="E469">
        <v>8104</v>
      </c>
      <c r="F469">
        <v>286.39999999999998</v>
      </c>
      <c r="G469">
        <v>189</v>
      </c>
      <c r="H469">
        <v>1.5153439</v>
      </c>
      <c r="I469">
        <v>-0.51534389999999997</v>
      </c>
      <c r="J469">
        <v>0.39755994</v>
      </c>
    </row>
    <row r="470" spans="1:10" x14ac:dyDescent="0.3">
      <c r="A470">
        <v>468</v>
      </c>
      <c r="B470">
        <v>8508</v>
      </c>
      <c r="C470" t="b">
        <v>1</v>
      </c>
      <c r="D470">
        <v>8128</v>
      </c>
      <c r="E470">
        <v>8080</v>
      </c>
      <c r="F470">
        <v>285.86667</v>
      </c>
      <c r="G470">
        <v>189.53334000000001</v>
      </c>
      <c r="H470">
        <v>1.5082659</v>
      </c>
      <c r="I470">
        <v>-0.50826585000000002</v>
      </c>
      <c r="J470">
        <v>0.39868182000000002</v>
      </c>
    </row>
    <row r="471" spans="1:10" x14ac:dyDescent="0.3">
      <c r="A471">
        <v>469</v>
      </c>
      <c r="B471">
        <v>8524</v>
      </c>
      <c r="C471" t="b">
        <v>1</v>
      </c>
      <c r="D471">
        <v>8128</v>
      </c>
      <c r="E471">
        <v>8088</v>
      </c>
      <c r="F471">
        <v>285.86667</v>
      </c>
      <c r="G471">
        <v>189.53334000000001</v>
      </c>
      <c r="H471">
        <v>1.5082659</v>
      </c>
      <c r="I471">
        <v>-0.50826585000000002</v>
      </c>
      <c r="J471">
        <v>0.39868182000000002</v>
      </c>
    </row>
    <row r="472" spans="1:10" x14ac:dyDescent="0.3">
      <c r="A472">
        <v>470</v>
      </c>
      <c r="B472">
        <v>8540</v>
      </c>
      <c r="C472" t="b">
        <v>1</v>
      </c>
      <c r="D472">
        <v>8128</v>
      </c>
      <c r="E472">
        <v>8104</v>
      </c>
      <c r="F472">
        <v>285.86667</v>
      </c>
      <c r="G472">
        <v>189.53334000000001</v>
      </c>
      <c r="H472">
        <v>1.5082659</v>
      </c>
      <c r="I472">
        <v>-0.50826585000000002</v>
      </c>
      <c r="J472">
        <v>0.39868182000000002</v>
      </c>
    </row>
    <row r="473" spans="1:10" x14ac:dyDescent="0.3">
      <c r="A473">
        <v>471</v>
      </c>
      <c r="B473">
        <v>8555</v>
      </c>
      <c r="C473" t="b">
        <v>1</v>
      </c>
      <c r="D473">
        <v>8144</v>
      </c>
      <c r="E473">
        <v>8080</v>
      </c>
      <c r="F473">
        <v>286.93331999999998</v>
      </c>
      <c r="G473">
        <v>188.46665999999999</v>
      </c>
      <c r="H473">
        <v>1.522462</v>
      </c>
      <c r="I473">
        <v>-0.52246194999999995</v>
      </c>
      <c r="J473">
        <v>0.39643810000000002</v>
      </c>
    </row>
    <row r="474" spans="1:10" x14ac:dyDescent="0.3">
      <c r="A474">
        <v>472</v>
      </c>
      <c r="B474">
        <v>8571</v>
      </c>
      <c r="C474" t="b">
        <v>1</v>
      </c>
      <c r="D474">
        <v>8112</v>
      </c>
      <c r="E474">
        <v>8080</v>
      </c>
      <c r="F474">
        <v>286.93331999999998</v>
      </c>
      <c r="G474">
        <v>186.86667</v>
      </c>
      <c r="H474">
        <v>1.5354975</v>
      </c>
      <c r="I474">
        <v>-0.53549760000000002</v>
      </c>
      <c r="J474">
        <v>0.39439990000000003</v>
      </c>
    </row>
    <row r="475" spans="1:10" x14ac:dyDescent="0.3">
      <c r="A475">
        <v>473</v>
      </c>
      <c r="B475">
        <v>8587</v>
      </c>
      <c r="C475" t="b">
        <v>1</v>
      </c>
      <c r="D475">
        <v>8120</v>
      </c>
      <c r="E475">
        <v>8088</v>
      </c>
      <c r="F475">
        <v>286.93331999999998</v>
      </c>
      <c r="G475">
        <v>185.26666</v>
      </c>
      <c r="H475">
        <v>1.5487584999999999</v>
      </c>
      <c r="I475">
        <v>-0.54875850000000004</v>
      </c>
      <c r="J475">
        <v>0.39234786999999999</v>
      </c>
    </row>
    <row r="476" spans="1:10" x14ac:dyDescent="0.3">
      <c r="A476">
        <v>474</v>
      </c>
      <c r="B476">
        <v>8603</v>
      </c>
      <c r="C476" t="b">
        <v>1</v>
      </c>
      <c r="D476">
        <v>8136</v>
      </c>
      <c r="E476">
        <v>8120</v>
      </c>
      <c r="F476">
        <v>286.93331999999998</v>
      </c>
      <c r="G476">
        <v>184.2</v>
      </c>
      <c r="H476">
        <v>1.5577270999999999</v>
      </c>
      <c r="I476">
        <v>-0.55772703999999995</v>
      </c>
      <c r="J476">
        <v>0.39097214000000002</v>
      </c>
    </row>
    <row r="477" spans="1:10" x14ac:dyDescent="0.3">
      <c r="A477">
        <v>475</v>
      </c>
      <c r="B477">
        <v>8619</v>
      </c>
      <c r="C477" t="b">
        <v>1</v>
      </c>
      <c r="D477">
        <v>8120</v>
      </c>
      <c r="E477">
        <v>8104</v>
      </c>
      <c r="F477">
        <v>286.39999999999998</v>
      </c>
      <c r="G477">
        <v>183.66667000000001</v>
      </c>
      <c r="H477">
        <v>1.5593466</v>
      </c>
      <c r="I477">
        <v>-0.55934656000000005</v>
      </c>
      <c r="J477">
        <v>0.39072475000000001</v>
      </c>
    </row>
    <row r="478" spans="1:10" x14ac:dyDescent="0.3">
      <c r="A478">
        <v>476</v>
      </c>
      <c r="B478">
        <v>8635</v>
      </c>
      <c r="C478" t="b">
        <v>1</v>
      </c>
      <c r="D478">
        <v>8104</v>
      </c>
      <c r="E478">
        <v>8128</v>
      </c>
      <c r="F478">
        <v>285.33334000000002</v>
      </c>
      <c r="G478">
        <v>184.73334</v>
      </c>
      <c r="H478">
        <v>1.5445688</v>
      </c>
      <c r="I478">
        <v>-0.54456879999999996</v>
      </c>
      <c r="J478">
        <v>0.39299390000000001</v>
      </c>
    </row>
    <row r="479" spans="1:10" x14ac:dyDescent="0.3">
      <c r="A479">
        <v>477</v>
      </c>
      <c r="B479">
        <v>8651</v>
      </c>
      <c r="C479" t="b">
        <v>1</v>
      </c>
      <c r="D479">
        <v>8080</v>
      </c>
      <c r="E479">
        <v>8080</v>
      </c>
      <c r="F479">
        <v>284.8</v>
      </c>
      <c r="G479">
        <v>184.73334</v>
      </c>
      <c r="H479">
        <v>1.5416816</v>
      </c>
      <c r="I479">
        <v>-0.54168159999999999</v>
      </c>
      <c r="J479">
        <v>0.39344030000000002</v>
      </c>
    </row>
    <row r="480" spans="1:10" x14ac:dyDescent="0.3">
      <c r="A480">
        <v>478</v>
      </c>
      <c r="B480">
        <v>8667</v>
      </c>
      <c r="C480" t="b">
        <v>1</v>
      </c>
      <c r="D480">
        <v>8112</v>
      </c>
      <c r="E480">
        <v>8088</v>
      </c>
      <c r="F480">
        <v>283.73334</v>
      </c>
      <c r="G480">
        <v>184.73334</v>
      </c>
      <c r="H480">
        <v>1.5359076</v>
      </c>
      <c r="I480">
        <v>-0.53590760000000004</v>
      </c>
      <c r="J480">
        <v>0.39433613000000001</v>
      </c>
    </row>
    <row r="481" spans="1:10" x14ac:dyDescent="0.3">
      <c r="A481">
        <v>479</v>
      </c>
      <c r="B481">
        <v>8683</v>
      </c>
      <c r="C481" t="b">
        <v>1</v>
      </c>
      <c r="D481">
        <v>8152</v>
      </c>
      <c r="E481">
        <v>8104</v>
      </c>
      <c r="F481">
        <v>282.66665999999998</v>
      </c>
      <c r="G481">
        <v>184.73334</v>
      </c>
      <c r="H481">
        <v>1.5301335</v>
      </c>
      <c r="I481">
        <v>-0.53013339999999998</v>
      </c>
      <c r="J481">
        <v>0.39523606999999999</v>
      </c>
    </row>
    <row r="482" spans="1:10" x14ac:dyDescent="0.3">
      <c r="A482">
        <v>480</v>
      </c>
      <c r="B482">
        <v>8699</v>
      </c>
      <c r="C482" t="b">
        <v>1</v>
      </c>
      <c r="D482">
        <v>8136</v>
      </c>
      <c r="E482">
        <v>8104</v>
      </c>
      <c r="F482">
        <v>281.60000000000002</v>
      </c>
      <c r="G482">
        <v>184.2</v>
      </c>
      <c r="H482">
        <v>1.5287732000000001</v>
      </c>
      <c r="I482">
        <v>-0.5287731</v>
      </c>
      <c r="J482">
        <v>0.39544868</v>
      </c>
    </row>
    <row r="483" spans="1:10" x14ac:dyDescent="0.3">
      <c r="A483">
        <v>481</v>
      </c>
      <c r="B483">
        <v>8715</v>
      </c>
      <c r="C483" t="b">
        <v>1</v>
      </c>
      <c r="D483">
        <v>8128</v>
      </c>
      <c r="E483">
        <v>8152</v>
      </c>
      <c r="F483">
        <v>282.13333</v>
      </c>
      <c r="G483">
        <v>183.66667000000001</v>
      </c>
      <c r="H483">
        <v>1.5361161000000001</v>
      </c>
      <c r="I483">
        <v>-0.53611609999999998</v>
      </c>
      <c r="J483">
        <v>0.39430374000000001</v>
      </c>
    </row>
    <row r="484" spans="1:10" x14ac:dyDescent="0.3">
      <c r="A484">
        <v>482</v>
      </c>
      <c r="B484">
        <v>8731</v>
      </c>
      <c r="C484" t="b">
        <v>1</v>
      </c>
      <c r="D484">
        <v>8096</v>
      </c>
      <c r="E484">
        <v>8104</v>
      </c>
      <c r="F484">
        <v>282.66665999999998</v>
      </c>
      <c r="G484">
        <v>183.13333</v>
      </c>
      <c r="H484">
        <v>1.5435019999999999</v>
      </c>
      <c r="I484">
        <v>-0.54350200000000004</v>
      </c>
      <c r="J484">
        <v>0.39315873000000001</v>
      </c>
    </row>
    <row r="485" spans="1:10" x14ac:dyDescent="0.3">
      <c r="A485">
        <v>483</v>
      </c>
      <c r="B485">
        <v>8747</v>
      </c>
      <c r="C485" t="b">
        <v>1</v>
      </c>
      <c r="D485">
        <v>8096</v>
      </c>
      <c r="E485">
        <v>8104</v>
      </c>
      <c r="F485">
        <v>283.2</v>
      </c>
      <c r="G485">
        <v>183.13333</v>
      </c>
      <c r="H485">
        <v>1.5464144</v>
      </c>
      <c r="I485">
        <v>-0.54641439999999997</v>
      </c>
      <c r="J485">
        <v>0.39270907999999999</v>
      </c>
    </row>
    <row r="486" spans="1:10" x14ac:dyDescent="0.3">
      <c r="A486">
        <v>484</v>
      </c>
      <c r="B486">
        <v>8763</v>
      </c>
      <c r="C486" t="b">
        <v>1</v>
      </c>
      <c r="D486">
        <v>8136</v>
      </c>
      <c r="E486">
        <v>8104</v>
      </c>
      <c r="F486">
        <v>283.2</v>
      </c>
      <c r="G486">
        <v>183.13333</v>
      </c>
      <c r="H486">
        <v>1.5464144</v>
      </c>
      <c r="I486">
        <v>-0.54641439999999997</v>
      </c>
      <c r="J486">
        <v>0.39270907999999999</v>
      </c>
    </row>
    <row r="487" spans="1:10" x14ac:dyDescent="0.3">
      <c r="A487">
        <v>485</v>
      </c>
      <c r="B487">
        <v>8778</v>
      </c>
      <c r="C487" t="b">
        <v>1</v>
      </c>
      <c r="D487">
        <v>8120</v>
      </c>
      <c r="E487">
        <v>8144</v>
      </c>
      <c r="F487">
        <v>282.66665999999998</v>
      </c>
      <c r="G487">
        <v>183.13333</v>
      </c>
      <c r="H487">
        <v>1.5435019999999999</v>
      </c>
      <c r="I487">
        <v>-0.54350200000000004</v>
      </c>
      <c r="J487">
        <v>0.39315873000000001</v>
      </c>
    </row>
    <row r="488" spans="1:10" x14ac:dyDescent="0.3">
      <c r="A488">
        <v>486</v>
      </c>
      <c r="B488">
        <v>8794</v>
      </c>
      <c r="C488" t="b">
        <v>1</v>
      </c>
      <c r="D488">
        <v>8112</v>
      </c>
      <c r="E488">
        <v>8104</v>
      </c>
      <c r="F488">
        <v>281.60000000000002</v>
      </c>
      <c r="G488">
        <v>184.2</v>
      </c>
      <c r="H488">
        <v>1.5287732000000001</v>
      </c>
      <c r="I488">
        <v>-0.5287731</v>
      </c>
      <c r="J488">
        <v>0.39544868</v>
      </c>
    </row>
    <row r="489" spans="1:10" x14ac:dyDescent="0.3">
      <c r="A489">
        <v>487</v>
      </c>
      <c r="B489">
        <v>8810</v>
      </c>
      <c r="C489" t="b">
        <v>1</v>
      </c>
      <c r="D489">
        <v>8152</v>
      </c>
      <c r="E489">
        <v>8104</v>
      </c>
      <c r="F489">
        <v>281.06668000000002</v>
      </c>
      <c r="G489">
        <v>185.8</v>
      </c>
      <c r="H489">
        <v>1.5127378</v>
      </c>
      <c r="I489">
        <v>-0.51273774999999999</v>
      </c>
      <c r="J489">
        <v>0.3979723</v>
      </c>
    </row>
    <row r="490" spans="1:10" x14ac:dyDescent="0.3">
      <c r="A490">
        <v>488</v>
      </c>
      <c r="B490">
        <v>8827</v>
      </c>
      <c r="C490" t="b">
        <v>1</v>
      </c>
      <c r="D490">
        <v>8112</v>
      </c>
      <c r="E490">
        <v>8088</v>
      </c>
      <c r="F490">
        <v>280.53332999999998</v>
      </c>
      <c r="G490">
        <v>186.86667</v>
      </c>
      <c r="H490">
        <v>1.5012486</v>
      </c>
      <c r="I490">
        <v>-0.50124860000000004</v>
      </c>
      <c r="J490">
        <v>0.39980032999999998</v>
      </c>
    </row>
    <row r="491" spans="1:10" x14ac:dyDescent="0.3">
      <c r="A491">
        <v>489</v>
      </c>
      <c r="B491">
        <v>8842</v>
      </c>
      <c r="C491" t="b">
        <v>1</v>
      </c>
      <c r="D491">
        <v>8096</v>
      </c>
      <c r="E491">
        <v>8104</v>
      </c>
      <c r="F491">
        <v>279.46667000000002</v>
      </c>
      <c r="G491">
        <v>187.93333000000001</v>
      </c>
      <c r="H491">
        <v>1.4870521999999999</v>
      </c>
      <c r="I491">
        <v>-0.48705217000000001</v>
      </c>
      <c r="J491">
        <v>0.40208240000000001</v>
      </c>
    </row>
    <row r="492" spans="1:10" x14ac:dyDescent="0.3">
      <c r="A492">
        <v>490</v>
      </c>
      <c r="B492">
        <v>8858</v>
      </c>
      <c r="C492" t="b">
        <v>1</v>
      </c>
      <c r="D492">
        <v>8128</v>
      </c>
      <c r="E492">
        <v>8104</v>
      </c>
      <c r="F492">
        <v>278.93331999999998</v>
      </c>
      <c r="G492">
        <v>189</v>
      </c>
      <c r="H492">
        <v>1.4758377</v>
      </c>
      <c r="I492">
        <v>-0.47583767999999999</v>
      </c>
      <c r="J492">
        <v>0.40390369999999998</v>
      </c>
    </row>
    <row r="493" spans="1:10" x14ac:dyDescent="0.3">
      <c r="A493">
        <v>491</v>
      </c>
      <c r="B493">
        <v>8874</v>
      </c>
      <c r="C493" t="b">
        <v>1</v>
      </c>
      <c r="D493">
        <v>8160</v>
      </c>
      <c r="E493">
        <v>8080</v>
      </c>
      <c r="F493">
        <v>279.46667000000002</v>
      </c>
      <c r="G493">
        <v>189</v>
      </c>
      <c r="H493">
        <v>1.4786596000000001</v>
      </c>
      <c r="I493">
        <v>-0.47865965999999999</v>
      </c>
      <c r="J493">
        <v>0.40344384</v>
      </c>
    </row>
    <row r="494" spans="1:10" x14ac:dyDescent="0.3">
      <c r="A494">
        <v>492</v>
      </c>
      <c r="B494">
        <v>8890</v>
      </c>
      <c r="C494" t="b">
        <v>1</v>
      </c>
      <c r="D494">
        <v>8160</v>
      </c>
      <c r="E494">
        <v>8128</v>
      </c>
      <c r="F494">
        <v>280</v>
      </c>
      <c r="G494">
        <v>189</v>
      </c>
      <c r="H494">
        <v>1.4814814000000001</v>
      </c>
      <c r="I494">
        <v>-0.48148150000000001</v>
      </c>
      <c r="J494">
        <v>0.40298507</v>
      </c>
    </row>
    <row r="495" spans="1:10" x14ac:dyDescent="0.3">
      <c r="A495">
        <v>493</v>
      </c>
      <c r="B495">
        <v>8905</v>
      </c>
      <c r="C495" t="b">
        <v>1</v>
      </c>
      <c r="D495">
        <v>8088</v>
      </c>
      <c r="E495">
        <v>8104</v>
      </c>
      <c r="F495">
        <v>281.06668000000002</v>
      </c>
      <c r="G495">
        <v>189</v>
      </c>
      <c r="H495">
        <v>1.4871253</v>
      </c>
      <c r="I495">
        <v>-0.48712529999999998</v>
      </c>
      <c r="J495">
        <v>0.4020706</v>
      </c>
    </row>
    <row r="496" spans="1:10" x14ac:dyDescent="0.3">
      <c r="A496">
        <v>494</v>
      </c>
      <c r="B496">
        <v>8921</v>
      </c>
      <c r="C496" t="b">
        <v>1</v>
      </c>
      <c r="D496">
        <v>8112</v>
      </c>
      <c r="E496">
        <v>8104</v>
      </c>
      <c r="F496">
        <v>282.13333</v>
      </c>
      <c r="G496">
        <v>189</v>
      </c>
      <c r="H496">
        <v>1.492769</v>
      </c>
      <c r="I496">
        <v>-0.49276893999999999</v>
      </c>
      <c r="J496">
        <v>0.40116033000000001</v>
      </c>
    </row>
    <row r="497" spans="1:10" x14ac:dyDescent="0.3">
      <c r="A497">
        <v>495</v>
      </c>
      <c r="B497">
        <v>8937</v>
      </c>
      <c r="C497" t="b">
        <v>1</v>
      </c>
      <c r="D497">
        <v>8128</v>
      </c>
      <c r="E497">
        <v>8104</v>
      </c>
      <c r="F497">
        <v>283.2</v>
      </c>
      <c r="G497">
        <v>189</v>
      </c>
      <c r="H497">
        <v>1.4984127</v>
      </c>
      <c r="I497">
        <v>-0.49841276000000001</v>
      </c>
      <c r="J497">
        <v>0.40025412999999999</v>
      </c>
    </row>
    <row r="498" spans="1:10" x14ac:dyDescent="0.3">
      <c r="A498">
        <v>496</v>
      </c>
      <c r="B498">
        <v>8953</v>
      </c>
      <c r="C498" t="b">
        <v>1</v>
      </c>
      <c r="D498">
        <v>8104</v>
      </c>
      <c r="E498">
        <v>8136</v>
      </c>
      <c r="F498">
        <v>282.13333</v>
      </c>
      <c r="G498">
        <v>189</v>
      </c>
      <c r="H498">
        <v>1.492769</v>
      </c>
      <c r="I498">
        <v>-0.49276893999999999</v>
      </c>
      <c r="J498">
        <v>0.40116033000000001</v>
      </c>
    </row>
    <row r="499" spans="1:10" x14ac:dyDescent="0.3">
      <c r="A499">
        <v>497</v>
      </c>
      <c r="B499">
        <v>8969</v>
      </c>
      <c r="C499" t="b">
        <v>1</v>
      </c>
      <c r="D499">
        <v>8112</v>
      </c>
      <c r="E499">
        <v>8080</v>
      </c>
      <c r="F499">
        <v>281.06668000000002</v>
      </c>
      <c r="G499">
        <v>189</v>
      </c>
      <c r="H499">
        <v>1.4871253</v>
      </c>
      <c r="I499">
        <v>-0.48712529999999998</v>
      </c>
      <c r="J499">
        <v>0.4020706</v>
      </c>
    </row>
    <row r="500" spans="1:10" x14ac:dyDescent="0.3">
      <c r="A500">
        <v>498</v>
      </c>
      <c r="B500">
        <v>8985</v>
      </c>
      <c r="C500" t="b">
        <v>1</v>
      </c>
      <c r="D500">
        <v>8112</v>
      </c>
      <c r="E500">
        <v>8104</v>
      </c>
      <c r="F500">
        <v>280</v>
      </c>
      <c r="G500">
        <v>189</v>
      </c>
      <c r="H500">
        <v>1.4814814000000001</v>
      </c>
      <c r="I500">
        <v>-0.48148150000000001</v>
      </c>
      <c r="J500">
        <v>0.40298507</v>
      </c>
    </row>
    <row r="501" spans="1:10" x14ac:dyDescent="0.3">
      <c r="A501">
        <v>499</v>
      </c>
      <c r="B501">
        <v>9000</v>
      </c>
      <c r="C501" t="b">
        <v>1</v>
      </c>
      <c r="D501">
        <v>8104</v>
      </c>
      <c r="E501">
        <v>8112</v>
      </c>
      <c r="F501">
        <v>278.93331999999998</v>
      </c>
      <c r="G501">
        <v>189</v>
      </c>
      <c r="H501">
        <v>1.4758377</v>
      </c>
      <c r="I501">
        <v>-0.47583767999999999</v>
      </c>
      <c r="J501">
        <v>0.40390369999999998</v>
      </c>
    </row>
    <row r="502" spans="1:10" x14ac:dyDescent="0.3">
      <c r="A502">
        <v>500</v>
      </c>
      <c r="B502">
        <v>9016</v>
      </c>
      <c r="C502" t="b">
        <v>1</v>
      </c>
      <c r="D502">
        <v>8152</v>
      </c>
      <c r="E502">
        <v>8120</v>
      </c>
      <c r="F502">
        <v>278.39999999999998</v>
      </c>
      <c r="G502">
        <v>189.53334000000001</v>
      </c>
      <c r="H502">
        <v>1.4688709</v>
      </c>
      <c r="I502">
        <v>-0.46887082000000002</v>
      </c>
      <c r="J502">
        <v>0.40504345000000003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CE8F2-31B3-493D-A09E-6B9B59687838}">
  <dimension ref="A1:J502"/>
  <sheetViews>
    <sheetView workbookViewId="0"/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9.44140625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 t="b">
        <v>1</v>
      </c>
      <c r="D2">
        <v>8048</v>
      </c>
      <c r="E2">
        <v>8123</v>
      </c>
      <c r="F2">
        <v>8</v>
      </c>
      <c r="G2">
        <v>8</v>
      </c>
      <c r="H2">
        <v>1</v>
      </c>
      <c r="I2">
        <v>0</v>
      </c>
      <c r="J2">
        <v>0.5</v>
      </c>
    </row>
    <row r="3" spans="1:10" x14ac:dyDescent="0.3">
      <c r="A3">
        <v>1</v>
      </c>
      <c r="B3">
        <v>30</v>
      </c>
      <c r="C3" t="b">
        <v>1</v>
      </c>
      <c r="D3">
        <v>8054</v>
      </c>
      <c r="E3">
        <v>8123</v>
      </c>
      <c r="F3">
        <v>11</v>
      </c>
      <c r="G3">
        <v>8</v>
      </c>
      <c r="H3">
        <v>1.375</v>
      </c>
      <c r="I3">
        <v>-0.375</v>
      </c>
      <c r="J3">
        <v>0.42105262999999998</v>
      </c>
    </row>
    <row r="4" spans="1:10" x14ac:dyDescent="0.3">
      <c r="A4">
        <v>2</v>
      </c>
      <c r="B4">
        <v>47</v>
      </c>
      <c r="C4" t="b">
        <v>1</v>
      </c>
      <c r="D4">
        <v>8048</v>
      </c>
      <c r="E4">
        <v>8123</v>
      </c>
      <c r="F4">
        <v>10</v>
      </c>
      <c r="G4">
        <v>8</v>
      </c>
      <c r="H4">
        <v>1.25</v>
      </c>
      <c r="I4">
        <v>-0.25</v>
      </c>
      <c r="J4">
        <v>0.44444444999999999</v>
      </c>
    </row>
    <row r="5" spans="1:10" x14ac:dyDescent="0.3">
      <c r="A5">
        <v>3</v>
      </c>
      <c r="B5">
        <v>62</v>
      </c>
      <c r="C5" t="b">
        <v>1</v>
      </c>
      <c r="D5">
        <v>8048</v>
      </c>
      <c r="E5">
        <v>8123</v>
      </c>
      <c r="F5">
        <v>9.5</v>
      </c>
      <c r="G5">
        <v>8</v>
      </c>
      <c r="H5">
        <v>1.1875</v>
      </c>
      <c r="I5">
        <v>-0.1875</v>
      </c>
      <c r="J5">
        <v>0.45714285999999998</v>
      </c>
    </row>
    <row r="6" spans="1:10" x14ac:dyDescent="0.3">
      <c r="A6">
        <v>4</v>
      </c>
      <c r="B6">
        <v>79</v>
      </c>
      <c r="C6" t="b">
        <v>1</v>
      </c>
      <c r="D6">
        <v>8048</v>
      </c>
      <c r="E6">
        <v>8123</v>
      </c>
      <c r="F6">
        <v>9.1999999999999993</v>
      </c>
      <c r="G6">
        <v>8</v>
      </c>
      <c r="H6">
        <v>1.1499999999999999</v>
      </c>
      <c r="I6">
        <v>-0.14999998</v>
      </c>
      <c r="J6">
        <v>0.46511626</v>
      </c>
    </row>
    <row r="7" spans="1:10" x14ac:dyDescent="0.3">
      <c r="A7">
        <v>5</v>
      </c>
      <c r="B7">
        <v>94</v>
      </c>
      <c r="C7" t="b">
        <v>1</v>
      </c>
      <c r="D7">
        <v>8048</v>
      </c>
      <c r="E7">
        <v>8117</v>
      </c>
      <c r="F7">
        <v>9</v>
      </c>
      <c r="G7">
        <v>8</v>
      </c>
      <c r="H7">
        <v>1.125</v>
      </c>
      <c r="I7">
        <v>-0.125</v>
      </c>
      <c r="J7">
        <v>0.47058823999999999</v>
      </c>
    </row>
    <row r="8" spans="1:10" x14ac:dyDescent="0.3">
      <c r="A8">
        <v>6</v>
      </c>
      <c r="B8">
        <v>110</v>
      </c>
      <c r="C8" t="b">
        <v>1</v>
      </c>
      <c r="D8">
        <v>8048</v>
      </c>
      <c r="E8">
        <v>8117</v>
      </c>
      <c r="F8">
        <v>8.8571419999999996</v>
      </c>
      <c r="G8">
        <v>8</v>
      </c>
      <c r="H8">
        <v>1.1071428000000001</v>
      </c>
      <c r="I8">
        <v>-0.10714280599999999</v>
      </c>
      <c r="J8">
        <v>0.47457626000000003</v>
      </c>
    </row>
    <row r="9" spans="1:10" x14ac:dyDescent="0.3">
      <c r="A9">
        <v>7</v>
      </c>
      <c r="B9">
        <v>126</v>
      </c>
      <c r="C9" t="b">
        <v>1</v>
      </c>
      <c r="D9">
        <v>8048</v>
      </c>
      <c r="E9">
        <v>8123</v>
      </c>
      <c r="F9">
        <v>8.75</v>
      </c>
      <c r="G9">
        <v>8</v>
      </c>
      <c r="H9">
        <v>1.09375</v>
      </c>
      <c r="I9">
        <v>-9.375E-2</v>
      </c>
      <c r="J9">
        <v>0.47761193000000002</v>
      </c>
    </row>
    <row r="10" spans="1:10" x14ac:dyDescent="0.3">
      <c r="A10">
        <v>8</v>
      </c>
      <c r="B10">
        <v>142</v>
      </c>
      <c r="C10" t="b">
        <v>1</v>
      </c>
      <c r="D10">
        <v>8048</v>
      </c>
      <c r="E10">
        <v>8123</v>
      </c>
      <c r="F10">
        <v>8.6666670000000003</v>
      </c>
      <c r="G10">
        <v>8</v>
      </c>
      <c r="H10">
        <v>1.0833333999999999</v>
      </c>
      <c r="I10">
        <v>-8.3333370000000004E-2</v>
      </c>
      <c r="J10">
        <v>0.47999996</v>
      </c>
    </row>
    <row r="11" spans="1:10" x14ac:dyDescent="0.3">
      <c r="A11">
        <v>9</v>
      </c>
      <c r="B11">
        <v>158</v>
      </c>
      <c r="C11" t="b">
        <v>1</v>
      </c>
      <c r="D11">
        <v>8048</v>
      </c>
      <c r="E11">
        <v>8123</v>
      </c>
      <c r="F11">
        <v>8.6</v>
      </c>
      <c r="G11">
        <v>8</v>
      </c>
      <c r="H11">
        <v>1.075</v>
      </c>
      <c r="I11">
        <v>-7.5000049999999999E-2</v>
      </c>
      <c r="J11">
        <v>0.48192770000000001</v>
      </c>
    </row>
    <row r="12" spans="1:10" x14ac:dyDescent="0.3">
      <c r="A12">
        <v>10</v>
      </c>
      <c r="B12">
        <v>174</v>
      </c>
      <c r="C12" t="b">
        <v>1</v>
      </c>
      <c r="D12">
        <v>8048</v>
      </c>
      <c r="E12">
        <v>8123</v>
      </c>
      <c r="F12">
        <v>8.5454550000000005</v>
      </c>
      <c r="G12">
        <v>8</v>
      </c>
      <c r="H12">
        <v>1.0681818999999999</v>
      </c>
      <c r="I12">
        <v>-6.8181870000000006E-2</v>
      </c>
      <c r="J12">
        <v>0.48351644999999999</v>
      </c>
    </row>
    <row r="13" spans="1:10" x14ac:dyDescent="0.3">
      <c r="A13">
        <v>11</v>
      </c>
      <c r="B13">
        <v>190</v>
      </c>
      <c r="C13" t="b">
        <v>1</v>
      </c>
      <c r="D13">
        <v>8054</v>
      </c>
      <c r="E13">
        <v>8123</v>
      </c>
      <c r="F13">
        <v>8.5</v>
      </c>
      <c r="G13">
        <v>8</v>
      </c>
      <c r="H13">
        <v>1.0625</v>
      </c>
      <c r="I13">
        <v>-6.25E-2</v>
      </c>
      <c r="J13">
        <v>0.48484850000000002</v>
      </c>
    </row>
    <row r="14" spans="1:10" x14ac:dyDescent="0.3">
      <c r="A14">
        <v>12</v>
      </c>
      <c r="B14">
        <v>206</v>
      </c>
      <c r="C14" t="b">
        <v>1</v>
      </c>
      <c r="D14">
        <v>8048</v>
      </c>
      <c r="E14">
        <v>8117</v>
      </c>
      <c r="F14">
        <v>8.4615379999999991</v>
      </c>
      <c r="G14">
        <v>8</v>
      </c>
      <c r="H14">
        <v>1.0576923</v>
      </c>
      <c r="I14">
        <v>-5.769229E-2</v>
      </c>
      <c r="J14">
        <v>0.48598131999999999</v>
      </c>
    </row>
    <row r="15" spans="1:10" x14ac:dyDescent="0.3">
      <c r="A15">
        <v>13</v>
      </c>
      <c r="B15">
        <v>221</v>
      </c>
      <c r="C15" t="b">
        <v>1</v>
      </c>
      <c r="D15">
        <v>8048</v>
      </c>
      <c r="E15">
        <v>8111</v>
      </c>
      <c r="F15">
        <v>8.4285720000000008</v>
      </c>
      <c r="G15">
        <v>8</v>
      </c>
      <c r="H15">
        <v>1.0535715000000001</v>
      </c>
      <c r="I15">
        <v>-5.3571463E-2</v>
      </c>
      <c r="J15">
        <v>0.48695650000000001</v>
      </c>
    </row>
    <row r="16" spans="1:10" x14ac:dyDescent="0.3">
      <c r="A16">
        <v>14</v>
      </c>
      <c r="B16">
        <v>237</v>
      </c>
      <c r="C16" t="b">
        <v>1</v>
      </c>
      <c r="D16">
        <v>8048</v>
      </c>
      <c r="E16">
        <v>8117</v>
      </c>
      <c r="F16">
        <v>8.4</v>
      </c>
      <c r="G16">
        <v>7.6</v>
      </c>
      <c r="H16">
        <v>1.1052630999999999</v>
      </c>
      <c r="I16">
        <v>-0.10526312</v>
      </c>
      <c r="J16">
        <v>0.47499999999999998</v>
      </c>
    </row>
    <row r="17" spans="1:10" x14ac:dyDescent="0.3">
      <c r="A17">
        <v>15</v>
      </c>
      <c r="B17">
        <v>253</v>
      </c>
      <c r="C17" t="b">
        <v>1</v>
      </c>
      <c r="D17">
        <v>8048</v>
      </c>
      <c r="E17">
        <v>8117</v>
      </c>
      <c r="F17">
        <v>8.4</v>
      </c>
      <c r="G17">
        <v>7.2</v>
      </c>
      <c r="H17">
        <v>1.1666666000000001</v>
      </c>
      <c r="I17">
        <v>-0.16666664</v>
      </c>
      <c r="J17">
        <v>0.46153845999999998</v>
      </c>
    </row>
    <row r="18" spans="1:10" x14ac:dyDescent="0.3">
      <c r="A18">
        <v>16</v>
      </c>
      <c r="B18">
        <v>269</v>
      </c>
      <c r="C18" t="b">
        <v>1</v>
      </c>
      <c r="D18">
        <v>8048</v>
      </c>
      <c r="E18">
        <v>8117</v>
      </c>
      <c r="F18">
        <v>8</v>
      </c>
      <c r="G18">
        <v>6.8</v>
      </c>
      <c r="H18">
        <v>1.1764705</v>
      </c>
      <c r="I18">
        <v>-0.17647055</v>
      </c>
      <c r="J18">
        <v>0.45945944999999999</v>
      </c>
    </row>
    <row r="19" spans="1:10" x14ac:dyDescent="0.3">
      <c r="A19">
        <v>17</v>
      </c>
      <c r="B19">
        <v>285</v>
      </c>
      <c r="C19" t="b">
        <v>1</v>
      </c>
      <c r="D19">
        <v>8048</v>
      </c>
      <c r="E19">
        <v>8117</v>
      </c>
      <c r="F19">
        <v>8</v>
      </c>
      <c r="G19">
        <v>6.4</v>
      </c>
      <c r="H19">
        <v>1.25</v>
      </c>
      <c r="I19">
        <v>-0.24999999000000001</v>
      </c>
      <c r="J19">
        <v>0.44444447999999998</v>
      </c>
    </row>
    <row r="20" spans="1:10" x14ac:dyDescent="0.3">
      <c r="A20">
        <v>18</v>
      </c>
      <c r="B20">
        <v>301</v>
      </c>
      <c r="C20" t="b">
        <v>1</v>
      </c>
      <c r="D20">
        <v>8048</v>
      </c>
      <c r="E20">
        <v>8117</v>
      </c>
      <c r="F20">
        <v>8</v>
      </c>
      <c r="G20">
        <v>6</v>
      </c>
      <c r="H20">
        <v>1.3333333999999999</v>
      </c>
      <c r="I20">
        <v>-0.33333333999999998</v>
      </c>
      <c r="J20">
        <v>0.42857142999999998</v>
      </c>
    </row>
    <row r="21" spans="1:10" x14ac:dyDescent="0.3">
      <c r="A21">
        <v>19</v>
      </c>
      <c r="B21">
        <v>317</v>
      </c>
      <c r="C21" t="b">
        <v>1</v>
      </c>
      <c r="D21">
        <v>8048</v>
      </c>
      <c r="E21">
        <v>8117</v>
      </c>
      <c r="F21">
        <v>8</v>
      </c>
      <c r="G21">
        <v>5.6</v>
      </c>
      <c r="H21">
        <v>1.4285715000000001</v>
      </c>
      <c r="I21">
        <v>-0.42857146000000002</v>
      </c>
      <c r="J21">
        <v>0.41176467999999999</v>
      </c>
    </row>
    <row r="22" spans="1:10" x14ac:dyDescent="0.3">
      <c r="A22">
        <v>20</v>
      </c>
      <c r="B22">
        <v>333</v>
      </c>
      <c r="C22" t="b">
        <v>1</v>
      </c>
      <c r="D22">
        <v>8048</v>
      </c>
      <c r="E22">
        <v>8117</v>
      </c>
      <c r="F22">
        <v>8</v>
      </c>
      <c r="G22">
        <v>5.2</v>
      </c>
      <c r="H22">
        <v>1.5384616</v>
      </c>
      <c r="I22">
        <v>-0.53846156999999994</v>
      </c>
      <c r="J22">
        <v>0.39393938000000001</v>
      </c>
    </row>
    <row r="23" spans="1:10" x14ac:dyDescent="0.3">
      <c r="A23">
        <v>21</v>
      </c>
      <c r="B23">
        <v>348</v>
      </c>
      <c r="C23" t="b">
        <v>1</v>
      </c>
      <c r="D23">
        <v>8054</v>
      </c>
      <c r="E23">
        <v>8111</v>
      </c>
      <c r="F23">
        <v>8</v>
      </c>
      <c r="G23">
        <v>4.8</v>
      </c>
      <c r="H23">
        <v>1.6666666000000001</v>
      </c>
      <c r="I23">
        <v>-0.6666666</v>
      </c>
      <c r="J23">
        <v>0.375</v>
      </c>
    </row>
    <row r="24" spans="1:10" x14ac:dyDescent="0.3">
      <c r="A24">
        <v>22</v>
      </c>
      <c r="B24">
        <v>364</v>
      </c>
      <c r="C24" t="b">
        <v>1</v>
      </c>
      <c r="D24">
        <v>8048</v>
      </c>
      <c r="E24">
        <v>8111</v>
      </c>
      <c r="F24">
        <v>8</v>
      </c>
      <c r="G24">
        <v>4.4000000000000004</v>
      </c>
      <c r="H24">
        <v>1.8181818000000001</v>
      </c>
      <c r="I24">
        <v>-0.81818175000000004</v>
      </c>
      <c r="J24">
        <v>0.35483872999999999</v>
      </c>
    </row>
    <row r="25" spans="1:10" x14ac:dyDescent="0.3">
      <c r="A25">
        <v>23</v>
      </c>
      <c r="B25">
        <v>380</v>
      </c>
      <c r="C25" t="b">
        <v>1</v>
      </c>
      <c r="D25">
        <v>8048</v>
      </c>
      <c r="E25">
        <v>8117</v>
      </c>
      <c r="F25">
        <v>8</v>
      </c>
      <c r="G25">
        <v>4</v>
      </c>
      <c r="H25">
        <v>2</v>
      </c>
      <c r="I25">
        <v>-1</v>
      </c>
      <c r="J25">
        <v>0.33333333999999998</v>
      </c>
    </row>
    <row r="26" spans="1:10" x14ac:dyDescent="0.3">
      <c r="A26">
        <v>24</v>
      </c>
      <c r="B26">
        <v>396</v>
      </c>
      <c r="C26" t="b">
        <v>1</v>
      </c>
      <c r="D26">
        <v>8048</v>
      </c>
      <c r="E26">
        <v>8123</v>
      </c>
      <c r="F26">
        <v>8</v>
      </c>
      <c r="G26">
        <v>3.6</v>
      </c>
      <c r="H26">
        <v>2.2222222999999999</v>
      </c>
      <c r="I26">
        <v>-1.2222223000000001</v>
      </c>
      <c r="J26">
        <v>0.31034482000000002</v>
      </c>
    </row>
    <row r="27" spans="1:10" x14ac:dyDescent="0.3">
      <c r="A27">
        <v>25</v>
      </c>
      <c r="B27">
        <v>412</v>
      </c>
      <c r="C27" t="b">
        <v>1</v>
      </c>
      <c r="D27">
        <v>8048</v>
      </c>
      <c r="E27">
        <v>8123</v>
      </c>
      <c r="F27">
        <v>8</v>
      </c>
      <c r="G27">
        <v>3.2</v>
      </c>
      <c r="H27">
        <v>2.5</v>
      </c>
      <c r="I27">
        <v>-1.5</v>
      </c>
      <c r="J27">
        <v>0.28571429999999998</v>
      </c>
    </row>
    <row r="28" spans="1:10" x14ac:dyDescent="0.3">
      <c r="A28">
        <v>26</v>
      </c>
      <c r="B28">
        <v>428</v>
      </c>
      <c r="C28" t="b">
        <v>1</v>
      </c>
      <c r="D28">
        <v>8048</v>
      </c>
      <c r="E28">
        <v>8117</v>
      </c>
      <c r="F28">
        <v>8</v>
      </c>
      <c r="G28">
        <v>2.8</v>
      </c>
      <c r="H28">
        <v>2.8571430000000002</v>
      </c>
      <c r="I28">
        <v>-1.8571428000000001</v>
      </c>
      <c r="J28">
        <v>0.25925925</v>
      </c>
    </row>
    <row r="29" spans="1:10" x14ac:dyDescent="0.3">
      <c r="A29">
        <v>27</v>
      </c>
      <c r="B29">
        <v>444</v>
      </c>
      <c r="C29" t="b">
        <v>1</v>
      </c>
      <c r="D29">
        <v>8048</v>
      </c>
      <c r="E29">
        <v>8123</v>
      </c>
      <c r="F29">
        <v>8</v>
      </c>
      <c r="G29">
        <v>2.8</v>
      </c>
      <c r="H29">
        <v>2.8571430000000002</v>
      </c>
      <c r="I29">
        <v>-1.8571428000000001</v>
      </c>
      <c r="J29">
        <v>0.25925925</v>
      </c>
    </row>
    <row r="30" spans="1:10" x14ac:dyDescent="0.3">
      <c r="A30">
        <v>28</v>
      </c>
      <c r="B30">
        <v>460</v>
      </c>
      <c r="C30" t="b">
        <v>1</v>
      </c>
      <c r="D30">
        <v>8048</v>
      </c>
      <c r="E30">
        <v>8117</v>
      </c>
      <c r="F30">
        <v>8</v>
      </c>
      <c r="G30">
        <v>2.8</v>
      </c>
      <c r="H30">
        <v>2.8571430000000002</v>
      </c>
      <c r="I30">
        <v>-1.8571428000000001</v>
      </c>
      <c r="J30">
        <v>0.25925925</v>
      </c>
    </row>
    <row r="31" spans="1:10" x14ac:dyDescent="0.3">
      <c r="A31">
        <v>29</v>
      </c>
      <c r="B31">
        <v>475</v>
      </c>
      <c r="C31" t="b">
        <v>1</v>
      </c>
      <c r="D31">
        <v>8054</v>
      </c>
      <c r="E31">
        <v>8123</v>
      </c>
      <c r="F31">
        <v>8</v>
      </c>
      <c r="G31">
        <v>3.2</v>
      </c>
      <c r="H31">
        <v>2.5</v>
      </c>
      <c r="I31">
        <v>-1.5</v>
      </c>
      <c r="J31">
        <v>0.28571429999999998</v>
      </c>
    </row>
    <row r="32" spans="1:10" x14ac:dyDescent="0.3">
      <c r="A32">
        <v>30</v>
      </c>
      <c r="B32">
        <v>491</v>
      </c>
      <c r="C32" t="b">
        <v>1</v>
      </c>
      <c r="D32">
        <v>8048</v>
      </c>
      <c r="E32">
        <v>8123</v>
      </c>
      <c r="F32">
        <v>8</v>
      </c>
      <c r="G32">
        <v>3.6</v>
      </c>
      <c r="H32">
        <v>2.2222222999999999</v>
      </c>
      <c r="I32">
        <v>-1.2222223000000001</v>
      </c>
      <c r="J32">
        <v>0.31034482000000002</v>
      </c>
    </row>
    <row r="33" spans="1:10" x14ac:dyDescent="0.3">
      <c r="A33">
        <v>31</v>
      </c>
      <c r="B33">
        <v>507</v>
      </c>
      <c r="C33" t="b">
        <v>1</v>
      </c>
      <c r="D33">
        <v>8054</v>
      </c>
      <c r="E33">
        <v>8117</v>
      </c>
      <c r="F33">
        <v>8</v>
      </c>
      <c r="G33">
        <v>4</v>
      </c>
      <c r="H33">
        <v>2</v>
      </c>
      <c r="I33">
        <v>-1</v>
      </c>
      <c r="J33">
        <v>0.33333333999999998</v>
      </c>
    </row>
    <row r="34" spans="1:10" x14ac:dyDescent="0.3">
      <c r="A34">
        <v>32</v>
      </c>
      <c r="B34">
        <v>523</v>
      </c>
      <c r="C34" t="b">
        <v>1</v>
      </c>
      <c r="D34">
        <v>8048</v>
      </c>
      <c r="E34">
        <v>8117</v>
      </c>
      <c r="F34">
        <v>8</v>
      </c>
      <c r="G34">
        <v>4</v>
      </c>
      <c r="H34">
        <v>2</v>
      </c>
      <c r="I34">
        <v>-1</v>
      </c>
      <c r="J34">
        <v>0.33333333999999998</v>
      </c>
    </row>
    <row r="35" spans="1:10" x14ac:dyDescent="0.3">
      <c r="A35">
        <v>33</v>
      </c>
      <c r="B35">
        <v>539</v>
      </c>
      <c r="C35" t="b">
        <v>1</v>
      </c>
      <c r="D35">
        <v>8054</v>
      </c>
      <c r="E35">
        <v>8117</v>
      </c>
      <c r="F35">
        <v>8.4</v>
      </c>
      <c r="G35">
        <v>4</v>
      </c>
      <c r="H35">
        <v>2.1</v>
      </c>
      <c r="I35">
        <v>-1.0999999</v>
      </c>
      <c r="J35">
        <v>0.32258067000000001</v>
      </c>
    </row>
    <row r="36" spans="1:10" x14ac:dyDescent="0.3">
      <c r="A36">
        <v>34</v>
      </c>
      <c r="B36">
        <v>555</v>
      </c>
      <c r="C36" t="b">
        <v>1</v>
      </c>
      <c r="D36">
        <v>8048</v>
      </c>
      <c r="E36">
        <v>8117</v>
      </c>
      <c r="F36">
        <v>8.4</v>
      </c>
      <c r="G36">
        <v>4</v>
      </c>
      <c r="H36">
        <v>2.1</v>
      </c>
      <c r="I36">
        <v>-1.0999999</v>
      </c>
      <c r="J36">
        <v>0.32258067000000001</v>
      </c>
    </row>
    <row r="37" spans="1:10" x14ac:dyDescent="0.3">
      <c r="A37">
        <v>35</v>
      </c>
      <c r="B37">
        <v>571</v>
      </c>
      <c r="C37" t="b">
        <v>1</v>
      </c>
      <c r="D37">
        <v>8048</v>
      </c>
      <c r="E37">
        <v>8117</v>
      </c>
      <c r="F37">
        <v>8.4</v>
      </c>
      <c r="G37">
        <v>4</v>
      </c>
      <c r="H37">
        <v>2.1</v>
      </c>
      <c r="I37">
        <v>-1.0999999</v>
      </c>
      <c r="J37">
        <v>0.32258067000000001</v>
      </c>
    </row>
    <row r="38" spans="1:10" x14ac:dyDescent="0.3">
      <c r="A38">
        <v>36</v>
      </c>
      <c r="B38">
        <v>587</v>
      </c>
      <c r="C38" t="b">
        <v>1</v>
      </c>
      <c r="D38">
        <v>8054</v>
      </c>
      <c r="E38">
        <v>8117</v>
      </c>
      <c r="F38">
        <v>8.4</v>
      </c>
      <c r="G38">
        <v>4</v>
      </c>
      <c r="H38">
        <v>2.1</v>
      </c>
      <c r="I38">
        <v>-1.0999999</v>
      </c>
      <c r="J38">
        <v>0.32258067000000001</v>
      </c>
    </row>
    <row r="39" spans="1:10" x14ac:dyDescent="0.3">
      <c r="A39">
        <v>37</v>
      </c>
      <c r="B39">
        <v>603</v>
      </c>
      <c r="C39" t="b">
        <v>1</v>
      </c>
      <c r="D39">
        <v>8048</v>
      </c>
      <c r="E39">
        <v>8123</v>
      </c>
      <c r="F39">
        <v>8.4</v>
      </c>
      <c r="G39">
        <v>4</v>
      </c>
      <c r="H39">
        <v>2.1</v>
      </c>
      <c r="I39">
        <v>-1.0999999</v>
      </c>
      <c r="J39">
        <v>0.32258067000000001</v>
      </c>
    </row>
    <row r="40" spans="1:10" x14ac:dyDescent="0.3">
      <c r="A40">
        <v>38</v>
      </c>
      <c r="B40">
        <v>619</v>
      </c>
      <c r="C40" t="b">
        <v>1</v>
      </c>
      <c r="D40">
        <v>8048</v>
      </c>
      <c r="E40">
        <v>8123</v>
      </c>
      <c r="F40">
        <v>8.4</v>
      </c>
      <c r="G40">
        <v>4</v>
      </c>
      <c r="H40">
        <v>2.1</v>
      </c>
      <c r="I40">
        <v>-1.0999999</v>
      </c>
      <c r="J40">
        <v>0.32258067000000001</v>
      </c>
    </row>
    <row r="41" spans="1:10" x14ac:dyDescent="0.3">
      <c r="A41">
        <v>39</v>
      </c>
      <c r="B41">
        <v>635</v>
      </c>
      <c r="C41" t="b">
        <v>1</v>
      </c>
      <c r="D41">
        <v>8048</v>
      </c>
      <c r="E41">
        <v>8117</v>
      </c>
      <c r="F41">
        <v>8.4</v>
      </c>
      <c r="G41">
        <v>4</v>
      </c>
      <c r="H41">
        <v>2.1</v>
      </c>
      <c r="I41">
        <v>-1.0999999</v>
      </c>
      <c r="J41">
        <v>0.32258067000000001</v>
      </c>
    </row>
    <row r="42" spans="1:10" x14ac:dyDescent="0.3">
      <c r="A42">
        <v>40</v>
      </c>
      <c r="B42">
        <v>651</v>
      </c>
      <c r="C42" t="b">
        <v>1</v>
      </c>
      <c r="D42">
        <v>8054</v>
      </c>
      <c r="E42">
        <v>8123</v>
      </c>
      <c r="F42">
        <v>8.4</v>
      </c>
      <c r="G42">
        <v>4.4000000000000004</v>
      </c>
      <c r="H42">
        <v>1.9090908</v>
      </c>
      <c r="I42">
        <v>-0.90909076</v>
      </c>
      <c r="J42">
        <v>0.34375002999999998</v>
      </c>
    </row>
    <row r="43" spans="1:10" x14ac:dyDescent="0.3">
      <c r="A43">
        <v>41</v>
      </c>
      <c r="B43">
        <v>674</v>
      </c>
      <c r="C43" t="b">
        <v>1</v>
      </c>
      <c r="D43">
        <v>8042</v>
      </c>
      <c r="E43">
        <v>8123</v>
      </c>
      <c r="F43">
        <v>8.4</v>
      </c>
      <c r="G43">
        <v>4.8</v>
      </c>
      <c r="H43">
        <v>1.7499998999999999</v>
      </c>
      <c r="I43">
        <v>-0.74999990000000005</v>
      </c>
      <c r="J43">
        <v>0.36363636999999999</v>
      </c>
    </row>
    <row r="44" spans="1:10" x14ac:dyDescent="0.3">
      <c r="A44">
        <v>42</v>
      </c>
      <c r="B44">
        <v>690</v>
      </c>
      <c r="C44" t="b">
        <v>1</v>
      </c>
      <c r="D44">
        <v>8048</v>
      </c>
      <c r="E44">
        <v>8123</v>
      </c>
      <c r="F44">
        <v>8.4</v>
      </c>
      <c r="G44">
        <v>4.8</v>
      </c>
      <c r="H44">
        <v>1.7499998999999999</v>
      </c>
      <c r="I44">
        <v>-0.74999990000000005</v>
      </c>
      <c r="J44">
        <v>0.36363636999999999</v>
      </c>
    </row>
    <row r="45" spans="1:10" x14ac:dyDescent="0.3">
      <c r="A45">
        <v>43</v>
      </c>
      <c r="B45">
        <v>706</v>
      </c>
      <c r="C45" t="b">
        <v>1</v>
      </c>
      <c r="D45">
        <v>8054</v>
      </c>
      <c r="E45">
        <v>8123</v>
      </c>
      <c r="F45">
        <v>8.4</v>
      </c>
      <c r="G45">
        <v>4.8</v>
      </c>
      <c r="H45">
        <v>1.7499998999999999</v>
      </c>
      <c r="I45">
        <v>-0.74999990000000005</v>
      </c>
      <c r="J45">
        <v>0.36363636999999999</v>
      </c>
    </row>
    <row r="46" spans="1:10" x14ac:dyDescent="0.3">
      <c r="A46">
        <v>44</v>
      </c>
      <c r="B46">
        <v>721</v>
      </c>
      <c r="C46" t="b">
        <v>1</v>
      </c>
      <c r="D46">
        <v>8048</v>
      </c>
      <c r="E46">
        <v>8117</v>
      </c>
      <c r="F46">
        <v>8.4</v>
      </c>
      <c r="G46">
        <v>4.8</v>
      </c>
      <c r="H46">
        <v>1.7499998999999999</v>
      </c>
      <c r="I46">
        <v>-0.74999990000000005</v>
      </c>
      <c r="J46">
        <v>0.36363636999999999</v>
      </c>
    </row>
    <row r="47" spans="1:10" x14ac:dyDescent="0.3">
      <c r="A47">
        <v>45</v>
      </c>
      <c r="B47">
        <v>737</v>
      </c>
      <c r="C47" t="b">
        <v>1</v>
      </c>
      <c r="D47">
        <v>8048</v>
      </c>
      <c r="E47">
        <v>8123</v>
      </c>
      <c r="F47">
        <v>8.4</v>
      </c>
      <c r="G47">
        <v>4.8</v>
      </c>
      <c r="H47">
        <v>1.7499998999999999</v>
      </c>
      <c r="I47">
        <v>-0.74999990000000005</v>
      </c>
      <c r="J47">
        <v>0.36363636999999999</v>
      </c>
    </row>
    <row r="48" spans="1:10" x14ac:dyDescent="0.3">
      <c r="A48">
        <v>46</v>
      </c>
      <c r="B48">
        <v>753</v>
      </c>
      <c r="C48" t="b">
        <v>1</v>
      </c>
      <c r="D48">
        <v>8048</v>
      </c>
      <c r="E48">
        <v>8117</v>
      </c>
      <c r="F48">
        <v>8.4</v>
      </c>
      <c r="G48">
        <v>4.8</v>
      </c>
      <c r="H48">
        <v>1.7499998999999999</v>
      </c>
      <c r="I48">
        <v>-0.74999990000000005</v>
      </c>
      <c r="J48">
        <v>0.36363636999999999</v>
      </c>
    </row>
    <row r="49" spans="1:10" x14ac:dyDescent="0.3">
      <c r="A49">
        <v>47</v>
      </c>
      <c r="B49">
        <v>769</v>
      </c>
      <c r="C49" t="b">
        <v>1</v>
      </c>
      <c r="D49">
        <v>8048</v>
      </c>
      <c r="E49">
        <v>8123</v>
      </c>
      <c r="F49">
        <v>8.4</v>
      </c>
      <c r="G49">
        <v>5.2</v>
      </c>
      <c r="H49">
        <v>1.6153846000000001</v>
      </c>
      <c r="I49">
        <v>-0.61538459999999995</v>
      </c>
      <c r="J49">
        <v>0.38235295000000002</v>
      </c>
    </row>
    <row r="50" spans="1:10" x14ac:dyDescent="0.3">
      <c r="A50">
        <v>48</v>
      </c>
      <c r="B50">
        <v>785</v>
      </c>
      <c r="C50" t="b">
        <v>1</v>
      </c>
      <c r="D50">
        <v>8048</v>
      </c>
      <c r="E50">
        <v>8123</v>
      </c>
      <c r="F50">
        <v>8</v>
      </c>
      <c r="G50">
        <v>5.6</v>
      </c>
      <c r="H50">
        <v>1.4285715000000001</v>
      </c>
      <c r="I50">
        <v>-0.42857146000000002</v>
      </c>
      <c r="J50">
        <v>0.41176467999999999</v>
      </c>
    </row>
    <row r="51" spans="1:10" x14ac:dyDescent="0.3">
      <c r="A51">
        <v>49</v>
      </c>
      <c r="B51">
        <v>801</v>
      </c>
      <c r="C51" t="b">
        <v>1</v>
      </c>
      <c r="D51">
        <v>8048</v>
      </c>
      <c r="E51">
        <v>8123</v>
      </c>
      <c r="F51">
        <v>8</v>
      </c>
      <c r="G51">
        <v>6</v>
      </c>
      <c r="H51">
        <v>1.3333333999999999</v>
      </c>
      <c r="I51">
        <v>-0.33333333999999998</v>
      </c>
      <c r="J51">
        <v>0.42857142999999998</v>
      </c>
    </row>
    <row r="52" spans="1:10" x14ac:dyDescent="0.3">
      <c r="A52">
        <v>50</v>
      </c>
      <c r="B52">
        <v>817</v>
      </c>
      <c r="C52" t="b">
        <v>1</v>
      </c>
      <c r="D52">
        <v>8048</v>
      </c>
      <c r="E52">
        <v>8117</v>
      </c>
      <c r="F52">
        <v>8</v>
      </c>
      <c r="G52">
        <v>6.4</v>
      </c>
      <c r="H52">
        <v>1.25</v>
      </c>
      <c r="I52">
        <v>-0.24999999000000001</v>
      </c>
      <c r="J52">
        <v>0.44444447999999998</v>
      </c>
    </row>
    <row r="53" spans="1:10" x14ac:dyDescent="0.3">
      <c r="A53">
        <v>51</v>
      </c>
      <c r="B53">
        <v>832</v>
      </c>
      <c r="C53" t="b">
        <v>1</v>
      </c>
      <c r="D53">
        <v>8048</v>
      </c>
      <c r="E53">
        <v>8123</v>
      </c>
      <c r="F53">
        <v>8</v>
      </c>
      <c r="G53">
        <v>6.8</v>
      </c>
      <c r="H53">
        <v>1.1764705</v>
      </c>
      <c r="I53">
        <v>-0.17647055</v>
      </c>
      <c r="J53">
        <v>0.45945944999999999</v>
      </c>
    </row>
    <row r="54" spans="1:10" x14ac:dyDescent="0.3">
      <c r="A54">
        <v>52</v>
      </c>
      <c r="B54">
        <v>848</v>
      </c>
      <c r="C54" t="b">
        <v>1</v>
      </c>
      <c r="D54">
        <v>8048</v>
      </c>
      <c r="E54">
        <v>8123</v>
      </c>
      <c r="F54">
        <v>8</v>
      </c>
      <c r="G54">
        <v>7.2</v>
      </c>
      <c r="H54">
        <v>1.1111112000000001</v>
      </c>
      <c r="I54">
        <v>-0.11111114</v>
      </c>
      <c r="J54">
        <v>0.4736842</v>
      </c>
    </row>
    <row r="55" spans="1:10" x14ac:dyDescent="0.3">
      <c r="A55">
        <v>53</v>
      </c>
      <c r="B55">
        <v>864</v>
      </c>
      <c r="C55" t="b">
        <v>1</v>
      </c>
      <c r="D55">
        <v>8048</v>
      </c>
      <c r="E55">
        <v>8123</v>
      </c>
      <c r="F55">
        <v>8</v>
      </c>
      <c r="G55">
        <v>7.6</v>
      </c>
      <c r="H55">
        <v>1.0526316</v>
      </c>
      <c r="I55">
        <v>-5.2631589999999999E-2</v>
      </c>
      <c r="J55">
        <v>0.48717946000000001</v>
      </c>
    </row>
    <row r="56" spans="1:10" x14ac:dyDescent="0.3">
      <c r="A56">
        <v>54</v>
      </c>
      <c r="B56">
        <v>880</v>
      </c>
      <c r="C56" t="b">
        <v>1</v>
      </c>
      <c r="D56">
        <v>8048</v>
      </c>
      <c r="E56">
        <v>8123</v>
      </c>
      <c r="F56">
        <v>8</v>
      </c>
      <c r="G56">
        <v>8</v>
      </c>
      <c r="H56">
        <v>1</v>
      </c>
      <c r="I56">
        <v>0</v>
      </c>
      <c r="J56">
        <v>0.5</v>
      </c>
    </row>
    <row r="57" spans="1:10" x14ac:dyDescent="0.3">
      <c r="A57">
        <v>55</v>
      </c>
      <c r="B57">
        <v>896</v>
      </c>
      <c r="C57" t="b">
        <v>1</v>
      </c>
      <c r="D57">
        <v>8048</v>
      </c>
      <c r="E57">
        <v>8117</v>
      </c>
      <c r="F57">
        <v>8</v>
      </c>
      <c r="G57">
        <v>8</v>
      </c>
      <c r="H57">
        <v>1</v>
      </c>
      <c r="I57">
        <v>0</v>
      </c>
      <c r="J57">
        <v>0.5</v>
      </c>
    </row>
    <row r="58" spans="1:10" x14ac:dyDescent="0.3">
      <c r="A58">
        <v>56</v>
      </c>
      <c r="B58">
        <v>912</v>
      </c>
      <c r="C58" t="b">
        <v>1</v>
      </c>
      <c r="D58">
        <v>8048</v>
      </c>
      <c r="E58">
        <v>8117</v>
      </c>
      <c r="F58">
        <v>8</v>
      </c>
      <c r="G58">
        <v>8</v>
      </c>
      <c r="H58">
        <v>1</v>
      </c>
      <c r="I58">
        <v>0</v>
      </c>
      <c r="J58">
        <v>0.5</v>
      </c>
    </row>
    <row r="59" spans="1:10" x14ac:dyDescent="0.3">
      <c r="A59">
        <v>57</v>
      </c>
      <c r="B59">
        <v>928</v>
      </c>
      <c r="C59" t="b">
        <v>1</v>
      </c>
      <c r="D59">
        <v>8048</v>
      </c>
      <c r="E59">
        <v>8117</v>
      </c>
      <c r="F59">
        <v>8</v>
      </c>
      <c r="G59">
        <v>7.6</v>
      </c>
      <c r="H59">
        <v>1.0526316</v>
      </c>
      <c r="I59">
        <v>-5.2631589999999999E-2</v>
      </c>
      <c r="J59">
        <v>0.48717946000000001</v>
      </c>
    </row>
    <row r="60" spans="1:10" x14ac:dyDescent="0.3">
      <c r="A60">
        <v>58</v>
      </c>
      <c r="B60">
        <v>944</v>
      </c>
      <c r="C60" t="b">
        <v>1</v>
      </c>
      <c r="D60">
        <v>8048</v>
      </c>
      <c r="E60">
        <v>8117</v>
      </c>
      <c r="F60">
        <v>8</v>
      </c>
      <c r="G60">
        <v>7.2</v>
      </c>
      <c r="H60">
        <v>1.1111112000000001</v>
      </c>
      <c r="I60">
        <v>-0.11111114</v>
      </c>
      <c r="J60">
        <v>0.4736842</v>
      </c>
    </row>
    <row r="61" spans="1:10" x14ac:dyDescent="0.3">
      <c r="A61">
        <v>59</v>
      </c>
      <c r="B61">
        <v>960</v>
      </c>
      <c r="C61" t="b">
        <v>1</v>
      </c>
      <c r="D61">
        <v>8048</v>
      </c>
      <c r="E61">
        <v>8117</v>
      </c>
      <c r="F61">
        <v>8</v>
      </c>
      <c r="G61">
        <v>6.8</v>
      </c>
      <c r="H61">
        <v>1.1764705</v>
      </c>
      <c r="I61">
        <v>-0.17647055</v>
      </c>
      <c r="J61">
        <v>0.45945944999999999</v>
      </c>
    </row>
    <row r="62" spans="1:10" x14ac:dyDescent="0.3">
      <c r="A62">
        <v>60</v>
      </c>
      <c r="B62">
        <v>975</v>
      </c>
      <c r="C62" t="b">
        <v>1</v>
      </c>
      <c r="D62">
        <v>8048</v>
      </c>
      <c r="E62">
        <v>8123</v>
      </c>
      <c r="F62">
        <v>8</v>
      </c>
      <c r="G62">
        <v>6.4</v>
      </c>
      <c r="H62">
        <v>1.25</v>
      </c>
      <c r="I62">
        <v>-0.24999999000000001</v>
      </c>
      <c r="J62">
        <v>0.44444447999999998</v>
      </c>
    </row>
    <row r="63" spans="1:10" x14ac:dyDescent="0.3">
      <c r="A63">
        <v>61</v>
      </c>
      <c r="B63">
        <v>991</v>
      </c>
      <c r="C63" t="b">
        <v>1</v>
      </c>
      <c r="D63">
        <v>8048</v>
      </c>
      <c r="E63">
        <v>8123</v>
      </c>
      <c r="F63">
        <v>8</v>
      </c>
      <c r="G63">
        <v>6</v>
      </c>
      <c r="H63">
        <v>1.3333333999999999</v>
      </c>
      <c r="I63">
        <v>-0.33333333999999998</v>
      </c>
      <c r="J63">
        <v>0.42857142999999998</v>
      </c>
    </row>
    <row r="64" spans="1:10" x14ac:dyDescent="0.3">
      <c r="A64">
        <v>62</v>
      </c>
      <c r="B64">
        <v>1007</v>
      </c>
      <c r="C64" t="b">
        <v>1</v>
      </c>
      <c r="D64">
        <v>8048</v>
      </c>
      <c r="E64">
        <v>8123</v>
      </c>
      <c r="F64">
        <v>8</v>
      </c>
      <c r="G64">
        <v>6</v>
      </c>
      <c r="H64">
        <v>1.3333333999999999</v>
      </c>
      <c r="I64">
        <v>-0.33333333999999998</v>
      </c>
      <c r="J64">
        <v>0.42857142999999998</v>
      </c>
    </row>
    <row r="65" spans="1:10" x14ac:dyDescent="0.3">
      <c r="A65">
        <v>63</v>
      </c>
      <c r="B65">
        <v>1023</v>
      </c>
      <c r="C65" t="b">
        <v>1</v>
      </c>
      <c r="D65">
        <v>8048</v>
      </c>
      <c r="E65">
        <v>8123</v>
      </c>
      <c r="F65">
        <v>8</v>
      </c>
      <c r="G65">
        <v>6</v>
      </c>
      <c r="H65">
        <v>1.3333333999999999</v>
      </c>
      <c r="I65">
        <v>-0.33333333999999998</v>
      </c>
      <c r="J65">
        <v>0.42857142999999998</v>
      </c>
    </row>
    <row r="66" spans="1:10" x14ac:dyDescent="0.3">
      <c r="A66">
        <v>64</v>
      </c>
      <c r="B66">
        <v>1039</v>
      </c>
      <c r="C66" t="b">
        <v>1</v>
      </c>
      <c r="D66">
        <v>8042</v>
      </c>
      <c r="E66">
        <v>8123</v>
      </c>
      <c r="F66">
        <v>8</v>
      </c>
      <c r="G66">
        <v>6</v>
      </c>
      <c r="H66">
        <v>1.3333333999999999</v>
      </c>
      <c r="I66">
        <v>-0.33333333999999998</v>
      </c>
      <c r="J66">
        <v>0.42857142999999998</v>
      </c>
    </row>
    <row r="67" spans="1:10" x14ac:dyDescent="0.3">
      <c r="A67">
        <v>65</v>
      </c>
      <c r="B67">
        <v>1055</v>
      </c>
      <c r="C67" t="b">
        <v>1</v>
      </c>
      <c r="D67">
        <v>8048</v>
      </c>
      <c r="E67">
        <v>8123</v>
      </c>
      <c r="F67">
        <v>8</v>
      </c>
      <c r="G67">
        <v>6</v>
      </c>
      <c r="H67">
        <v>1.3333333999999999</v>
      </c>
      <c r="I67">
        <v>-0.33333333999999998</v>
      </c>
      <c r="J67">
        <v>0.42857142999999998</v>
      </c>
    </row>
    <row r="68" spans="1:10" x14ac:dyDescent="0.3">
      <c r="A68">
        <v>66</v>
      </c>
      <c r="B68">
        <v>1071</v>
      </c>
      <c r="C68" t="b">
        <v>1</v>
      </c>
      <c r="D68">
        <v>8048</v>
      </c>
      <c r="E68">
        <v>8117</v>
      </c>
      <c r="F68">
        <v>8</v>
      </c>
      <c r="G68">
        <v>6</v>
      </c>
      <c r="H68">
        <v>1.3333333999999999</v>
      </c>
      <c r="I68">
        <v>-0.33333333999999998</v>
      </c>
      <c r="J68">
        <v>0.42857142999999998</v>
      </c>
    </row>
    <row r="69" spans="1:10" x14ac:dyDescent="0.3">
      <c r="A69">
        <v>67</v>
      </c>
      <c r="B69">
        <v>1087</v>
      </c>
      <c r="C69" t="b">
        <v>1</v>
      </c>
      <c r="D69">
        <v>8048</v>
      </c>
      <c r="E69">
        <v>8123</v>
      </c>
      <c r="F69">
        <v>8</v>
      </c>
      <c r="G69">
        <v>6</v>
      </c>
      <c r="H69">
        <v>1.3333333999999999</v>
      </c>
      <c r="I69">
        <v>-0.33333333999999998</v>
      </c>
      <c r="J69">
        <v>0.42857142999999998</v>
      </c>
    </row>
    <row r="70" spans="1:10" x14ac:dyDescent="0.3">
      <c r="A70">
        <v>68</v>
      </c>
      <c r="B70">
        <v>1103</v>
      </c>
      <c r="C70" t="b">
        <v>1</v>
      </c>
      <c r="D70">
        <v>8048</v>
      </c>
      <c r="E70">
        <v>8123</v>
      </c>
      <c r="F70">
        <v>8</v>
      </c>
      <c r="G70">
        <v>6</v>
      </c>
      <c r="H70">
        <v>1.3333333999999999</v>
      </c>
      <c r="I70">
        <v>-0.33333333999999998</v>
      </c>
      <c r="J70">
        <v>0.42857142999999998</v>
      </c>
    </row>
    <row r="71" spans="1:10" x14ac:dyDescent="0.3">
      <c r="A71">
        <v>69</v>
      </c>
      <c r="B71">
        <v>1119</v>
      </c>
      <c r="C71" t="b">
        <v>1</v>
      </c>
      <c r="D71">
        <v>8054</v>
      </c>
      <c r="E71">
        <v>8123</v>
      </c>
      <c r="F71">
        <v>8</v>
      </c>
      <c r="G71">
        <v>6</v>
      </c>
      <c r="H71">
        <v>1.3333333999999999</v>
      </c>
      <c r="I71">
        <v>-0.33333333999999998</v>
      </c>
      <c r="J71">
        <v>0.42857142999999998</v>
      </c>
    </row>
    <row r="72" spans="1:10" x14ac:dyDescent="0.3">
      <c r="A72">
        <v>70</v>
      </c>
      <c r="B72">
        <v>1135</v>
      </c>
      <c r="C72" t="b">
        <v>1</v>
      </c>
      <c r="D72">
        <v>8048</v>
      </c>
      <c r="E72">
        <v>8123</v>
      </c>
      <c r="F72">
        <v>8</v>
      </c>
      <c r="G72">
        <v>6</v>
      </c>
      <c r="H72">
        <v>1.3333333999999999</v>
      </c>
      <c r="I72">
        <v>-0.33333333999999998</v>
      </c>
      <c r="J72">
        <v>0.42857142999999998</v>
      </c>
    </row>
    <row r="73" spans="1:10" x14ac:dyDescent="0.3">
      <c r="A73">
        <v>71</v>
      </c>
      <c r="B73">
        <v>1151</v>
      </c>
      <c r="C73" t="b">
        <v>1</v>
      </c>
      <c r="D73">
        <v>8048</v>
      </c>
      <c r="E73">
        <v>8117</v>
      </c>
      <c r="F73">
        <v>8</v>
      </c>
      <c r="G73">
        <v>6</v>
      </c>
      <c r="H73">
        <v>1.3333333999999999</v>
      </c>
      <c r="I73">
        <v>-0.33333333999999998</v>
      </c>
      <c r="J73">
        <v>0.42857142999999998</v>
      </c>
    </row>
    <row r="74" spans="1:10" x14ac:dyDescent="0.3">
      <c r="A74">
        <v>72</v>
      </c>
      <c r="B74">
        <v>1167</v>
      </c>
      <c r="C74" t="b">
        <v>1</v>
      </c>
      <c r="D74">
        <v>8048</v>
      </c>
      <c r="E74">
        <v>8117</v>
      </c>
      <c r="F74">
        <v>8</v>
      </c>
      <c r="G74">
        <v>6.4</v>
      </c>
      <c r="H74">
        <v>1.25</v>
      </c>
      <c r="I74">
        <v>-0.24999999000000001</v>
      </c>
      <c r="J74">
        <v>0.44444447999999998</v>
      </c>
    </row>
    <row r="75" spans="1:10" x14ac:dyDescent="0.3">
      <c r="A75">
        <v>73</v>
      </c>
      <c r="B75">
        <v>1183</v>
      </c>
      <c r="C75" t="b">
        <v>1</v>
      </c>
      <c r="D75">
        <v>8048</v>
      </c>
      <c r="E75">
        <v>8129</v>
      </c>
      <c r="F75">
        <v>8</v>
      </c>
      <c r="G75">
        <v>6.8</v>
      </c>
      <c r="H75">
        <v>1.1764705</v>
      </c>
      <c r="I75">
        <v>-0.17647055</v>
      </c>
      <c r="J75">
        <v>0.45945944999999999</v>
      </c>
    </row>
    <row r="76" spans="1:10" x14ac:dyDescent="0.3">
      <c r="A76">
        <v>74</v>
      </c>
      <c r="B76">
        <v>1198</v>
      </c>
      <c r="C76" t="b">
        <v>1</v>
      </c>
      <c r="D76">
        <v>8048</v>
      </c>
      <c r="E76">
        <v>8123</v>
      </c>
      <c r="F76">
        <v>8</v>
      </c>
      <c r="G76">
        <v>7.2</v>
      </c>
      <c r="H76">
        <v>1.1111112000000001</v>
      </c>
      <c r="I76">
        <v>-0.11111114</v>
      </c>
      <c r="J76">
        <v>0.4736842</v>
      </c>
    </row>
    <row r="77" spans="1:10" x14ac:dyDescent="0.3">
      <c r="A77">
        <v>75</v>
      </c>
      <c r="B77">
        <v>1214</v>
      </c>
      <c r="C77" t="b">
        <v>1</v>
      </c>
      <c r="D77">
        <v>8048</v>
      </c>
      <c r="E77">
        <v>8123</v>
      </c>
      <c r="F77">
        <v>8</v>
      </c>
      <c r="G77">
        <v>7.6</v>
      </c>
      <c r="H77">
        <v>1.0526316</v>
      </c>
      <c r="I77">
        <v>-5.2631589999999999E-2</v>
      </c>
      <c r="J77">
        <v>0.48717946000000001</v>
      </c>
    </row>
    <row r="78" spans="1:10" x14ac:dyDescent="0.3">
      <c r="A78">
        <v>76</v>
      </c>
      <c r="B78">
        <v>1230</v>
      </c>
      <c r="C78" t="b">
        <v>1</v>
      </c>
      <c r="D78">
        <v>8042</v>
      </c>
      <c r="E78">
        <v>8123</v>
      </c>
      <c r="F78">
        <v>8</v>
      </c>
      <c r="G78">
        <v>8</v>
      </c>
      <c r="H78">
        <v>1</v>
      </c>
      <c r="I78">
        <v>0</v>
      </c>
      <c r="J78">
        <v>0.5</v>
      </c>
    </row>
    <row r="79" spans="1:10" x14ac:dyDescent="0.3">
      <c r="A79">
        <v>77</v>
      </c>
      <c r="B79">
        <v>1246</v>
      </c>
      <c r="C79" t="b">
        <v>1</v>
      </c>
      <c r="D79">
        <v>8048</v>
      </c>
      <c r="E79">
        <v>8123</v>
      </c>
      <c r="F79">
        <v>8</v>
      </c>
      <c r="G79">
        <v>8</v>
      </c>
      <c r="H79">
        <v>1</v>
      </c>
      <c r="I79">
        <v>0</v>
      </c>
      <c r="J79">
        <v>0.5</v>
      </c>
    </row>
    <row r="80" spans="1:10" x14ac:dyDescent="0.3">
      <c r="A80">
        <v>78</v>
      </c>
      <c r="B80">
        <v>1261</v>
      </c>
      <c r="C80" t="b">
        <v>1</v>
      </c>
      <c r="D80">
        <v>8048</v>
      </c>
      <c r="E80">
        <v>8123</v>
      </c>
      <c r="F80">
        <v>8</v>
      </c>
      <c r="G80">
        <v>8</v>
      </c>
      <c r="H80">
        <v>1</v>
      </c>
      <c r="I80">
        <v>0</v>
      </c>
      <c r="J80">
        <v>0.5</v>
      </c>
    </row>
    <row r="81" spans="1:10" x14ac:dyDescent="0.3">
      <c r="A81">
        <v>79</v>
      </c>
      <c r="B81">
        <v>1277</v>
      </c>
      <c r="C81" t="b">
        <v>1</v>
      </c>
      <c r="D81">
        <v>8048</v>
      </c>
      <c r="E81">
        <v>8123</v>
      </c>
      <c r="F81">
        <v>8</v>
      </c>
      <c r="G81">
        <v>8</v>
      </c>
      <c r="H81">
        <v>1</v>
      </c>
      <c r="I81">
        <v>0</v>
      </c>
      <c r="J81">
        <v>0.5</v>
      </c>
    </row>
    <row r="82" spans="1:10" x14ac:dyDescent="0.3">
      <c r="A82">
        <v>80</v>
      </c>
      <c r="B82">
        <v>1293</v>
      </c>
      <c r="C82" t="b">
        <v>1</v>
      </c>
      <c r="D82">
        <v>8048</v>
      </c>
      <c r="E82">
        <v>8117</v>
      </c>
      <c r="F82">
        <v>8</v>
      </c>
      <c r="G82">
        <v>8</v>
      </c>
      <c r="H82">
        <v>1</v>
      </c>
      <c r="I82">
        <v>0</v>
      </c>
      <c r="J82">
        <v>0.5</v>
      </c>
    </row>
    <row r="83" spans="1:10" x14ac:dyDescent="0.3">
      <c r="A83">
        <v>81</v>
      </c>
      <c r="B83">
        <v>1308</v>
      </c>
      <c r="C83" t="b">
        <v>1</v>
      </c>
      <c r="D83">
        <v>8048</v>
      </c>
      <c r="E83">
        <v>8123</v>
      </c>
      <c r="F83">
        <v>8</v>
      </c>
      <c r="G83">
        <v>8</v>
      </c>
      <c r="H83">
        <v>1</v>
      </c>
      <c r="I83">
        <v>0</v>
      </c>
      <c r="J83">
        <v>0.5</v>
      </c>
    </row>
    <row r="84" spans="1:10" x14ac:dyDescent="0.3">
      <c r="A84">
        <v>82</v>
      </c>
      <c r="B84">
        <v>1324</v>
      </c>
      <c r="C84" t="b">
        <v>1</v>
      </c>
      <c r="D84">
        <v>8048</v>
      </c>
      <c r="E84">
        <v>8123</v>
      </c>
      <c r="F84">
        <v>8</v>
      </c>
      <c r="G84">
        <v>8</v>
      </c>
      <c r="H84">
        <v>1</v>
      </c>
      <c r="I84">
        <v>0</v>
      </c>
      <c r="J84">
        <v>0.5</v>
      </c>
    </row>
    <row r="85" spans="1:10" x14ac:dyDescent="0.3">
      <c r="A85">
        <v>83</v>
      </c>
      <c r="B85">
        <v>1340</v>
      </c>
      <c r="C85" t="b">
        <v>1</v>
      </c>
      <c r="D85">
        <v>8054</v>
      </c>
      <c r="E85">
        <v>8123</v>
      </c>
      <c r="F85">
        <v>8</v>
      </c>
      <c r="G85">
        <v>8</v>
      </c>
      <c r="H85">
        <v>1</v>
      </c>
      <c r="I85">
        <v>0</v>
      </c>
      <c r="J85">
        <v>0.5</v>
      </c>
    </row>
    <row r="86" spans="1:10" x14ac:dyDescent="0.3">
      <c r="A86">
        <v>84</v>
      </c>
      <c r="B86">
        <v>1356</v>
      </c>
      <c r="C86" t="b">
        <v>1</v>
      </c>
      <c r="D86">
        <v>8048</v>
      </c>
      <c r="E86">
        <v>8123</v>
      </c>
      <c r="F86">
        <v>8</v>
      </c>
      <c r="G86">
        <v>8</v>
      </c>
      <c r="H86">
        <v>1</v>
      </c>
      <c r="I86">
        <v>0</v>
      </c>
      <c r="J86">
        <v>0.5</v>
      </c>
    </row>
    <row r="87" spans="1:10" x14ac:dyDescent="0.3">
      <c r="A87">
        <v>85</v>
      </c>
      <c r="B87">
        <v>1372</v>
      </c>
      <c r="C87" t="b">
        <v>1</v>
      </c>
      <c r="D87">
        <v>8048</v>
      </c>
      <c r="E87">
        <v>8123</v>
      </c>
      <c r="F87">
        <v>8</v>
      </c>
      <c r="G87">
        <v>8</v>
      </c>
      <c r="H87">
        <v>1</v>
      </c>
      <c r="I87">
        <v>0</v>
      </c>
      <c r="J87">
        <v>0.5</v>
      </c>
    </row>
    <row r="88" spans="1:10" x14ac:dyDescent="0.3">
      <c r="A88">
        <v>86</v>
      </c>
      <c r="B88">
        <v>1388</v>
      </c>
      <c r="C88" t="b">
        <v>1</v>
      </c>
      <c r="D88">
        <v>8048</v>
      </c>
      <c r="E88">
        <v>8123</v>
      </c>
      <c r="F88">
        <v>8</v>
      </c>
      <c r="G88">
        <v>8</v>
      </c>
      <c r="H88">
        <v>1</v>
      </c>
      <c r="I88">
        <v>0</v>
      </c>
      <c r="J88">
        <v>0.5</v>
      </c>
    </row>
    <row r="89" spans="1:10" x14ac:dyDescent="0.3">
      <c r="A89">
        <v>87</v>
      </c>
      <c r="B89">
        <v>1403</v>
      </c>
      <c r="C89" t="b">
        <v>1</v>
      </c>
      <c r="D89">
        <v>8048</v>
      </c>
      <c r="E89">
        <v>8123</v>
      </c>
      <c r="F89">
        <v>8</v>
      </c>
      <c r="G89">
        <v>8</v>
      </c>
      <c r="H89">
        <v>1</v>
      </c>
      <c r="I89">
        <v>0</v>
      </c>
      <c r="J89">
        <v>0.5</v>
      </c>
    </row>
    <row r="90" spans="1:10" x14ac:dyDescent="0.3">
      <c r="A90">
        <v>88</v>
      </c>
      <c r="B90">
        <v>1419</v>
      </c>
      <c r="C90" t="b">
        <v>1</v>
      </c>
      <c r="D90">
        <v>8048</v>
      </c>
      <c r="E90">
        <v>8123</v>
      </c>
      <c r="F90">
        <v>8</v>
      </c>
      <c r="G90">
        <v>8</v>
      </c>
      <c r="H90">
        <v>1</v>
      </c>
      <c r="I90">
        <v>0</v>
      </c>
      <c r="J90">
        <v>0.5</v>
      </c>
    </row>
    <row r="91" spans="1:10" x14ac:dyDescent="0.3">
      <c r="A91">
        <v>89</v>
      </c>
      <c r="B91">
        <v>1435</v>
      </c>
      <c r="C91" t="b">
        <v>1</v>
      </c>
      <c r="D91">
        <v>8048</v>
      </c>
      <c r="E91">
        <v>8123</v>
      </c>
      <c r="F91">
        <v>8</v>
      </c>
      <c r="G91">
        <v>8</v>
      </c>
      <c r="H91">
        <v>1</v>
      </c>
      <c r="I91">
        <v>0</v>
      </c>
      <c r="J91">
        <v>0.5</v>
      </c>
    </row>
    <row r="92" spans="1:10" x14ac:dyDescent="0.3">
      <c r="A92">
        <v>90</v>
      </c>
      <c r="B92">
        <v>1451</v>
      </c>
      <c r="C92" t="b">
        <v>1</v>
      </c>
      <c r="D92">
        <v>8048</v>
      </c>
      <c r="E92">
        <v>8123</v>
      </c>
      <c r="F92">
        <v>8</v>
      </c>
      <c r="G92">
        <v>8</v>
      </c>
      <c r="H92">
        <v>1</v>
      </c>
      <c r="I92">
        <v>0</v>
      </c>
      <c r="J92">
        <v>0.5</v>
      </c>
    </row>
    <row r="93" spans="1:10" x14ac:dyDescent="0.3">
      <c r="A93">
        <v>91</v>
      </c>
      <c r="B93">
        <v>1467</v>
      </c>
      <c r="C93" t="b">
        <v>1</v>
      </c>
      <c r="D93">
        <v>8048</v>
      </c>
      <c r="E93">
        <v>8123</v>
      </c>
      <c r="F93">
        <v>8</v>
      </c>
      <c r="G93">
        <v>8</v>
      </c>
      <c r="H93">
        <v>1</v>
      </c>
      <c r="I93">
        <v>0</v>
      </c>
      <c r="J93">
        <v>0.5</v>
      </c>
    </row>
    <row r="94" spans="1:10" x14ac:dyDescent="0.3">
      <c r="A94">
        <v>92</v>
      </c>
      <c r="B94">
        <v>1483</v>
      </c>
      <c r="C94" t="b">
        <v>1</v>
      </c>
      <c r="D94">
        <v>8048</v>
      </c>
      <c r="E94">
        <v>8129</v>
      </c>
      <c r="F94">
        <v>8</v>
      </c>
      <c r="G94">
        <v>8</v>
      </c>
      <c r="H94">
        <v>1</v>
      </c>
      <c r="I94">
        <v>0</v>
      </c>
      <c r="J94">
        <v>0.5</v>
      </c>
    </row>
    <row r="95" spans="1:10" x14ac:dyDescent="0.3">
      <c r="A95">
        <v>93</v>
      </c>
      <c r="B95">
        <v>1499</v>
      </c>
      <c r="C95" t="b">
        <v>1</v>
      </c>
      <c r="D95">
        <v>8048</v>
      </c>
      <c r="E95">
        <v>8129</v>
      </c>
      <c r="F95">
        <v>8</v>
      </c>
      <c r="G95">
        <v>8</v>
      </c>
      <c r="H95">
        <v>1</v>
      </c>
      <c r="I95">
        <v>0</v>
      </c>
      <c r="J95">
        <v>0.5</v>
      </c>
    </row>
    <row r="96" spans="1:10" x14ac:dyDescent="0.3">
      <c r="A96">
        <v>94</v>
      </c>
      <c r="B96">
        <v>1515</v>
      </c>
      <c r="C96" t="b">
        <v>1</v>
      </c>
      <c r="D96">
        <v>8048</v>
      </c>
      <c r="E96">
        <v>8129</v>
      </c>
      <c r="F96">
        <v>8</v>
      </c>
      <c r="G96">
        <v>8.4</v>
      </c>
      <c r="H96">
        <v>0.95238100000000003</v>
      </c>
      <c r="I96">
        <v>4.7619003999999999E-2</v>
      </c>
      <c r="J96">
        <v>0.51219510000000001</v>
      </c>
    </row>
    <row r="97" spans="1:10" x14ac:dyDescent="0.3">
      <c r="A97">
        <v>95</v>
      </c>
      <c r="B97">
        <v>1531</v>
      </c>
      <c r="C97" t="b">
        <v>1</v>
      </c>
      <c r="D97">
        <v>8048</v>
      </c>
      <c r="E97">
        <v>8129</v>
      </c>
      <c r="F97">
        <v>8</v>
      </c>
      <c r="G97">
        <v>8.8000000000000007</v>
      </c>
      <c r="H97">
        <v>0.90909090000000004</v>
      </c>
      <c r="I97">
        <v>9.0909110000000001E-2</v>
      </c>
      <c r="J97">
        <v>0.52380954999999996</v>
      </c>
    </row>
    <row r="98" spans="1:10" x14ac:dyDescent="0.3">
      <c r="A98">
        <v>96</v>
      </c>
      <c r="B98">
        <v>1546</v>
      </c>
      <c r="C98" t="b">
        <v>1</v>
      </c>
      <c r="D98">
        <v>8048</v>
      </c>
      <c r="E98">
        <v>8123</v>
      </c>
      <c r="F98">
        <v>8</v>
      </c>
      <c r="G98">
        <v>9.1999999999999993</v>
      </c>
      <c r="H98">
        <v>0.86956524999999996</v>
      </c>
      <c r="I98">
        <v>0.13043477000000001</v>
      </c>
      <c r="J98">
        <v>0.53488369999999996</v>
      </c>
    </row>
    <row r="99" spans="1:10" x14ac:dyDescent="0.3">
      <c r="A99">
        <v>97</v>
      </c>
      <c r="B99">
        <v>1563</v>
      </c>
      <c r="C99" t="b">
        <v>1</v>
      </c>
      <c r="D99">
        <v>8048</v>
      </c>
      <c r="E99">
        <v>8129</v>
      </c>
      <c r="F99">
        <v>8</v>
      </c>
      <c r="G99">
        <v>9.6</v>
      </c>
      <c r="H99">
        <v>0.83333330000000005</v>
      </c>
      <c r="I99">
        <v>0.1666667</v>
      </c>
      <c r="J99">
        <v>0.54545456000000003</v>
      </c>
    </row>
    <row r="100" spans="1:10" x14ac:dyDescent="0.3">
      <c r="A100">
        <v>98</v>
      </c>
      <c r="B100">
        <v>1578</v>
      </c>
      <c r="C100" t="b">
        <v>1</v>
      </c>
      <c r="D100">
        <v>8048</v>
      </c>
      <c r="E100">
        <v>8123</v>
      </c>
      <c r="F100">
        <v>8</v>
      </c>
      <c r="G100">
        <v>10</v>
      </c>
      <c r="H100">
        <v>0.8</v>
      </c>
      <c r="I100">
        <v>0.2</v>
      </c>
      <c r="J100">
        <v>0.55555560000000004</v>
      </c>
    </row>
    <row r="101" spans="1:10" x14ac:dyDescent="0.3">
      <c r="A101">
        <v>99</v>
      </c>
      <c r="B101">
        <v>1594</v>
      </c>
      <c r="C101" t="b">
        <v>1</v>
      </c>
      <c r="D101">
        <v>8048</v>
      </c>
      <c r="E101">
        <v>8123</v>
      </c>
      <c r="F101">
        <v>8</v>
      </c>
      <c r="G101">
        <v>10</v>
      </c>
      <c r="H101">
        <v>0.8</v>
      </c>
      <c r="I101">
        <v>0.2</v>
      </c>
      <c r="J101">
        <v>0.55555560000000004</v>
      </c>
    </row>
    <row r="102" spans="1:10" x14ac:dyDescent="0.3">
      <c r="A102">
        <v>100</v>
      </c>
      <c r="B102">
        <v>1610</v>
      </c>
      <c r="C102" t="b">
        <v>1</v>
      </c>
      <c r="D102">
        <v>8042</v>
      </c>
      <c r="E102">
        <v>8123</v>
      </c>
      <c r="F102">
        <v>8</v>
      </c>
      <c r="G102">
        <v>10</v>
      </c>
      <c r="H102">
        <v>0.8</v>
      </c>
      <c r="I102">
        <v>0.2</v>
      </c>
      <c r="J102">
        <v>0.55555560000000004</v>
      </c>
    </row>
    <row r="103" spans="1:10" x14ac:dyDescent="0.3">
      <c r="A103">
        <v>101</v>
      </c>
      <c r="B103">
        <v>1626</v>
      </c>
      <c r="C103" t="b">
        <v>1</v>
      </c>
      <c r="D103">
        <v>8048</v>
      </c>
      <c r="E103">
        <v>8123</v>
      </c>
      <c r="F103">
        <v>8</v>
      </c>
      <c r="G103">
        <v>10</v>
      </c>
      <c r="H103">
        <v>0.8</v>
      </c>
      <c r="I103">
        <v>0.2</v>
      </c>
      <c r="J103">
        <v>0.55555560000000004</v>
      </c>
    </row>
    <row r="104" spans="1:10" x14ac:dyDescent="0.3">
      <c r="A104">
        <v>102</v>
      </c>
      <c r="B104">
        <v>1642</v>
      </c>
      <c r="C104" t="b">
        <v>1</v>
      </c>
      <c r="D104">
        <v>8042</v>
      </c>
      <c r="E104">
        <v>8123</v>
      </c>
      <c r="F104">
        <v>8</v>
      </c>
      <c r="G104">
        <v>10</v>
      </c>
      <c r="H104">
        <v>0.8</v>
      </c>
      <c r="I104">
        <v>0.2</v>
      </c>
      <c r="J104">
        <v>0.55555560000000004</v>
      </c>
    </row>
    <row r="105" spans="1:10" x14ac:dyDescent="0.3">
      <c r="A105">
        <v>103</v>
      </c>
      <c r="B105">
        <v>1658</v>
      </c>
      <c r="C105" t="b">
        <v>1</v>
      </c>
      <c r="D105">
        <v>8042</v>
      </c>
      <c r="E105">
        <v>8123</v>
      </c>
      <c r="F105">
        <v>7.6</v>
      </c>
      <c r="G105">
        <v>10</v>
      </c>
      <c r="H105">
        <v>0.76</v>
      </c>
      <c r="I105">
        <v>0.24000001000000001</v>
      </c>
      <c r="J105">
        <v>0.56818179999999996</v>
      </c>
    </row>
    <row r="106" spans="1:10" x14ac:dyDescent="0.3">
      <c r="A106">
        <v>104</v>
      </c>
      <c r="B106">
        <v>1674</v>
      </c>
      <c r="C106" t="b">
        <v>1</v>
      </c>
      <c r="D106">
        <v>8042</v>
      </c>
      <c r="E106">
        <v>8123</v>
      </c>
      <c r="F106">
        <v>7.2</v>
      </c>
      <c r="G106">
        <v>10</v>
      </c>
      <c r="H106">
        <v>0.71999997000000004</v>
      </c>
      <c r="I106">
        <v>0.28000003000000001</v>
      </c>
      <c r="J106">
        <v>0.58139529999999995</v>
      </c>
    </row>
    <row r="107" spans="1:10" x14ac:dyDescent="0.3">
      <c r="A107">
        <v>105</v>
      </c>
      <c r="B107">
        <v>1690</v>
      </c>
      <c r="C107" t="b">
        <v>1</v>
      </c>
      <c r="D107">
        <v>8042</v>
      </c>
      <c r="E107">
        <v>8123</v>
      </c>
      <c r="F107">
        <v>6.8</v>
      </c>
      <c r="G107">
        <v>10</v>
      </c>
      <c r="H107">
        <v>0.68</v>
      </c>
      <c r="I107">
        <v>0.32</v>
      </c>
      <c r="J107">
        <v>0.59523815000000002</v>
      </c>
    </row>
    <row r="108" spans="1:10" x14ac:dyDescent="0.3">
      <c r="A108">
        <v>106</v>
      </c>
      <c r="B108">
        <v>1706</v>
      </c>
      <c r="C108" t="b">
        <v>1</v>
      </c>
      <c r="D108">
        <v>8037</v>
      </c>
      <c r="E108">
        <v>8123</v>
      </c>
      <c r="F108">
        <v>6.4</v>
      </c>
      <c r="G108">
        <v>10</v>
      </c>
      <c r="H108">
        <v>0.64</v>
      </c>
      <c r="I108">
        <v>0.35999998</v>
      </c>
      <c r="J108">
        <v>0.60975610000000002</v>
      </c>
    </row>
    <row r="109" spans="1:10" x14ac:dyDescent="0.3">
      <c r="A109">
        <v>107</v>
      </c>
      <c r="B109">
        <v>1722</v>
      </c>
      <c r="C109" t="b">
        <v>1</v>
      </c>
      <c r="D109">
        <v>8048</v>
      </c>
      <c r="E109">
        <v>8123</v>
      </c>
      <c r="F109">
        <v>6</v>
      </c>
      <c r="G109">
        <v>10</v>
      </c>
      <c r="H109">
        <v>0.6</v>
      </c>
      <c r="I109">
        <v>0.4</v>
      </c>
      <c r="J109">
        <v>0.625</v>
      </c>
    </row>
    <row r="110" spans="1:10" x14ac:dyDescent="0.3">
      <c r="A110">
        <v>108</v>
      </c>
      <c r="B110">
        <v>1738</v>
      </c>
      <c r="C110" t="b">
        <v>1</v>
      </c>
      <c r="D110">
        <v>8048</v>
      </c>
      <c r="E110">
        <v>8123</v>
      </c>
      <c r="F110">
        <v>5.6</v>
      </c>
      <c r="G110">
        <v>10</v>
      </c>
      <c r="H110">
        <v>0.56000000000000005</v>
      </c>
      <c r="I110">
        <v>0.44</v>
      </c>
      <c r="J110">
        <v>0.64102559999999997</v>
      </c>
    </row>
    <row r="111" spans="1:10" x14ac:dyDescent="0.3">
      <c r="A111">
        <v>109</v>
      </c>
      <c r="B111">
        <v>1754</v>
      </c>
      <c r="C111" t="b">
        <v>1</v>
      </c>
      <c r="D111">
        <v>8048</v>
      </c>
      <c r="E111">
        <v>8123</v>
      </c>
      <c r="F111">
        <v>5.6</v>
      </c>
      <c r="G111">
        <v>9.6</v>
      </c>
      <c r="H111">
        <v>0.58333330000000005</v>
      </c>
      <c r="I111">
        <v>0.4166667</v>
      </c>
      <c r="J111">
        <v>0.63157890000000005</v>
      </c>
    </row>
    <row r="112" spans="1:10" x14ac:dyDescent="0.3">
      <c r="A112">
        <v>110</v>
      </c>
      <c r="B112">
        <v>1770</v>
      </c>
      <c r="C112" t="b">
        <v>1</v>
      </c>
      <c r="D112">
        <v>8048</v>
      </c>
      <c r="E112">
        <v>8123</v>
      </c>
      <c r="F112">
        <v>5.6</v>
      </c>
      <c r="G112">
        <v>9.1999999999999993</v>
      </c>
      <c r="H112">
        <v>0.6086956</v>
      </c>
      <c r="I112">
        <v>0.39130433999999997</v>
      </c>
      <c r="J112">
        <v>0.62162167000000002</v>
      </c>
    </row>
    <row r="113" spans="1:10" x14ac:dyDescent="0.3">
      <c r="A113">
        <v>111</v>
      </c>
      <c r="B113">
        <v>1786</v>
      </c>
      <c r="C113" t="b">
        <v>1</v>
      </c>
      <c r="D113">
        <v>8048</v>
      </c>
      <c r="E113">
        <v>8123</v>
      </c>
      <c r="F113">
        <v>5.6</v>
      </c>
      <c r="G113">
        <v>8.8000000000000007</v>
      </c>
      <c r="H113">
        <v>0.63636360000000003</v>
      </c>
      <c r="I113">
        <v>0.36363636999999999</v>
      </c>
      <c r="J113">
        <v>0.61111115999999999</v>
      </c>
    </row>
    <row r="114" spans="1:10" x14ac:dyDescent="0.3">
      <c r="A114">
        <v>112</v>
      </c>
      <c r="B114">
        <v>1802</v>
      </c>
      <c r="C114" t="b">
        <v>1</v>
      </c>
      <c r="D114">
        <v>8054</v>
      </c>
      <c r="E114">
        <v>8117</v>
      </c>
      <c r="F114">
        <v>5.6</v>
      </c>
      <c r="G114">
        <v>8.4</v>
      </c>
      <c r="H114">
        <v>0.66666669999999995</v>
      </c>
      <c r="I114">
        <v>0.3333333</v>
      </c>
      <c r="J114">
        <v>0.59999996</v>
      </c>
    </row>
    <row r="115" spans="1:10" x14ac:dyDescent="0.3">
      <c r="A115">
        <v>113</v>
      </c>
      <c r="B115">
        <v>1818</v>
      </c>
      <c r="C115" t="b">
        <v>1</v>
      </c>
      <c r="D115">
        <v>8048</v>
      </c>
      <c r="E115">
        <v>8123</v>
      </c>
      <c r="F115">
        <v>5.6</v>
      </c>
      <c r="G115">
        <v>8</v>
      </c>
      <c r="H115">
        <v>0.7</v>
      </c>
      <c r="I115">
        <v>0.3</v>
      </c>
      <c r="J115">
        <v>0.58823526000000004</v>
      </c>
    </row>
    <row r="116" spans="1:10" x14ac:dyDescent="0.3">
      <c r="A116">
        <v>114</v>
      </c>
      <c r="B116">
        <v>1833</v>
      </c>
      <c r="C116" t="b">
        <v>1</v>
      </c>
      <c r="D116">
        <v>8048</v>
      </c>
      <c r="E116">
        <v>8123</v>
      </c>
      <c r="F116">
        <v>5.6</v>
      </c>
      <c r="G116">
        <v>8</v>
      </c>
      <c r="H116">
        <v>0.7</v>
      </c>
      <c r="I116">
        <v>0.3</v>
      </c>
      <c r="J116">
        <v>0.58823526000000004</v>
      </c>
    </row>
    <row r="117" spans="1:10" x14ac:dyDescent="0.3">
      <c r="A117">
        <v>115</v>
      </c>
      <c r="B117">
        <v>1849</v>
      </c>
      <c r="C117" t="b">
        <v>1</v>
      </c>
      <c r="D117">
        <v>8048</v>
      </c>
      <c r="E117">
        <v>8117</v>
      </c>
      <c r="F117">
        <v>5.6</v>
      </c>
      <c r="G117">
        <v>8</v>
      </c>
      <c r="H117">
        <v>0.7</v>
      </c>
      <c r="I117">
        <v>0.3</v>
      </c>
      <c r="J117">
        <v>0.58823526000000004</v>
      </c>
    </row>
    <row r="118" spans="1:10" x14ac:dyDescent="0.3">
      <c r="A118">
        <v>116</v>
      </c>
      <c r="B118">
        <v>1865</v>
      </c>
      <c r="C118" t="b">
        <v>1</v>
      </c>
      <c r="D118">
        <v>8048</v>
      </c>
      <c r="E118">
        <v>8123</v>
      </c>
      <c r="F118">
        <v>5.6</v>
      </c>
      <c r="G118">
        <v>8</v>
      </c>
      <c r="H118">
        <v>0.7</v>
      </c>
      <c r="I118">
        <v>0.3</v>
      </c>
      <c r="J118">
        <v>0.58823526000000004</v>
      </c>
    </row>
    <row r="119" spans="1:10" x14ac:dyDescent="0.3">
      <c r="A119">
        <v>117</v>
      </c>
      <c r="B119">
        <v>1881</v>
      </c>
      <c r="C119" t="b">
        <v>1</v>
      </c>
      <c r="D119">
        <v>8048</v>
      </c>
      <c r="E119">
        <v>8117</v>
      </c>
      <c r="F119">
        <v>5.6</v>
      </c>
      <c r="G119">
        <v>8</v>
      </c>
      <c r="H119">
        <v>0.7</v>
      </c>
      <c r="I119">
        <v>0.3</v>
      </c>
      <c r="J119">
        <v>0.58823526000000004</v>
      </c>
    </row>
    <row r="120" spans="1:10" x14ac:dyDescent="0.3">
      <c r="A120">
        <v>118</v>
      </c>
      <c r="B120">
        <v>1897</v>
      </c>
      <c r="C120" t="b">
        <v>1</v>
      </c>
      <c r="D120">
        <v>8054</v>
      </c>
      <c r="E120">
        <v>8123</v>
      </c>
      <c r="F120">
        <v>6</v>
      </c>
      <c r="G120">
        <v>8</v>
      </c>
      <c r="H120">
        <v>0.75</v>
      </c>
      <c r="I120">
        <v>0.25</v>
      </c>
      <c r="J120">
        <v>0.57142859999999995</v>
      </c>
    </row>
    <row r="121" spans="1:10" x14ac:dyDescent="0.3">
      <c r="A121">
        <v>119</v>
      </c>
      <c r="B121">
        <v>1912</v>
      </c>
      <c r="C121" t="b">
        <v>1</v>
      </c>
      <c r="D121">
        <v>8048</v>
      </c>
      <c r="E121">
        <v>8123</v>
      </c>
      <c r="F121">
        <v>6.4</v>
      </c>
      <c r="G121">
        <v>8</v>
      </c>
      <c r="H121">
        <v>0.8</v>
      </c>
      <c r="I121">
        <v>0.19999998999999999</v>
      </c>
      <c r="J121">
        <v>0.55555560000000004</v>
      </c>
    </row>
    <row r="122" spans="1:10" x14ac:dyDescent="0.3">
      <c r="A122">
        <v>120</v>
      </c>
      <c r="B122">
        <v>1928</v>
      </c>
      <c r="C122" t="b">
        <v>1</v>
      </c>
      <c r="D122">
        <v>8048</v>
      </c>
      <c r="E122">
        <v>8117</v>
      </c>
      <c r="F122">
        <v>6.8</v>
      </c>
      <c r="G122">
        <v>8</v>
      </c>
      <c r="H122">
        <v>0.85</v>
      </c>
      <c r="I122">
        <v>0.14999998</v>
      </c>
      <c r="J122">
        <v>0.54054049999999998</v>
      </c>
    </row>
    <row r="123" spans="1:10" x14ac:dyDescent="0.3">
      <c r="A123">
        <v>121</v>
      </c>
      <c r="B123">
        <v>1944</v>
      </c>
      <c r="C123" t="b">
        <v>1</v>
      </c>
      <c r="D123">
        <v>8054</v>
      </c>
      <c r="E123">
        <v>8123</v>
      </c>
      <c r="F123">
        <v>7.2</v>
      </c>
      <c r="G123">
        <v>8</v>
      </c>
      <c r="H123">
        <v>0.9</v>
      </c>
      <c r="I123">
        <v>0.10000002400000001</v>
      </c>
      <c r="J123">
        <v>0.5263158</v>
      </c>
    </row>
    <row r="124" spans="1:10" x14ac:dyDescent="0.3">
      <c r="A124">
        <v>122</v>
      </c>
      <c r="B124">
        <v>1960</v>
      </c>
      <c r="C124" t="b">
        <v>1</v>
      </c>
      <c r="D124">
        <v>8048</v>
      </c>
      <c r="E124">
        <v>8123</v>
      </c>
      <c r="F124">
        <v>7.6</v>
      </c>
      <c r="G124">
        <v>8</v>
      </c>
      <c r="H124">
        <v>0.95</v>
      </c>
      <c r="I124">
        <v>5.0000012000000003E-2</v>
      </c>
      <c r="J124">
        <v>0.51282050000000001</v>
      </c>
    </row>
    <row r="125" spans="1:10" x14ac:dyDescent="0.3">
      <c r="A125">
        <v>123</v>
      </c>
      <c r="B125">
        <v>1975</v>
      </c>
      <c r="C125" t="b">
        <v>1</v>
      </c>
      <c r="D125">
        <v>8048</v>
      </c>
      <c r="E125">
        <v>8123</v>
      </c>
      <c r="F125">
        <v>8</v>
      </c>
      <c r="G125">
        <v>8</v>
      </c>
      <c r="H125">
        <v>1</v>
      </c>
      <c r="I125">
        <v>0</v>
      </c>
      <c r="J125">
        <v>0.5</v>
      </c>
    </row>
    <row r="126" spans="1:10" x14ac:dyDescent="0.3">
      <c r="A126">
        <v>124</v>
      </c>
      <c r="B126">
        <v>1992</v>
      </c>
      <c r="C126" t="b">
        <v>1</v>
      </c>
      <c r="D126">
        <v>8048</v>
      </c>
      <c r="E126">
        <v>8123</v>
      </c>
      <c r="F126">
        <v>8</v>
      </c>
      <c r="G126">
        <v>8</v>
      </c>
      <c r="H126">
        <v>1</v>
      </c>
      <c r="I126">
        <v>0</v>
      </c>
      <c r="J126">
        <v>0.5</v>
      </c>
    </row>
    <row r="127" spans="1:10" x14ac:dyDescent="0.3">
      <c r="A127">
        <v>125</v>
      </c>
      <c r="B127">
        <v>2008</v>
      </c>
      <c r="C127" t="b">
        <v>1</v>
      </c>
      <c r="D127">
        <v>8048</v>
      </c>
      <c r="E127">
        <v>8117</v>
      </c>
      <c r="F127">
        <v>8</v>
      </c>
      <c r="G127">
        <v>8</v>
      </c>
      <c r="H127">
        <v>1</v>
      </c>
      <c r="I127">
        <v>0</v>
      </c>
      <c r="J127">
        <v>0.5</v>
      </c>
    </row>
    <row r="128" spans="1:10" x14ac:dyDescent="0.3">
      <c r="A128">
        <v>126</v>
      </c>
      <c r="B128">
        <v>2024</v>
      </c>
      <c r="C128" t="b">
        <v>1</v>
      </c>
      <c r="D128">
        <v>8048</v>
      </c>
      <c r="E128">
        <v>8117</v>
      </c>
      <c r="F128">
        <v>8</v>
      </c>
      <c r="G128">
        <v>8</v>
      </c>
      <c r="H128">
        <v>1</v>
      </c>
      <c r="I128">
        <v>0</v>
      </c>
      <c r="J128">
        <v>0.5</v>
      </c>
    </row>
    <row r="129" spans="1:10" x14ac:dyDescent="0.3">
      <c r="A129">
        <v>127</v>
      </c>
      <c r="B129">
        <v>2039</v>
      </c>
      <c r="C129" t="b">
        <v>1</v>
      </c>
      <c r="D129">
        <v>8054</v>
      </c>
      <c r="E129">
        <v>8117</v>
      </c>
      <c r="F129">
        <v>8</v>
      </c>
      <c r="G129">
        <v>7.6</v>
      </c>
      <c r="H129">
        <v>1.0526316</v>
      </c>
      <c r="I129">
        <v>-5.2631589999999999E-2</v>
      </c>
      <c r="J129">
        <v>0.48717946000000001</v>
      </c>
    </row>
    <row r="130" spans="1:10" x14ac:dyDescent="0.3">
      <c r="A130">
        <v>128</v>
      </c>
      <c r="B130">
        <v>2055</v>
      </c>
      <c r="C130" t="b">
        <v>1</v>
      </c>
      <c r="D130">
        <v>8048</v>
      </c>
      <c r="E130">
        <v>8117</v>
      </c>
      <c r="F130">
        <v>8</v>
      </c>
      <c r="G130">
        <v>7.2</v>
      </c>
      <c r="H130">
        <v>1.1111112000000001</v>
      </c>
      <c r="I130">
        <v>-0.11111114</v>
      </c>
      <c r="J130">
        <v>0.4736842</v>
      </c>
    </row>
    <row r="131" spans="1:10" x14ac:dyDescent="0.3">
      <c r="A131">
        <v>129</v>
      </c>
      <c r="B131">
        <v>2071</v>
      </c>
      <c r="C131" t="b">
        <v>1</v>
      </c>
      <c r="D131">
        <v>8048</v>
      </c>
      <c r="E131">
        <v>8123</v>
      </c>
      <c r="F131">
        <v>8</v>
      </c>
      <c r="G131">
        <v>6.8</v>
      </c>
      <c r="H131">
        <v>1.1764705</v>
      </c>
      <c r="I131">
        <v>-0.17647055</v>
      </c>
      <c r="J131">
        <v>0.45945944999999999</v>
      </c>
    </row>
    <row r="132" spans="1:10" x14ac:dyDescent="0.3">
      <c r="A132">
        <v>130</v>
      </c>
      <c r="B132">
        <v>2087</v>
      </c>
      <c r="C132" t="b">
        <v>1</v>
      </c>
      <c r="D132">
        <v>8048</v>
      </c>
      <c r="E132">
        <v>8123</v>
      </c>
      <c r="F132">
        <v>8</v>
      </c>
      <c r="G132">
        <v>6.4</v>
      </c>
      <c r="H132">
        <v>1.25</v>
      </c>
      <c r="I132">
        <v>-0.24999999000000001</v>
      </c>
      <c r="J132">
        <v>0.44444447999999998</v>
      </c>
    </row>
    <row r="133" spans="1:10" x14ac:dyDescent="0.3">
      <c r="A133">
        <v>131</v>
      </c>
      <c r="B133">
        <v>2103</v>
      </c>
      <c r="C133" t="b">
        <v>1</v>
      </c>
      <c r="D133">
        <v>8048</v>
      </c>
      <c r="E133">
        <v>8123</v>
      </c>
      <c r="F133">
        <v>8</v>
      </c>
      <c r="G133">
        <v>6.4</v>
      </c>
      <c r="H133">
        <v>1.25</v>
      </c>
      <c r="I133">
        <v>-0.24999999000000001</v>
      </c>
      <c r="J133">
        <v>0.44444447999999998</v>
      </c>
    </row>
    <row r="134" spans="1:10" x14ac:dyDescent="0.3">
      <c r="A134">
        <v>132</v>
      </c>
      <c r="B134">
        <v>2119</v>
      </c>
      <c r="C134" t="b">
        <v>1</v>
      </c>
      <c r="D134">
        <v>8048</v>
      </c>
      <c r="E134">
        <v>8117</v>
      </c>
      <c r="F134">
        <v>8</v>
      </c>
      <c r="G134">
        <v>6.4</v>
      </c>
      <c r="H134">
        <v>1.25</v>
      </c>
      <c r="I134">
        <v>-0.24999999000000001</v>
      </c>
      <c r="J134">
        <v>0.44444447999999998</v>
      </c>
    </row>
    <row r="135" spans="1:10" x14ac:dyDescent="0.3">
      <c r="A135">
        <v>133</v>
      </c>
      <c r="B135">
        <v>2135</v>
      </c>
      <c r="C135" t="b">
        <v>1</v>
      </c>
      <c r="D135">
        <v>8048</v>
      </c>
      <c r="E135">
        <v>8123</v>
      </c>
      <c r="F135">
        <v>8</v>
      </c>
      <c r="G135">
        <v>6.4</v>
      </c>
      <c r="H135">
        <v>1.25</v>
      </c>
      <c r="I135">
        <v>-0.24999999000000001</v>
      </c>
      <c r="J135">
        <v>0.44444447999999998</v>
      </c>
    </row>
    <row r="136" spans="1:10" x14ac:dyDescent="0.3">
      <c r="A136">
        <v>134</v>
      </c>
      <c r="B136">
        <v>2151</v>
      </c>
      <c r="C136" t="b">
        <v>1</v>
      </c>
      <c r="D136">
        <v>8048</v>
      </c>
      <c r="E136">
        <v>8123</v>
      </c>
      <c r="F136">
        <v>8</v>
      </c>
      <c r="G136">
        <v>6.4</v>
      </c>
      <c r="H136">
        <v>1.25</v>
      </c>
      <c r="I136">
        <v>-0.24999999000000001</v>
      </c>
      <c r="J136">
        <v>0.44444447999999998</v>
      </c>
    </row>
    <row r="137" spans="1:10" x14ac:dyDescent="0.3">
      <c r="A137">
        <v>135</v>
      </c>
      <c r="B137">
        <v>2167</v>
      </c>
      <c r="C137" t="b">
        <v>1</v>
      </c>
      <c r="D137">
        <v>8048</v>
      </c>
      <c r="E137">
        <v>8117</v>
      </c>
      <c r="F137">
        <v>8</v>
      </c>
      <c r="G137">
        <v>6.4</v>
      </c>
      <c r="H137">
        <v>1.25</v>
      </c>
      <c r="I137">
        <v>-0.24999999000000001</v>
      </c>
      <c r="J137">
        <v>0.44444447999999998</v>
      </c>
    </row>
    <row r="138" spans="1:10" x14ac:dyDescent="0.3">
      <c r="A138">
        <v>136</v>
      </c>
      <c r="B138">
        <v>2183</v>
      </c>
      <c r="C138" t="b">
        <v>1</v>
      </c>
      <c r="D138">
        <v>8054</v>
      </c>
      <c r="E138">
        <v>8123</v>
      </c>
      <c r="F138">
        <v>8</v>
      </c>
      <c r="G138">
        <v>6.4</v>
      </c>
      <c r="H138">
        <v>1.25</v>
      </c>
      <c r="I138">
        <v>-0.24999999000000001</v>
      </c>
      <c r="J138">
        <v>0.44444447999999998</v>
      </c>
    </row>
    <row r="139" spans="1:10" x14ac:dyDescent="0.3">
      <c r="A139">
        <v>137</v>
      </c>
      <c r="B139">
        <v>2199</v>
      </c>
      <c r="C139" t="b">
        <v>1</v>
      </c>
      <c r="D139">
        <v>8054</v>
      </c>
      <c r="E139">
        <v>8117</v>
      </c>
      <c r="F139">
        <v>8</v>
      </c>
      <c r="G139">
        <v>6.4</v>
      </c>
      <c r="H139">
        <v>1.25</v>
      </c>
      <c r="I139">
        <v>-0.24999999000000001</v>
      </c>
      <c r="J139">
        <v>0.44444447999999998</v>
      </c>
    </row>
    <row r="140" spans="1:10" x14ac:dyDescent="0.3">
      <c r="A140">
        <v>138</v>
      </c>
      <c r="B140">
        <v>2215</v>
      </c>
      <c r="C140" t="b">
        <v>1</v>
      </c>
      <c r="D140">
        <v>8054</v>
      </c>
      <c r="E140">
        <v>8117</v>
      </c>
      <c r="F140">
        <v>8.4</v>
      </c>
      <c r="G140">
        <v>6</v>
      </c>
      <c r="H140">
        <v>1.4</v>
      </c>
      <c r="I140">
        <v>-0.39999994999999999</v>
      </c>
      <c r="J140">
        <v>0.4166667</v>
      </c>
    </row>
    <row r="141" spans="1:10" x14ac:dyDescent="0.3">
      <c r="A141">
        <v>139</v>
      </c>
      <c r="B141">
        <v>2230</v>
      </c>
      <c r="C141" t="b">
        <v>1</v>
      </c>
      <c r="D141">
        <v>8042</v>
      </c>
      <c r="E141">
        <v>8123</v>
      </c>
      <c r="F141">
        <v>8.8000000000000007</v>
      </c>
      <c r="G141">
        <v>5.6</v>
      </c>
      <c r="H141">
        <v>1.5714287</v>
      </c>
      <c r="I141">
        <v>-0.57142866000000003</v>
      </c>
      <c r="J141">
        <v>0.38888889999999998</v>
      </c>
    </row>
    <row r="142" spans="1:10" x14ac:dyDescent="0.3">
      <c r="A142">
        <v>140</v>
      </c>
      <c r="B142">
        <v>2246</v>
      </c>
      <c r="C142" t="b">
        <v>1</v>
      </c>
      <c r="D142">
        <v>8042</v>
      </c>
      <c r="E142">
        <v>8123</v>
      </c>
      <c r="F142">
        <v>9.1999999999999993</v>
      </c>
      <c r="G142">
        <v>5.6</v>
      </c>
      <c r="H142">
        <v>1.6428571999999999</v>
      </c>
      <c r="I142">
        <v>-0.64285713</v>
      </c>
      <c r="J142">
        <v>0.3783784</v>
      </c>
    </row>
    <row r="143" spans="1:10" x14ac:dyDescent="0.3">
      <c r="A143">
        <v>141</v>
      </c>
      <c r="B143">
        <v>2262</v>
      </c>
      <c r="C143" t="b">
        <v>1</v>
      </c>
      <c r="D143">
        <v>8042</v>
      </c>
      <c r="E143">
        <v>8123</v>
      </c>
      <c r="F143">
        <v>8.8000000000000007</v>
      </c>
      <c r="G143">
        <v>5.6</v>
      </c>
      <c r="H143">
        <v>1.5714287</v>
      </c>
      <c r="I143">
        <v>-0.57142866000000003</v>
      </c>
      <c r="J143">
        <v>0.38888889999999998</v>
      </c>
    </row>
    <row r="144" spans="1:10" x14ac:dyDescent="0.3">
      <c r="A144">
        <v>142</v>
      </c>
      <c r="B144">
        <v>2278</v>
      </c>
      <c r="C144" t="b">
        <v>1</v>
      </c>
      <c r="D144">
        <v>8042</v>
      </c>
      <c r="E144">
        <v>8123</v>
      </c>
      <c r="F144">
        <v>8.4</v>
      </c>
      <c r="G144">
        <v>6</v>
      </c>
      <c r="H144">
        <v>1.4</v>
      </c>
      <c r="I144">
        <v>-0.39999994999999999</v>
      </c>
      <c r="J144">
        <v>0.4166667</v>
      </c>
    </row>
    <row r="145" spans="1:10" x14ac:dyDescent="0.3">
      <c r="A145">
        <v>143</v>
      </c>
      <c r="B145">
        <v>2293</v>
      </c>
      <c r="C145" t="b">
        <v>1</v>
      </c>
      <c r="D145">
        <v>8042</v>
      </c>
      <c r="E145">
        <v>8123</v>
      </c>
      <c r="F145">
        <v>8</v>
      </c>
      <c r="G145">
        <v>6.4</v>
      </c>
      <c r="H145">
        <v>1.25</v>
      </c>
      <c r="I145">
        <v>-0.24999999000000001</v>
      </c>
      <c r="J145">
        <v>0.44444447999999998</v>
      </c>
    </row>
    <row r="146" spans="1:10" x14ac:dyDescent="0.3">
      <c r="A146">
        <v>144</v>
      </c>
      <c r="B146">
        <v>2309</v>
      </c>
      <c r="C146" t="b">
        <v>1</v>
      </c>
      <c r="D146">
        <v>8042</v>
      </c>
      <c r="E146">
        <v>8117</v>
      </c>
      <c r="F146">
        <v>7.6</v>
      </c>
      <c r="G146">
        <v>6.8</v>
      </c>
      <c r="H146">
        <v>1.1176470000000001</v>
      </c>
      <c r="I146">
        <v>-0.11764701499999999</v>
      </c>
      <c r="J146">
        <v>0.47222224000000002</v>
      </c>
    </row>
    <row r="147" spans="1:10" x14ac:dyDescent="0.3">
      <c r="A147">
        <v>145</v>
      </c>
      <c r="B147">
        <v>2325</v>
      </c>
      <c r="C147" t="b">
        <v>1</v>
      </c>
      <c r="D147">
        <v>8054</v>
      </c>
      <c r="E147">
        <v>8123</v>
      </c>
      <c r="F147">
        <v>7.2</v>
      </c>
      <c r="G147">
        <v>7.2</v>
      </c>
      <c r="H147">
        <v>1</v>
      </c>
      <c r="I147">
        <v>0</v>
      </c>
      <c r="J147">
        <v>0.5</v>
      </c>
    </row>
    <row r="148" spans="1:10" x14ac:dyDescent="0.3">
      <c r="A148">
        <v>146</v>
      </c>
      <c r="B148">
        <v>2341</v>
      </c>
      <c r="C148" t="b">
        <v>1</v>
      </c>
      <c r="D148">
        <v>8048</v>
      </c>
      <c r="E148">
        <v>8123</v>
      </c>
      <c r="F148">
        <v>6.8</v>
      </c>
      <c r="G148">
        <v>7.2</v>
      </c>
      <c r="H148">
        <v>0.94444450000000002</v>
      </c>
      <c r="I148">
        <v>5.5555503999999999E-2</v>
      </c>
      <c r="J148">
        <v>0.51428569999999996</v>
      </c>
    </row>
    <row r="149" spans="1:10" x14ac:dyDescent="0.3">
      <c r="A149">
        <v>147</v>
      </c>
      <c r="B149">
        <v>2357</v>
      </c>
      <c r="C149" t="b">
        <v>1</v>
      </c>
      <c r="D149">
        <v>8048</v>
      </c>
      <c r="E149">
        <v>8117</v>
      </c>
      <c r="F149">
        <v>6.8</v>
      </c>
      <c r="G149">
        <v>7.2</v>
      </c>
      <c r="H149">
        <v>0.94444450000000002</v>
      </c>
      <c r="I149">
        <v>5.5555503999999999E-2</v>
      </c>
      <c r="J149">
        <v>0.51428569999999996</v>
      </c>
    </row>
    <row r="150" spans="1:10" x14ac:dyDescent="0.3">
      <c r="A150">
        <v>148</v>
      </c>
      <c r="B150">
        <v>2373</v>
      </c>
      <c r="C150" t="b">
        <v>1</v>
      </c>
      <c r="D150">
        <v>8048</v>
      </c>
      <c r="E150">
        <v>8117</v>
      </c>
      <c r="F150">
        <v>6.8</v>
      </c>
      <c r="G150">
        <v>6.8</v>
      </c>
      <c r="H150">
        <v>1</v>
      </c>
      <c r="I150">
        <v>0</v>
      </c>
      <c r="J150">
        <v>0.5</v>
      </c>
    </row>
    <row r="151" spans="1:10" x14ac:dyDescent="0.3">
      <c r="A151">
        <v>149</v>
      </c>
      <c r="B151">
        <v>2389</v>
      </c>
      <c r="C151" t="b">
        <v>1</v>
      </c>
      <c r="D151">
        <v>8048</v>
      </c>
      <c r="E151">
        <v>8117</v>
      </c>
      <c r="F151">
        <v>6.8</v>
      </c>
      <c r="G151">
        <v>6.4</v>
      </c>
      <c r="H151">
        <v>1.0625</v>
      </c>
      <c r="I151">
        <v>-6.2500015000000006E-2</v>
      </c>
      <c r="J151">
        <v>0.48484846999999998</v>
      </c>
    </row>
    <row r="152" spans="1:10" x14ac:dyDescent="0.3">
      <c r="A152">
        <v>150</v>
      </c>
      <c r="B152">
        <v>2405</v>
      </c>
      <c r="C152" t="b">
        <v>1</v>
      </c>
      <c r="D152">
        <v>8048</v>
      </c>
      <c r="E152">
        <v>8117</v>
      </c>
      <c r="F152">
        <v>6.8</v>
      </c>
      <c r="G152">
        <v>6</v>
      </c>
      <c r="H152">
        <v>1.1333333000000001</v>
      </c>
      <c r="I152">
        <v>-0.13333337000000001</v>
      </c>
      <c r="J152">
        <v>0.46875</v>
      </c>
    </row>
    <row r="153" spans="1:10" x14ac:dyDescent="0.3">
      <c r="A153">
        <v>151</v>
      </c>
      <c r="B153">
        <v>2421</v>
      </c>
      <c r="C153" t="b">
        <v>1</v>
      </c>
      <c r="D153">
        <v>8048</v>
      </c>
      <c r="E153">
        <v>8123</v>
      </c>
      <c r="F153">
        <v>6.8</v>
      </c>
      <c r="G153">
        <v>5.6</v>
      </c>
      <c r="H153">
        <v>1.2142857</v>
      </c>
      <c r="I153">
        <v>-0.21428578000000001</v>
      </c>
      <c r="J153">
        <v>0.45161291999999997</v>
      </c>
    </row>
    <row r="154" spans="1:10" x14ac:dyDescent="0.3">
      <c r="A154">
        <v>152</v>
      </c>
      <c r="B154">
        <v>2437</v>
      </c>
      <c r="C154" t="b">
        <v>1</v>
      </c>
      <c r="D154">
        <v>8048</v>
      </c>
      <c r="E154">
        <v>8117</v>
      </c>
      <c r="F154">
        <v>6.8</v>
      </c>
      <c r="G154">
        <v>5.2</v>
      </c>
      <c r="H154">
        <v>1.3076924000000001</v>
      </c>
      <c r="I154">
        <v>-0.30769237999999999</v>
      </c>
      <c r="J154">
        <v>0.43333329999999998</v>
      </c>
    </row>
    <row r="155" spans="1:10" x14ac:dyDescent="0.3">
      <c r="A155">
        <v>153</v>
      </c>
      <c r="B155">
        <v>2452</v>
      </c>
      <c r="C155" t="b">
        <v>1</v>
      </c>
      <c r="D155">
        <v>8048</v>
      </c>
      <c r="E155">
        <v>8117</v>
      </c>
      <c r="F155">
        <v>6.4</v>
      </c>
      <c r="G155">
        <v>5.2</v>
      </c>
      <c r="H155">
        <v>1.2307693</v>
      </c>
      <c r="I155">
        <v>-0.23076928999999999</v>
      </c>
      <c r="J155">
        <v>0.44827582999999999</v>
      </c>
    </row>
    <row r="156" spans="1:10" x14ac:dyDescent="0.3">
      <c r="A156">
        <v>154</v>
      </c>
      <c r="B156">
        <v>2468</v>
      </c>
      <c r="C156" t="b">
        <v>1</v>
      </c>
      <c r="D156">
        <v>8054</v>
      </c>
      <c r="E156">
        <v>8123</v>
      </c>
      <c r="F156">
        <v>6</v>
      </c>
      <c r="G156">
        <v>5.2</v>
      </c>
      <c r="H156">
        <v>1.1538461</v>
      </c>
      <c r="I156">
        <v>-0.15384618999999999</v>
      </c>
      <c r="J156">
        <v>0.46428570000000002</v>
      </c>
    </row>
    <row r="157" spans="1:10" x14ac:dyDescent="0.3">
      <c r="A157">
        <v>155</v>
      </c>
      <c r="B157">
        <v>2484</v>
      </c>
      <c r="C157" t="b">
        <v>1</v>
      </c>
      <c r="D157">
        <v>8042</v>
      </c>
      <c r="E157">
        <v>8123</v>
      </c>
      <c r="F157">
        <v>5.6</v>
      </c>
      <c r="G157">
        <v>5.2</v>
      </c>
      <c r="H157">
        <v>1.0769230999999999</v>
      </c>
      <c r="I157">
        <v>-7.6923094999999997E-2</v>
      </c>
      <c r="J157">
        <v>0.48148150000000001</v>
      </c>
    </row>
    <row r="158" spans="1:10" x14ac:dyDescent="0.3">
      <c r="A158">
        <v>156</v>
      </c>
      <c r="B158">
        <v>2500</v>
      </c>
      <c r="C158" t="b">
        <v>1</v>
      </c>
      <c r="D158">
        <v>8048</v>
      </c>
      <c r="E158">
        <v>8117</v>
      </c>
      <c r="F158">
        <v>6</v>
      </c>
      <c r="G158">
        <v>4.8</v>
      </c>
      <c r="H158">
        <v>1.25</v>
      </c>
      <c r="I158">
        <v>-0.24999995999999999</v>
      </c>
      <c r="J158">
        <v>0.44444444999999999</v>
      </c>
    </row>
    <row r="159" spans="1:10" x14ac:dyDescent="0.3">
      <c r="A159">
        <v>157</v>
      </c>
      <c r="B159">
        <v>2516</v>
      </c>
      <c r="C159" t="b">
        <v>1</v>
      </c>
      <c r="D159">
        <v>8048</v>
      </c>
      <c r="E159">
        <v>8123</v>
      </c>
      <c r="F159">
        <v>6.4</v>
      </c>
      <c r="G159">
        <v>4.8</v>
      </c>
      <c r="H159">
        <v>1.3333333000000001</v>
      </c>
      <c r="I159">
        <v>-0.3333333</v>
      </c>
      <c r="J159">
        <v>0.42857139999999999</v>
      </c>
    </row>
    <row r="160" spans="1:10" x14ac:dyDescent="0.3">
      <c r="A160">
        <v>158</v>
      </c>
      <c r="B160">
        <v>2532</v>
      </c>
      <c r="C160" t="b">
        <v>1</v>
      </c>
      <c r="D160">
        <v>8054</v>
      </c>
      <c r="E160">
        <v>8123</v>
      </c>
      <c r="F160">
        <v>6.8</v>
      </c>
      <c r="G160">
        <v>4.8</v>
      </c>
      <c r="H160">
        <v>1.4166666000000001</v>
      </c>
      <c r="I160">
        <v>-0.41666666000000002</v>
      </c>
      <c r="J160">
        <v>0.41379312000000001</v>
      </c>
    </row>
    <row r="161" spans="1:10" x14ac:dyDescent="0.3">
      <c r="A161">
        <v>159</v>
      </c>
      <c r="B161">
        <v>2548</v>
      </c>
      <c r="C161" t="b">
        <v>1</v>
      </c>
      <c r="D161">
        <v>8048</v>
      </c>
      <c r="E161">
        <v>8123</v>
      </c>
      <c r="F161">
        <v>7.2</v>
      </c>
      <c r="G161">
        <v>4.8</v>
      </c>
      <c r="H161">
        <v>1.4999998999999999</v>
      </c>
      <c r="I161">
        <v>-0.4999999</v>
      </c>
      <c r="J161">
        <v>0.4</v>
      </c>
    </row>
    <row r="162" spans="1:10" x14ac:dyDescent="0.3">
      <c r="A162">
        <v>160</v>
      </c>
      <c r="B162">
        <v>2564</v>
      </c>
      <c r="C162" t="b">
        <v>1</v>
      </c>
      <c r="D162">
        <v>8054</v>
      </c>
      <c r="E162">
        <v>8123</v>
      </c>
      <c r="F162">
        <v>7.6</v>
      </c>
      <c r="G162">
        <v>4.8</v>
      </c>
      <c r="H162">
        <v>1.5833333000000001</v>
      </c>
      <c r="I162">
        <v>-0.58333325000000003</v>
      </c>
      <c r="J162">
        <v>0.38709680000000002</v>
      </c>
    </row>
    <row r="163" spans="1:10" x14ac:dyDescent="0.3">
      <c r="A163">
        <v>161</v>
      </c>
      <c r="B163">
        <v>2580</v>
      </c>
      <c r="C163" t="b">
        <v>1</v>
      </c>
      <c r="D163">
        <v>8048</v>
      </c>
      <c r="E163">
        <v>8117</v>
      </c>
      <c r="F163">
        <v>8</v>
      </c>
      <c r="G163">
        <v>4.8</v>
      </c>
      <c r="H163">
        <v>1.6666666000000001</v>
      </c>
      <c r="I163">
        <v>-0.6666666</v>
      </c>
      <c r="J163">
        <v>0.375</v>
      </c>
    </row>
    <row r="164" spans="1:10" x14ac:dyDescent="0.3">
      <c r="A164">
        <v>162</v>
      </c>
      <c r="B164">
        <v>2595</v>
      </c>
      <c r="C164" t="b">
        <v>1</v>
      </c>
      <c r="D164">
        <v>8048</v>
      </c>
      <c r="E164">
        <v>8117</v>
      </c>
      <c r="F164">
        <v>8</v>
      </c>
      <c r="G164">
        <v>4.8</v>
      </c>
      <c r="H164">
        <v>1.6666666000000001</v>
      </c>
      <c r="I164">
        <v>-0.6666666</v>
      </c>
      <c r="J164">
        <v>0.375</v>
      </c>
    </row>
    <row r="165" spans="1:10" x14ac:dyDescent="0.3">
      <c r="A165">
        <v>163</v>
      </c>
      <c r="B165">
        <v>2611</v>
      </c>
      <c r="C165" t="b">
        <v>1</v>
      </c>
      <c r="D165">
        <v>8048</v>
      </c>
      <c r="E165">
        <v>8117</v>
      </c>
      <c r="F165">
        <v>8</v>
      </c>
      <c r="G165">
        <v>4.8</v>
      </c>
      <c r="H165">
        <v>1.6666666000000001</v>
      </c>
      <c r="I165">
        <v>-0.6666666</v>
      </c>
      <c r="J165">
        <v>0.375</v>
      </c>
    </row>
    <row r="166" spans="1:10" x14ac:dyDescent="0.3">
      <c r="A166">
        <v>164</v>
      </c>
      <c r="B166">
        <v>2627</v>
      </c>
      <c r="C166" t="b">
        <v>1</v>
      </c>
      <c r="D166">
        <v>8048</v>
      </c>
      <c r="E166">
        <v>8117</v>
      </c>
      <c r="F166">
        <v>8</v>
      </c>
      <c r="G166">
        <v>4.8</v>
      </c>
      <c r="H166">
        <v>1.6666666000000001</v>
      </c>
      <c r="I166">
        <v>-0.6666666</v>
      </c>
      <c r="J166">
        <v>0.375</v>
      </c>
    </row>
    <row r="167" spans="1:10" x14ac:dyDescent="0.3">
      <c r="A167">
        <v>165</v>
      </c>
      <c r="B167">
        <v>2642</v>
      </c>
      <c r="C167" t="b">
        <v>1</v>
      </c>
      <c r="D167">
        <v>8054</v>
      </c>
      <c r="E167">
        <v>8117</v>
      </c>
      <c r="F167">
        <v>8</v>
      </c>
      <c r="G167">
        <v>4.8</v>
      </c>
      <c r="H167">
        <v>1.6666666000000001</v>
      </c>
      <c r="I167">
        <v>-0.6666666</v>
      </c>
      <c r="J167">
        <v>0.375</v>
      </c>
    </row>
    <row r="168" spans="1:10" x14ac:dyDescent="0.3">
      <c r="A168">
        <v>166</v>
      </c>
      <c r="B168">
        <v>2658</v>
      </c>
      <c r="C168" t="b">
        <v>1</v>
      </c>
      <c r="D168">
        <v>8054</v>
      </c>
      <c r="E168">
        <v>8123</v>
      </c>
      <c r="F168">
        <v>8</v>
      </c>
      <c r="G168">
        <v>4.8</v>
      </c>
      <c r="H168">
        <v>1.6666666000000001</v>
      </c>
      <c r="I168">
        <v>-0.6666666</v>
      </c>
      <c r="J168">
        <v>0.375</v>
      </c>
    </row>
    <row r="169" spans="1:10" x14ac:dyDescent="0.3">
      <c r="A169">
        <v>167</v>
      </c>
      <c r="B169">
        <v>2674</v>
      </c>
      <c r="C169" t="b">
        <v>1</v>
      </c>
      <c r="D169">
        <v>8048</v>
      </c>
      <c r="E169">
        <v>8123</v>
      </c>
      <c r="F169">
        <v>8</v>
      </c>
      <c r="G169">
        <v>4.8</v>
      </c>
      <c r="H169">
        <v>1.6666666000000001</v>
      </c>
      <c r="I169">
        <v>-0.6666666</v>
      </c>
      <c r="J169">
        <v>0.375</v>
      </c>
    </row>
    <row r="170" spans="1:10" x14ac:dyDescent="0.3">
      <c r="A170">
        <v>168</v>
      </c>
      <c r="B170">
        <v>2690</v>
      </c>
      <c r="C170" t="b">
        <v>1</v>
      </c>
      <c r="D170">
        <v>8042</v>
      </c>
      <c r="E170">
        <v>8117</v>
      </c>
      <c r="F170">
        <v>8</v>
      </c>
      <c r="G170">
        <v>4.8</v>
      </c>
      <c r="H170">
        <v>1.6666666000000001</v>
      </c>
      <c r="I170">
        <v>-0.6666666</v>
      </c>
      <c r="J170">
        <v>0.375</v>
      </c>
    </row>
    <row r="171" spans="1:10" x14ac:dyDescent="0.3">
      <c r="A171">
        <v>169</v>
      </c>
      <c r="B171">
        <v>2706</v>
      </c>
      <c r="C171" t="b">
        <v>1</v>
      </c>
      <c r="D171">
        <v>8048</v>
      </c>
      <c r="E171">
        <v>8123</v>
      </c>
      <c r="F171">
        <v>8</v>
      </c>
      <c r="G171">
        <v>5.2</v>
      </c>
      <c r="H171">
        <v>1.5384616</v>
      </c>
      <c r="I171">
        <v>-0.53846156999999994</v>
      </c>
      <c r="J171">
        <v>0.39393938000000001</v>
      </c>
    </row>
    <row r="172" spans="1:10" x14ac:dyDescent="0.3">
      <c r="A172">
        <v>170</v>
      </c>
      <c r="B172">
        <v>2722</v>
      </c>
      <c r="C172" t="b">
        <v>1</v>
      </c>
      <c r="D172">
        <v>8048</v>
      </c>
      <c r="E172">
        <v>8123</v>
      </c>
      <c r="F172">
        <v>8</v>
      </c>
      <c r="G172">
        <v>5.2</v>
      </c>
      <c r="H172">
        <v>1.5384616</v>
      </c>
      <c r="I172">
        <v>-0.53846156999999994</v>
      </c>
      <c r="J172">
        <v>0.39393938000000001</v>
      </c>
    </row>
    <row r="173" spans="1:10" x14ac:dyDescent="0.3">
      <c r="A173">
        <v>171</v>
      </c>
      <c r="B173">
        <v>2738</v>
      </c>
      <c r="C173" t="b">
        <v>1</v>
      </c>
      <c r="D173">
        <v>8048</v>
      </c>
      <c r="E173">
        <v>8123</v>
      </c>
      <c r="F173">
        <v>8</v>
      </c>
      <c r="G173">
        <v>5.6</v>
      </c>
      <c r="H173">
        <v>1.4285715000000001</v>
      </c>
      <c r="I173">
        <v>-0.42857146000000002</v>
      </c>
      <c r="J173">
        <v>0.41176467999999999</v>
      </c>
    </row>
    <row r="174" spans="1:10" x14ac:dyDescent="0.3">
      <c r="A174">
        <v>172</v>
      </c>
      <c r="B174">
        <v>2753</v>
      </c>
      <c r="C174" t="b">
        <v>1</v>
      </c>
      <c r="D174">
        <v>8048</v>
      </c>
      <c r="E174">
        <v>8117</v>
      </c>
      <c r="F174">
        <v>8</v>
      </c>
      <c r="G174">
        <v>5.6</v>
      </c>
      <c r="H174">
        <v>1.4285715000000001</v>
      </c>
      <c r="I174">
        <v>-0.42857146000000002</v>
      </c>
      <c r="J174">
        <v>0.41176467999999999</v>
      </c>
    </row>
    <row r="175" spans="1:10" x14ac:dyDescent="0.3">
      <c r="A175">
        <v>173</v>
      </c>
      <c r="B175">
        <v>2769</v>
      </c>
      <c r="C175" t="b">
        <v>1</v>
      </c>
      <c r="D175">
        <v>8054</v>
      </c>
      <c r="E175">
        <v>8117</v>
      </c>
      <c r="F175">
        <v>8</v>
      </c>
      <c r="G175">
        <v>5.6</v>
      </c>
      <c r="H175">
        <v>1.4285715000000001</v>
      </c>
      <c r="I175">
        <v>-0.42857146000000002</v>
      </c>
      <c r="J175">
        <v>0.41176467999999999</v>
      </c>
    </row>
    <row r="176" spans="1:10" x14ac:dyDescent="0.3">
      <c r="A176">
        <v>174</v>
      </c>
      <c r="B176">
        <v>2786</v>
      </c>
      <c r="C176" t="b">
        <v>1</v>
      </c>
      <c r="D176">
        <v>8048</v>
      </c>
      <c r="E176">
        <v>8117</v>
      </c>
      <c r="F176">
        <v>8</v>
      </c>
      <c r="G176">
        <v>5.2</v>
      </c>
      <c r="H176">
        <v>1.5384616</v>
      </c>
      <c r="I176">
        <v>-0.53846156999999994</v>
      </c>
      <c r="J176">
        <v>0.39393938000000001</v>
      </c>
    </row>
    <row r="177" spans="1:10" x14ac:dyDescent="0.3">
      <c r="A177">
        <v>175</v>
      </c>
      <c r="B177">
        <v>2801</v>
      </c>
      <c r="C177" t="b">
        <v>1</v>
      </c>
      <c r="D177">
        <v>8048</v>
      </c>
      <c r="E177">
        <v>8123</v>
      </c>
      <c r="F177">
        <v>8</v>
      </c>
      <c r="G177">
        <v>4.8</v>
      </c>
      <c r="H177">
        <v>1.6666666000000001</v>
      </c>
      <c r="I177">
        <v>-0.6666666</v>
      </c>
      <c r="J177">
        <v>0.375</v>
      </c>
    </row>
    <row r="178" spans="1:10" x14ac:dyDescent="0.3">
      <c r="A178">
        <v>176</v>
      </c>
      <c r="B178">
        <v>2817</v>
      </c>
      <c r="C178" t="b">
        <v>1</v>
      </c>
      <c r="D178">
        <v>8048</v>
      </c>
      <c r="E178">
        <v>8123</v>
      </c>
      <c r="F178">
        <v>8</v>
      </c>
      <c r="G178">
        <v>4.4000000000000004</v>
      </c>
      <c r="H178">
        <v>1.8181818000000001</v>
      </c>
      <c r="I178">
        <v>-0.81818175000000004</v>
      </c>
      <c r="J178">
        <v>0.35483872999999999</v>
      </c>
    </row>
    <row r="179" spans="1:10" x14ac:dyDescent="0.3">
      <c r="A179">
        <v>177</v>
      </c>
      <c r="B179">
        <v>2833</v>
      </c>
      <c r="C179" t="b">
        <v>1</v>
      </c>
      <c r="D179">
        <v>8048</v>
      </c>
      <c r="E179">
        <v>8123</v>
      </c>
      <c r="F179">
        <v>8</v>
      </c>
      <c r="G179">
        <v>4.4000000000000004</v>
      </c>
      <c r="H179">
        <v>1.8181818000000001</v>
      </c>
      <c r="I179">
        <v>-0.81818175000000004</v>
      </c>
      <c r="J179">
        <v>0.35483872999999999</v>
      </c>
    </row>
    <row r="180" spans="1:10" x14ac:dyDescent="0.3">
      <c r="A180">
        <v>178</v>
      </c>
      <c r="B180">
        <v>2849</v>
      </c>
      <c r="C180" t="b">
        <v>1</v>
      </c>
      <c r="D180">
        <v>8048</v>
      </c>
      <c r="E180">
        <v>8123</v>
      </c>
      <c r="F180">
        <v>8</v>
      </c>
      <c r="G180">
        <v>4.8</v>
      </c>
      <c r="H180">
        <v>1.6666666000000001</v>
      </c>
      <c r="I180">
        <v>-0.6666666</v>
      </c>
      <c r="J180">
        <v>0.375</v>
      </c>
    </row>
    <row r="181" spans="1:10" x14ac:dyDescent="0.3">
      <c r="A181">
        <v>179</v>
      </c>
      <c r="B181">
        <v>2865</v>
      </c>
      <c r="C181" t="b">
        <v>1</v>
      </c>
      <c r="D181">
        <v>8048</v>
      </c>
      <c r="E181">
        <v>8123</v>
      </c>
      <c r="F181">
        <v>8</v>
      </c>
      <c r="G181">
        <v>5.2</v>
      </c>
      <c r="H181">
        <v>1.5384616</v>
      </c>
      <c r="I181">
        <v>-0.53846156999999994</v>
      </c>
      <c r="J181">
        <v>0.39393938000000001</v>
      </c>
    </row>
    <row r="182" spans="1:10" x14ac:dyDescent="0.3">
      <c r="A182">
        <v>180</v>
      </c>
      <c r="B182">
        <v>2881</v>
      </c>
      <c r="C182" t="b">
        <v>1</v>
      </c>
      <c r="D182">
        <v>8048</v>
      </c>
      <c r="E182">
        <v>8123</v>
      </c>
      <c r="F182">
        <v>8</v>
      </c>
      <c r="G182">
        <v>5.6</v>
      </c>
      <c r="H182">
        <v>1.4285715000000001</v>
      </c>
      <c r="I182">
        <v>-0.42857146000000002</v>
      </c>
      <c r="J182">
        <v>0.41176467999999999</v>
      </c>
    </row>
    <row r="183" spans="1:10" x14ac:dyDescent="0.3">
      <c r="A183">
        <v>181</v>
      </c>
      <c r="B183">
        <v>2896</v>
      </c>
      <c r="C183" t="b">
        <v>1</v>
      </c>
      <c r="D183">
        <v>8048</v>
      </c>
      <c r="E183">
        <v>8123</v>
      </c>
      <c r="F183">
        <v>8</v>
      </c>
      <c r="G183">
        <v>6</v>
      </c>
      <c r="H183">
        <v>1.3333333999999999</v>
      </c>
      <c r="I183">
        <v>-0.33333333999999998</v>
      </c>
      <c r="J183">
        <v>0.42857142999999998</v>
      </c>
    </row>
    <row r="184" spans="1:10" x14ac:dyDescent="0.3">
      <c r="A184">
        <v>182</v>
      </c>
      <c r="B184">
        <v>2912</v>
      </c>
      <c r="C184" t="b">
        <v>1</v>
      </c>
      <c r="D184">
        <v>8048</v>
      </c>
      <c r="E184">
        <v>8123</v>
      </c>
      <c r="F184">
        <v>8</v>
      </c>
      <c r="G184">
        <v>6.4</v>
      </c>
      <c r="H184">
        <v>1.25</v>
      </c>
      <c r="I184">
        <v>-0.24999999000000001</v>
      </c>
      <c r="J184">
        <v>0.44444447999999998</v>
      </c>
    </row>
    <row r="185" spans="1:10" x14ac:dyDescent="0.3">
      <c r="A185">
        <v>183</v>
      </c>
      <c r="B185">
        <v>2928</v>
      </c>
      <c r="C185" t="b">
        <v>1</v>
      </c>
      <c r="D185">
        <v>8054</v>
      </c>
      <c r="E185">
        <v>8117</v>
      </c>
      <c r="F185">
        <v>8</v>
      </c>
      <c r="G185">
        <v>6.8</v>
      </c>
      <c r="H185">
        <v>1.1764705</v>
      </c>
      <c r="I185">
        <v>-0.17647055</v>
      </c>
      <c r="J185">
        <v>0.45945944999999999</v>
      </c>
    </row>
    <row r="186" spans="1:10" x14ac:dyDescent="0.3">
      <c r="A186">
        <v>184</v>
      </c>
      <c r="B186">
        <v>2944</v>
      </c>
      <c r="C186" t="b">
        <v>1</v>
      </c>
      <c r="D186">
        <v>8054</v>
      </c>
      <c r="E186">
        <v>8123</v>
      </c>
      <c r="F186">
        <v>8</v>
      </c>
      <c r="G186">
        <v>6.8</v>
      </c>
      <c r="H186">
        <v>1.1764705</v>
      </c>
      <c r="I186">
        <v>-0.17647055</v>
      </c>
      <c r="J186">
        <v>0.45945944999999999</v>
      </c>
    </row>
    <row r="187" spans="1:10" x14ac:dyDescent="0.3">
      <c r="A187">
        <v>185</v>
      </c>
      <c r="B187">
        <v>2960</v>
      </c>
      <c r="C187" t="b">
        <v>1</v>
      </c>
      <c r="D187">
        <v>8048</v>
      </c>
      <c r="E187">
        <v>8123</v>
      </c>
      <c r="F187">
        <v>8</v>
      </c>
      <c r="G187">
        <v>6.8</v>
      </c>
      <c r="H187">
        <v>1.1764705</v>
      </c>
      <c r="I187">
        <v>-0.17647055</v>
      </c>
      <c r="J187">
        <v>0.45945944999999999</v>
      </c>
    </row>
    <row r="188" spans="1:10" x14ac:dyDescent="0.3">
      <c r="A188">
        <v>186</v>
      </c>
      <c r="B188">
        <v>2976</v>
      </c>
      <c r="C188" t="b">
        <v>1</v>
      </c>
      <c r="D188">
        <v>8054</v>
      </c>
      <c r="E188">
        <v>8117</v>
      </c>
      <c r="F188">
        <v>8.4</v>
      </c>
      <c r="G188">
        <v>6.8</v>
      </c>
      <c r="H188">
        <v>1.2352939999999999</v>
      </c>
      <c r="I188">
        <v>-0.23529402999999999</v>
      </c>
      <c r="J188">
        <v>0.44736843999999998</v>
      </c>
    </row>
    <row r="189" spans="1:10" x14ac:dyDescent="0.3">
      <c r="A189">
        <v>187</v>
      </c>
      <c r="B189">
        <v>2992</v>
      </c>
      <c r="C189" t="b">
        <v>1</v>
      </c>
      <c r="D189">
        <v>8054</v>
      </c>
      <c r="E189">
        <v>8117</v>
      </c>
      <c r="F189">
        <v>8.8000000000000007</v>
      </c>
      <c r="G189">
        <v>6.4</v>
      </c>
      <c r="H189">
        <v>1.375</v>
      </c>
      <c r="I189">
        <v>-0.375</v>
      </c>
      <c r="J189">
        <v>0.4210526</v>
      </c>
    </row>
    <row r="190" spans="1:10" x14ac:dyDescent="0.3">
      <c r="A190">
        <v>188</v>
      </c>
      <c r="B190">
        <v>3007</v>
      </c>
      <c r="C190" t="b">
        <v>1</v>
      </c>
      <c r="D190">
        <v>8048</v>
      </c>
      <c r="E190">
        <v>8123</v>
      </c>
      <c r="F190">
        <v>9.1999999999999993</v>
      </c>
      <c r="G190">
        <v>6.4</v>
      </c>
      <c r="H190">
        <v>1.4375</v>
      </c>
      <c r="I190">
        <v>-0.43749993999999998</v>
      </c>
      <c r="J190">
        <v>0.41025642000000001</v>
      </c>
    </row>
    <row r="191" spans="1:10" x14ac:dyDescent="0.3">
      <c r="A191">
        <v>189</v>
      </c>
      <c r="B191">
        <v>3023</v>
      </c>
      <c r="C191" t="b">
        <v>1</v>
      </c>
      <c r="D191">
        <v>8054</v>
      </c>
      <c r="E191">
        <v>8123</v>
      </c>
      <c r="F191">
        <v>9.6</v>
      </c>
      <c r="G191">
        <v>6.8</v>
      </c>
      <c r="H191">
        <v>1.4117647</v>
      </c>
      <c r="I191">
        <v>-0.41176469999999998</v>
      </c>
      <c r="J191">
        <v>0.41463410000000001</v>
      </c>
    </row>
    <row r="192" spans="1:10" x14ac:dyDescent="0.3">
      <c r="A192">
        <v>190</v>
      </c>
      <c r="B192">
        <v>3039</v>
      </c>
      <c r="C192" t="b">
        <v>1</v>
      </c>
      <c r="D192">
        <v>8048</v>
      </c>
      <c r="E192">
        <v>8117</v>
      </c>
      <c r="F192">
        <v>10</v>
      </c>
      <c r="G192">
        <v>6.8</v>
      </c>
      <c r="H192">
        <v>1.4705881999999999</v>
      </c>
      <c r="I192">
        <v>-0.47058820000000001</v>
      </c>
      <c r="J192">
        <v>0.40476193999999999</v>
      </c>
    </row>
    <row r="193" spans="1:10" x14ac:dyDescent="0.3">
      <c r="A193">
        <v>191</v>
      </c>
      <c r="B193">
        <v>3055</v>
      </c>
      <c r="C193" t="b">
        <v>1</v>
      </c>
      <c r="D193">
        <v>8048</v>
      </c>
      <c r="E193">
        <v>8123</v>
      </c>
      <c r="F193">
        <v>10</v>
      </c>
      <c r="G193">
        <v>7.2</v>
      </c>
      <c r="H193">
        <v>1.388889</v>
      </c>
      <c r="I193">
        <v>-0.38888893000000002</v>
      </c>
      <c r="J193">
        <v>0.41860459999999999</v>
      </c>
    </row>
    <row r="194" spans="1:10" x14ac:dyDescent="0.3">
      <c r="A194">
        <v>192</v>
      </c>
      <c r="B194">
        <v>3071</v>
      </c>
      <c r="C194" t="b">
        <v>1</v>
      </c>
      <c r="D194">
        <v>8054</v>
      </c>
      <c r="E194">
        <v>8123</v>
      </c>
      <c r="F194">
        <v>10</v>
      </c>
      <c r="G194">
        <v>7.2</v>
      </c>
      <c r="H194">
        <v>1.388889</v>
      </c>
      <c r="I194">
        <v>-0.38888893000000002</v>
      </c>
      <c r="J194">
        <v>0.41860459999999999</v>
      </c>
    </row>
    <row r="195" spans="1:10" x14ac:dyDescent="0.3">
      <c r="A195">
        <v>193</v>
      </c>
      <c r="B195">
        <v>3087</v>
      </c>
      <c r="C195" t="b">
        <v>1</v>
      </c>
      <c r="D195">
        <v>8048</v>
      </c>
      <c r="E195">
        <v>8123</v>
      </c>
      <c r="F195">
        <v>10</v>
      </c>
      <c r="G195">
        <v>7.2</v>
      </c>
      <c r="H195">
        <v>1.388889</v>
      </c>
      <c r="I195">
        <v>-0.38888893000000002</v>
      </c>
      <c r="J195">
        <v>0.41860459999999999</v>
      </c>
    </row>
    <row r="196" spans="1:10" x14ac:dyDescent="0.3">
      <c r="A196">
        <v>194</v>
      </c>
      <c r="B196">
        <v>3103</v>
      </c>
      <c r="C196" t="b">
        <v>1</v>
      </c>
      <c r="D196">
        <v>8048</v>
      </c>
      <c r="E196">
        <v>8117</v>
      </c>
      <c r="F196">
        <v>10</v>
      </c>
      <c r="G196">
        <v>7.2</v>
      </c>
      <c r="H196">
        <v>1.388889</v>
      </c>
      <c r="I196">
        <v>-0.38888893000000002</v>
      </c>
      <c r="J196">
        <v>0.41860459999999999</v>
      </c>
    </row>
    <row r="197" spans="1:10" x14ac:dyDescent="0.3">
      <c r="A197">
        <v>195</v>
      </c>
      <c r="B197">
        <v>3119</v>
      </c>
      <c r="C197" t="b">
        <v>1</v>
      </c>
      <c r="D197">
        <v>8048</v>
      </c>
      <c r="E197">
        <v>8123</v>
      </c>
      <c r="F197">
        <v>10</v>
      </c>
      <c r="G197">
        <v>7.2</v>
      </c>
      <c r="H197">
        <v>1.388889</v>
      </c>
      <c r="I197">
        <v>-0.38888893000000002</v>
      </c>
      <c r="J197">
        <v>0.41860459999999999</v>
      </c>
    </row>
    <row r="198" spans="1:10" x14ac:dyDescent="0.3">
      <c r="A198">
        <v>196</v>
      </c>
      <c r="B198">
        <v>3135</v>
      </c>
      <c r="C198" t="b">
        <v>1</v>
      </c>
      <c r="D198">
        <v>8048</v>
      </c>
      <c r="E198">
        <v>8129</v>
      </c>
      <c r="F198">
        <v>10</v>
      </c>
      <c r="G198">
        <v>7.2</v>
      </c>
      <c r="H198">
        <v>1.388889</v>
      </c>
      <c r="I198">
        <v>-0.38888893000000002</v>
      </c>
      <c r="J198">
        <v>0.41860459999999999</v>
      </c>
    </row>
    <row r="199" spans="1:10" x14ac:dyDescent="0.3">
      <c r="A199">
        <v>197</v>
      </c>
      <c r="B199">
        <v>3151</v>
      </c>
      <c r="C199" t="b">
        <v>1</v>
      </c>
      <c r="D199">
        <v>8048</v>
      </c>
      <c r="E199">
        <v>8123</v>
      </c>
      <c r="F199">
        <v>10</v>
      </c>
      <c r="G199">
        <v>7.2</v>
      </c>
      <c r="H199">
        <v>1.388889</v>
      </c>
      <c r="I199">
        <v>-0.38888893000000002</v>
      </c>
      <c r="J199">
        <v>0.41860459999999999</v>
      </c>
    </row>
    <row r="200" spans="1:10" x14ac:dyDescent="0.3">
      <c r="A200">
        <v>198</v>
      </c>
      <c r="B200">
        <v>3167</v>
      </c>
      <c r="C200" t="b">
        <v>1</v>
      </c>
      <c r="D200">
        <v>8054</v>
      </c>
      <c r="E200">
        <v>8123</v>
      </c>
      <c r="F200">
        <v>10</v>
      </c>
      <c r="G200">
        <v>7.2</v>
      </c>
      <c r="H200">
        <v>1.388889</v>
      </c>
      <c r="I200">
        <v>-0.38888893000000002</v>
      </c>
      <c r="J200">
        <v>0.41860459999999999</v>
      </c>
    </row>
    <row r="201" spans="1:10" x14ac:dyDescent="0.3">
      <c r="A201">
        <v>199</v>
      </c>
      <c r="B201">
        <v>3182</v>
      </c>
      <c r="C201" t="b">
        <v>1</v>
      </c>
      <c r="D201">
        <v>8054</v>
      </c>
      <c r="E201">
        <v>8123</v>
      </c>
      <c r="F201">
        <v>10</v>
      </c>
      <c r="G201">
        <v>7.2</v>
      </c>
      <c r="H201">
        <v>1.388889</v>
      </c>
      <c r="I201">
        <v>-0.38888893000000002</v>
      </c>
      <c r="J201">
        <v>0.41860459999999999</v>
      </c>
    </row>
    <row r="202" spans="1:10" x14ac:dyDescent="0.3">
      <c r="A202">
        <v>200</v>
      </c>
      <c r="B202">
        <v>3199</v>
      </c>
      <c r="C202" t="b">
        <v>1</v>
      </c>
      <c r="D202">
        <v>8054</v>
      </c>
      <c r="E202">
        <v>8123</v>
      </c>
      <c r="F202">
        <v>10.4</v>
      </c>
      <c r="G202">
        <v>7.2</v>
      </c>
      <c r="H202">
        <v>1.4444444000000001</v>
      </c>
      <c r="I202">
        <v>-0.44444442000000001</v>
      </c>
      <c r="J202">
        <v>0.40909094000000001</v>
      </c>
    </row>
    <row r="203" spans="1:10" x14ac:dyDescent="0.3">
      <c r="A203">
        <v>201</v>
      </c>
      <c r="B203">
        <v>3214</v>
      </c>
      <c r="C203" t="b">
        <v>1</v>
      </c>
      <c r="D203">
        <v>8042</v>
      </c>
      <c r="E203">
        <v>8123</v>
      </c>
      <c r="F203">
        <v>10.4</v>
      </c>
      <c r="G203">
        <v>7.2</v>
      </c>
      <c r="H203">
        <v>1.4444444000000001</v>
      </c>
      <c r="I203">
        <v>-0.44444442000000001</v>
      </c>
      <c r="J203">
        <v>0.40909094000000001</v>
      </c>
    </row>
    <row r="204" spans="1:10" x14ac:dyDescent="0.3">
      <c r="A204">
        <v>202</v>
      </c>
      <c r="B204">
        <v>3230</v>
      </c>
      <c r="C204" t="b">
        <v>1</v>
      </c>
      <c r="D204">
        <v>8048</v>
      </c>
      <c r="E204">
        <v>8117</v>
      </c>
      <c r="F204">
        <v>10.4</v>
      </c>
      <c r="G204">
        <v>7.6</v>
      </c>
      <c r="H204">
        <v>1.3684210999999999</v>
      </c>
      <c r="I204">
        <v>-0.36842101999999999</v>
      </c>
      <c r="J204">
        <v>0.42222222999999998</v>
      </c>
    </row>
    <row r="205" spans="1:10" x14ac:dyDescent="0.3">
      <c r="A205">
        <v>203</v>
      </c>
      <c r="B205">
        <v>3246</v>
      </c>
      <c r="C205" t="b">
        <v>1</v>
      </c>
      <c r="D205">
        <v>8048</v>
      </c>
      <c r="E205">
        <v>8117</v>
      </c>
      <c r="F205">
        <v>10</v>
      </c>
      <c r="G205">
        <v>7.6</v>
      </c>
      <c r="H205">
        <v>1.3157894999999999</v>
      </c>
      <c r="I205">
        <v>-0.3157895</v>
      </c>
      <c r="J205">
        <v>0.43181816000000001</v>
      </c>
    </row>
    <row r="206" spans="1:10" x14ac:dyDescent="0.3">
      <c r="A206">
        <v>204</v>
      </c>
      <c r="B206">
        <v>3262</v>
      </c>
      <c r="C206" t="b">
        <v>1</v>
      </c>
      <c r="D206">
        <v>8048</v>
      </c>
      <c r="E206">
        <v>8123</v>
      </c>
      <c r="F206">
        <v>9.6</v>
      </c>
      <c r="G206">
        <v>7.6</v>
      </c>
      <c r="H206">
        <v>1.263158</v>
      </c>
      <c r="I206">
        <v>-0.26315796000000002</v>
      </c>
      <c r="J206">
        <v>0.44186044000000002</v>
      </c>
    </row>
    <row r="207" spans="1:10" x14ac:dyDescent="0.3">
      <c r="A207">
        <v>205</v>
      </c>
      <c r="B207">
        <v>3278</v>
      </c>
      <c r="C207" t="b">
        <v>1</v>
      </c>
      <c r="D207">
        <v>8048</v>
      </c>
      <c r="E207">
        <v>8123</v>
      </c>
      <c r="F207">
        <v>9.1999999999999993</v>
      </c>
      <c r="G207">
        <v>8</v>
      </c>
      <c r="H207">
        <v>1.1499999999999999</v>
      </c>
      <c r="I207">
        <v>-0.14999998</v>
      </c>
      <c r="J207">
        <v>0.46511626</v>
      </c>
    </row>
    <row r="208" spans="1:10" x14ac:dyDescent="0.3">
      <c r="A208">
        <v>206</v>
      </c>
      <c r="B208">
        <v>3293</v>
      </c>
      <c r="C208" t="b">
        <v>1</v>
      </c>
      <c r="D208">
        <v>8048</v>
      </c>
      <c r="E208">
        <v>8123</v>
      </c>
      <c r="F208">
        <v>9.1999999999999993</v>
      </c>
      <c r="G208">
        <v>8</v>
      </c>
      <c r="H208">
        <v>1.1499999999999999</v>
      </c>
      <c r="I208">
        <v>-0.14999998</v>
      </c>
      <c r="J208">
        <v>0.46511626</v>
      </c>
    </row>
    <row r="209" spans="1:10" x14ac:dyDescent="0.3">
      <c r="A209">
        <v>207</v>
      </c>
      <c r="B209">
        <v>3309</v>
      </c>
      <c r="C209" t="b">
        <v>1</v>
      </c>
      <c r="D209">
        <v>8048</v>
      </c>
      <c r="E209">
        <v>8123</v>
      </c>
      <c r="F209">
        <v>9.1999999999999993</v>
      </c>
      <c r="G209">
        <v>8</v>
      </c>
      <c r="H209">
        <v>1.1499999999999999</v>
      </c>
      <c r="I209">
        <v>-0.14999998</v>
      </c>
      <c r="J209">
        <v>0.46511626</v>
      </c>
    </row>
    <row r="210" spans="1:10" x14ac:dyDescent="0.3">
      <c r="A210">
        <v>208</v>
      </c>
      <c r="B210">
        <v>3325</v>
      </c>
      <c r="C210" t="b">
        <v>1</v>
      </c>
      <c r="D210">
        <v>8048</v>
      </c>
      <c r="E210">
        <v>8123</v>
      </c>
      <c r="F210">
        <v>9.1999999999999993</v>
      </c>
      <c r="G210">
        <v>8</v>
      </c>
      <c r="H210">
        <v>1.1499999999999999</v>
      </c>
      <c r="I210">
        <v>-0.14999998</v>
      </c>
      <c r="J210">
        <v>0.46511626</v>
      </c>
    </row>
    <row r="211" spans="1:10" x14ac:dyDescent="0.3">
      <c r="A211">
        <v>209</v>
      </c>
      <c r="B211">
        <v>3341</v>
      </c>
      <c r="C211" t="b">
        <v>1</v>
      </c>
      <c r="D211">
        <v>8054</v>
      </c>
      <c r="E211">
        <v>8123</v>
      </c>
      <c r="F211">
        <v>9.1999999999999993</v>
      </c>
      <c r="G211">
        <v>8</v>
      </c>
      <c r="H211">
        <v>1.1499999999999999</v>
      </c>
      <c r="I211">
        <v>-0.14999998</v>
      </c>
      <c r="J211">
        <v>0.46511626</v>
      </c>
    </row>
    <row r="212" spans="1:10" x14ac:dyDescent="0.3">
      <c r="A212">
        <v>210</v>
      </c>
      <c r="B212">
        <v>3357</v>
      </c>
      <c r="C212" t="b">
        <v>1</v>
      </c>
      <c r="D212">
        <v>8048</v>
      </c>
      <c r="E212">
        <v>8123</v>
      </c>
      <c r="F212">
        <v>9.1999999999999993</v>
      </c>
      <c r="G212">
        <v>8</v>
      </c>
      <c r="H212">
        <v>1.1499999999999999</v>
      </c>
      <c r="I212">
        <v>-0.14999998</v>
      </c>
      <c r="J212">
        <v>0.46511626</v>
      </c>
    </row>
    <row r="213" spans="1:10" x14ac:dyDescent="0.3">
      <c r="A213">
        <v>211</v>
      </c>
      <c r="B213">
        <v>3373</v>
      </c>
      <c r="C213" t="b">
        <v>1</v>
      </c>
      <c r="D213">
        <v>8054</v>
      </c>
      <c r="E213">
        <v>8123</v>
      </c>
      <c r="F213">
        <v>9.1999999999999993</v>
      </c>
      <c r="G213">
        <v>8</v>
      </c>
      <c r="H213">
        <v>1.1499999999999999</v>
      </c>
      <c r="I213">
        <v>-0.14999998</v>
      </c>
      <c r="J213">
        <v>0.46511626</v>
      </c>
    </row>
    <row r="214" spans="1:10" x14ac:dyDescent="0.3">
      <c r="A214">
        <v>212</v>
      </c>
      <c r="B214">
        <v>3388</v>
      </c>
      <c r="C214" t="b">
        <v>1</v>
      </c>
      <c r="D214">
        <v>8054</v>
      </c>
      <c r="E214">
        <v>8123</v>
      </c>
      <c r="F214">
        <v>9.6</v>
      </c>
      <c r="G214">
        <v>8</v>
      </c>
      <c r="H214">
        <v>1.2</v>
      </c>
      <c r="I214">
        <v>-0.20000005000000001</v>
      </c>
      <c r="J214">
        <v>0.45454544000000002</v>
      </c>
    </row>
    <row r="215" spans="1:10" x14ac:dyDescent="0.3">
      <c r="A215">
        <v>213</v>
      </c>
      <c r="B215">
        <v>3404</v>
      </c>
      <c r="C215" t="b">
        <v>1</v>
      </c>
      <c r="D215">
        <v>8048</v>
      </c>
      <c r="E215">
        <v>8123</v>
      </c>
      <c r="F215">
        <v>10</v>
      </c>
      <c r="G215">
        <v>8</v>
      </c>
      <c r="H215">
        <v>1.25</v>
      </c>
      <c r="I215">
        <v>-0.25</v>
      </c>
      <c r="J215">
        <v>0.44444444999999999</v>
      </c>
    </row>
    <row r="216" spans="1:10" x14ac:dyDescent="0.3">
      <c r="A216">
        <v>214</v>
      </c>
      <c r="B216">
        <v>3420</v>
      </c>
      <c r="C216" t="b">
        <v>1</v>
      </c>
      <c r="D216">
        <v>8048</v>
      </c>
      <c r="E216">
        <v>8123</v>
      </c>
      <c r="F216">
        <v>10</v>
      </c>
      <c r="G216">
        <v>8</v>
      </c>
      <c r="H216">
        <v>1.25</v>
      </c>
      <c r="I216">
        <v>-0.25</v>
      </c>
      <c r="J216">
        <v>0.44444444999999999</v>
      </c>
    </row>
    <row r="217" spans="1:10" x14ac:dyDescent="0.3">
      <c r="A217">
        <v>215</v>
      </c>
      <c r="B217">
        <v>3436</v>
      </c>
      <c r="C217" t="b">
        <v>1</v>
      </c>
      <c r="D217">
        <v>8048</v>
      </c>
      <c r="E217">
        <v>8123</v>
      </c>
      <c r="F217">
        <v>9.6</v>
      </c>
      <c r="G217">
        <v>8</v>
      </c>
      <c r="H217">
        <v>1.2</v>
      </c>
      <c r="I217">
        <v>-0.20000005000000001</v>
      </c>
      <c r="J217">
        <v>0.45454544000000002</v>
      </c>
    </row>
    <row r="218" spans="1:10" x14ac:dyDescent="0.3">
      <c r="A218">
        <v>216</v>
      </c>
      <c r="B218">
        <v>3452</v>
      </c>
      <c r="C218" t="b">
        <v>1</v>
      </c>
      <c r="D218">
        <v>8048</v>
      </c>
      <c r="E218">
        <v>8123</v>
      </c>
      <c r="F218">
        <v>9.1999999999999993</v>
      </c>
      <c r="G218">
        <v>8</v>
      </c>
      <c r="H218">
        <v>1.1499999999999999</v>
      </c>
      <c r="I218">
        <v>-0.14999998</v>
      </c>
      <c r="J218">
        <v>0.46511626</v>
      </c>
    </row>
    <row r="219" spans="1:10" x14ac:dyDescent="0.3">
      <c r="A219">
        <v>217</v>
      </c>
      <c r="B219">
        <v>3467</v>
      </c>
      <c r="C219" t="b">
        <v>1</v>
      </c>
      <c r="D219">
        <v>8042</v>
      </c>
      <c r="E219">
        <v>8117</v>
      </c>
      <c r="F219">
        <v>8.8000000000000007</v>
      </c>
      <c r="G219">
        <v>8</v>
      </c>
      <c r="H219">
        <v>1.1000000000000001</v>
      </c>
      <c r="I219">
        <v>-0.10000002400000001</v>
      </c>
      <c r="J219">
        <v>0.47619050000000002</v>
      </c>
    </row>
    <row r="220" spans="1:10" x14ac:dyDescent="0.3">
      <c r="A220">
        <v>218</v>
      </c>
      <c r="B220">
        <v>3483</v>
      </c>
      <c r="C220" t="b">
        <v>1</v>
      </c>
      <c r="D220">
        <v>8048</v>
      </c>
      <c r="E220">
        <v>8123</v>
      </c>
      <c r="F220">
        <v>8.8000000000000007</v>
      </c>
      <c r="G220">
        <v>8</v>
      </c>
      <c r="H220">
        <v>1.1000000000000001</v>
      </c>
      <c r="I220">
        <v>-0.10000002400000001</v>
      </c>
      <c r="J220">
        <v>0.47619050000000002</v>
      </c>
    </row>
    <row r="221" spans="1:10" x14ac:dyDescent="0.3">
      <c r="A221">
        <v>219</v>
      </c>
      <c r="B221">
        <v>3499</v>
      </c>
      <c r="C221" t="b">
        <v>1</v>
      </c>
      <c r="D221">
        <v>8048</v>
      </c>
      <c r="E221">
        <v>8123</v>
      </c>
      <c r="F221">
        <v>8.8000000000000007</v>
      </c>
      <c r="G221">
        <v>8</v>
      </c>
      <c r="H221">
        <v>1.1000000000000001</v>
      </c>
      <c r="I221">
        <v>-0.10000002400000001</v>
      </c>
      <c r="J221">
        <v>0.47619050000000002</v>
      </c>
    </row>
    <row r="222" spans="1:10" x14ac:dyDescent="0.3">
      <c r="A222">
        <v>220</v>
      </c>
      <c r="B222">
        <v>3515</v>
      </c>
      <c r="C222" t="b">
        <v>1</v>
      </c>
      <c r="D222">
        <v>8048</v>
      </c>
      <c r="E222">
        <v>8117</v>
      </c>
      <c r="F222">
        <v>8.8000000000000007</v>
      </c>
      <c r="G222">
        <v>8</v>
      </c>
      <c r="H222">
        <v>1.1000000000000001</v>
      </c>
      <c r="I222">
        <v>-0.10000002400000001</v>
      </c>
      <c r="J222">
        <v>0.47619050000000002</v>
      </c>
    </row>
    <row r="223" spans="1:10" x14ac:dyDescent="0.3">
      <c r="A223">
        <v>221</v>
      </c>
      <c r="B223">
        <v>3531</v>
      </c>
      <c r="C223" t="b">
        <v>1</v>
      </c>
      <c r="D223">
        <v>8048</v>
      </c>
      <c r="E223">
        <v>8123</v>
      </c>
      <c r="F223">
        <v>8.8000000000000007</v>
      </c>
      <c r="G223">
        <v>8</v>
      </c>
      <c r="H223">
        <v>1.1000000000000001</v>
      </c>
      <c r="I223">
        <v>-0.10000002400000001</v>
      </c>
      <c r="J223">
        <v>0.47619050000000002</v>
      </c>
    </row>
    <row r="224" spans="1:10" x14ac:dyDescent="0.3">
      <c r="A224">
        <v>222</v>
      </c>
      <c r="B224">
        <v>3547</v>
      </c>
      <c r="C224" t="b">
        <v>1</v>
      </c>
      <c r="D224">
        <v>8054</v>
      </c>
      <c r="E224">
        <v>8123</v>
      </c>
      <c r="F224">
        <v>8.8000000000000007</v>
      </c>
      <c r="G224">
        <v>8</v>
      </c>
      <c r="H224">
        <v>1.1000000000000001</v>
      </c>
      <c r="I224">
        <v>-0.10000002400000001</v>
      </c>
      <c r="J224">
        <v>0.47619050000000002</v>
      </c>
    </row>
    <row r="225" spans="1:10" x14ac:dyDescent="0.3">
      <c r="A225">
        <v>223</v>
      </c>
      <c r="B225">
        <v>3563</v>
      </c>
      <c r="C225" t="b">
        <v>1</v>
      </c>
      <c r="D225">
        <v>8048</v>
      </c>
      <c r="E225">
        <v>8117</v>
      </c>
      <c r="F225">
        <v>8.8000000000000007</v>
      </c>
      <c r="G225">
        <v>8</v>
      </c>
      <c r="H225">
        <v>1.1000000000000001</v>
      </c>
      <c r="I225">
        <v>-0.10000002400000001</v>
      </c>
      <c r="J225">
        <v>0.47619050000000002</v>
      </c>
    </row>
    <row r="226" spans="1:10" x14ac:dyDescent="0.3">
      <c r="A226">
        <v>224</v>
      </c>
      <c r="B226">
        <v>3579</v>
      </c>
      <c r="C226" t="b">
        <v>1</v>
      </c>
      <c r="D226">
        <v>8048</v>
      </c>
      <c r="E226">
        <v>8117</v>
      </c>
      <c r="F226">
        <v>8.8000000000000007</v>
      </c>
      <c r="G226">
        <v>7.6</v>
      </c>
      <c r="H226">
        <v>1.1578946999999999</v>
      </c>
      <c r="I226">
        <v>-0.15789478000000001</v>
      </c>
      <c r="J226">
        <v>0.46341463999999999</v>
      </c>
    </row>
    <row r="227" spans="1:10" x14ac:dyDescent="0.3">
      <c r="A227">
        <v>225</v>
      </c>
      <c r="B227">
        <v>3595</v>
      </c>
      <c r="C227" t="b">
        <v>1</v>
      </c>
      <c r="D227">
        <v>8048</v>
      </c>
      <c r="E227">
        <v>8117</v>
      </c>
      <c r="F227">
        <v>8.8000000000000007</v>
      </c>
      <c r="G227">
        <v>7.2</v>
      </c>
      <c r="H227">
        <v>1.2222223000000001</v>
      </c>
      <c r="I227">
        <v>-0.22222227999999999</v>
      </c>
      <c r="J227">
        <v>0.45</v>
      </c>
    </row>
    <row r="228" spans="1:10" x14ac:dyDescent="0.3">
      <c r="A228">
        <v>226</v>
      </c>
      <c r="B228">
        <v>3611</v>
      </c>
      <c r="C228" t="b">
        <v>1</v>
      </c>
      <c r="D228">
        <v>8048</v>
      </c>
      <c r="E228">
        <v>8123</v>
      </c>
      <c r="F228">
        <v>8.8000000000000007</v>
      </c>
      <c r="G228">
        <v>6.8</v>
      </c>
      <c r="H228">
        <v>1.2941176999999999</v>
      </c>
      <c r="I228">
        <v>-0.29411763000000002</v>
      </c>
      <c r="J228">
        <v>0.43589744000000002</v>
      </c>
    </row>
    <row r="229" spans="1:10" x14ac:dyDescent="0.3">
      <c r="A229">
        <v>227</v>
      </c>
      <c r="B229">
        <v>3627</v>
      </c>
      <c r="C229" t="b">
        <v>1</v>
      </c>
      <c r="D229">
        <v>8048</v>
      </c>
      <c r="E229">
        <v>8123</v>
      </c>
      <c r="F229">
        <v>8.4</v>
      </c>
      <c r="G229">
        <v>6.4</v>
      </c>
      <c r="H229">
        <v>1.3124998999999999</v>
      </c>
      <c r="I229">
        <v>-0.3124999</v>
      </c>
      <c r="J229">
        <v>0.43243247000000001</v>
      </c>
    </row>
    <row r="230" spans="1:10" x14ac:dyDescent="0.3">
      <c r="A230">
        <v>228</v>
      </c>
      <c r="B230">
        <v>3643</v>
      </c>
      <c r="C230" t="b">
        <v>1</v>
      </c>
      <c r="D230">
        <v>8048</v>
      </c>
      <c r="E230">
        <v>8123</v>
      </c>
      <c r="F230">
        <v>8</v>
      </c>
      <c r="G230">
        <v>6.4</v>
      </c>
      <c r="H230">
        <v>1.25</v>
      </c>
      <c r="I230">
        <v>-0.24999999000000001</v>
      </c>
      <c r="J230">
        <v>0.44444447999999998</v>
      </c>
    </row>
    <row r="231" spans="1:10" x14ac:dyDescent="0.3">
      <c r="A231">
        <v>229</v>
      </c>
      <c r="B231">
        <v>3659</v>
      </c>
      <c r="C231" t="b">
        <v>1</v>
      </c>
      <c r="D231">
        <v>8048</v>
      </c>
      <c r="E231">
        <v>8123</v>
      </c>
      <c r="F231">
        <v>8</v>
      </c>
      <c r="G231">
        <v>6.4</v>
      </c>
      <c r="H231">
        <v>1.25</v>
      </c>
      <c r="I231">
        <v>-0.24999999000000001</v>
      </c>
      <c r="J231">
        <v>0.44444447999999998</v>
      </c>
    </row>
    <row r="232" spans="1:10" x14ac:dyDescent="0.3">
      <c r="A232">
        <v>230</v>
      </c>
      <c r="B232">
        <v>3675</v>
      </c>
      <c r="C232" t="b">
        <v>1</v>
      </c>
      <c r="D232">
        <v>8048</v>
      </c>
      <c r="E232">
        <v>8123</v>
      </c>
      <c r="F232">
        <v>8</v>
      </c>
      <c r="G232">
        <v>6.4</v>
      </c>
      <c r="H232">
        <v>1.25</v>
      </c>
      <c r="I232">
        <v>-0.24999999000000001</v>
      </c>
      <c r="J232">
        <v>0.44444447999999998</v>
      </c>
    </row>
    <row r="233" spans="1:10" x14ac:dyDescent="0.3">
      <c r="A233">
        <v>231</v>
      </c>
      <c r="B233">
        <v>3690</v>
      </c>
      <c r="C233" t="b">
        <v>1</v>
      </c>
      <c r="D233">
        <v>8048</v>
      </c>
      <c r="E233">
        <v>8123</v>
      </c>
      <c r="F233">
        <v>8</v>
      </c>
      <c r="G233">
        <v>6.4</v>
      </c>
      <c r="H233">
        <v>1.25</v>
      </c>
      <c r="I233">
        <v>-0.24999999000000001</v>
      </c>
      <c r="J233">
        <v>0.44444447999999998</v>
      </c>
    </row>
    <row r="234" spans="1:10" x14ac:dyDescent="0.3">
      <c r="A234">
        <v>232</v>
      </c>
      <c r="B234">
        <v>3706</v>
      </c>
      <c r="C234" t="b">
        <v>1</v>
      </c>
      <c r="D234">
        <v>8048</v>
      </c>
      <c r="E234">
        <v>8123</v>
      </c>
      <c r="F234">
        <v>8</v>
      </c>
      <c r="G234">
        <v>6.4</v>
      </c>
      <c r="H234">
        <v>1.25</v>
      </c>
      <c r="I234">
        <v>-0.24999999000000001</v>
      </c>
      <c r="J234">
        <v>0.44444447999999998</v>
      </c>
    </row>
    <row r="235" spans="1:10" x14ac:dyDescent="0.3">
      <c r="A235">
        <v>233</v>
      </c>
      <c r="B235">
        <v>3722</v>
      </c>
      <c r="C235" t="b">
        <v>1</v>
      </c>
      <c r="D235">
        <v>8048</v>
      </c>
      <c r="E235">
        <v>8123</v>
      </c>
      <c r="F235">
        <v>8</v>
      </c>
      <c r="G235">
        <v>6.4</v>
      </c>
      <c r="H235">
        <v>1.25</v>
      </c>
      <c r="I235">
        <v>-0.24999999000000001</v>
      </c>
      <c r="J235">
        <v>0.44444447999999998</v>
      </c>
    </row>
    <row r="236" spans="1:10" x14ac:dyDescent="0.3">
      <c r="A236">
        <v>234</v>
      </c>
      <c r="B236">
        <v>3738</v>
      </c>
      <c r="C236" t="b">
        <v>1</v>
      </c>
      <c r="D236">
        <v>8054</v>
      </c>
      <c r="E236">
        <v>8123</v>
      </c>
      <c r="F236">
        <v>8</v>
      </c>
      <c r="G236">
        <v>6.4</v>
      </c>
      <c r="H236">
        <v>1.25</v>
      </c>
      <c r="I236">
        <v>-0.24999999000000001</v>
      </c>
      <c r="J236">
        <v>0.44444447999999998</v>
      </c>
    </row>
    <row r="237" spans="1:10" x14ac:dyDescent="0.3">
      <c r="A237">
        <v>235</v>
      </c>
      <c r="B237">
        <v>3754</v>
      </c>
      <c r="C237" t="b">
        <v>1</v>
      </c>
      <c r="D237">
        <v>8048</v>
      </c>
      <c r="E237">
        <v>8123</v>
      </c>
      <c r="F237">
        <v>8</v>
      </c>
      <c r="G237">
        <v>6.4</v>
      </c>
      <c r="H237">
        <v>1.25</v>
      </c>
      <c r="I237">
        <v>-0.24999999000000001</v>
      </c>
      <c r="J237">
        <v>0.44444447999999998</v>
      </c>
    </row>
    <row r="238" spans="1:10" x14ac:dyDescent="0.3">
      <c r="A238">
        <v>236</v>
      </c>
      <c r="B238">
        <v>3769</v>
      </c>
      <c r="C238" t="b">
        <v>1</v>
      </c>
      <c r="D238">
        <v>8048</v>
      </c>
      <c r="E238">
        <v>8117</v>
      </c>
      <c r="F238">
        <v>8</v>
      </c>
      <c r="G238">
        <v>6.4</v>
      </c>
      <c r="H238">
        <v>1.25</v>
      </c>
      <c r="I238">
        <v>-0.24999999000000001</v>
      </c>
      <c r="J238">
        <v>0.44444447999999998</v>
      </c>
    </row>
    <row r="239" spans="1:10" x14ac:dyDescent="0.3">
      <c r="A239">
        <v>237</v>
      </c>
      <c r="B239">
        <v>3785</v>
      </c>
      <c r="C239" t="b">
        <v>1</v>
      </c>
      <c r="D239">
        <v>8048</v>
      </c>
      <c r="E239">
        <v>8123</v>
      </c>
      <c r="F239">
        <v>8</v>
      </c>
      <c r="G239">
        <v>6.4</v>
      </c>
      <c r="H239">
        <v>1.25</v>
      </c>
      <c r="I239">
        <v>-0.24999999000000001</v>
      </c>
      <c r="J239">
        <v>0.44444447999999998</v>
      </c>
    </row>
    <row r="240" spans="1:10" x14ac:dyDescent="0.3">
      <c r="A240">
        <v>238</v>
      </c>
      <c r="B240">
        <v>3801</v>
      </c>
      <c r="C240" t="b">
        <v>1</v>
      </c>
      <c r="D240">
        <v>8048</v>
      </c>
      <c r="E240">
        <v>8123</v>
      </c>
      <c r="F240">
        <v>8</v>
      </c>
      <c r="G240">
        <v>6.4</v>
      </c>
      <c r="H240">
        <v>1.25</v>
      </c>
      <c r="I240">
        <v>-0.24999999000000001</v>
      </c>
      <c r="J240">
        <v>0.44444447999999998</v>
      </c>
    </row>
    <row r="241" spans="1:10" x14ac:dyDescent="0.3">
      <c r="A241">
        <v>239</v>
      </c>
      <c r="B241">
        <v>3817</v>
      </c>
      <c r="C241" t="b">
        <v>1</v>
      </c>
      <c r="D241">
        <v>8048</v>
      </c>
      <c r="E241">
        <v>8123</v>
      </c>
      <c r="F241">
        <v>8</v>
      </c>
      <c r="G241">
        <v>6.8</v>
      </c>
      <c r="H241">
        <v>1.1764705</v>
      </c>
      <c r="I241">
        <v>-0.17647055</v>
      </c>
      <c r="J241">
        <v>0.45945944999999999</v>
      </c>
    </row>
    <row r="242" spans="1:10" x14ac:dyDescent="0.3">
      <c r="A242">
        <v>240</v>
      </c>
      <c r="B242">
        <v>3833</v>
      </c>
      <c r="C242" t="b">
        <v>1</v>
      </c>
      <c r="D242">
        <v>8048</v>
      </c>
      <c r="E242">
        <v>8117</v>
      </c>
      <c r="F242">
        <v>8</v>
      </c>
      <c r="G242">
        <v>7.2</v>
      </c>
      <c r="H242">
        <v>1.1111112000000001</v>
      </c>
      <c r="I242">
        <v>-0.11111114</v>
      </c>
      <c r="J242">
        <v>0.4736842</v>
      </c>
    </row>
    <row r="243" spans="1:10" x14ac:dyDescent="0.3">
      <c r="A243">
        <v>241</v>
      </c>
      <c r="B243">
        <v>3849</v>
      </c>
      <c r="C243" t="b">
        <v>1</v>
      </c>
      <c r="D243">
        <v>8048</v>
      </c>
      <c r="E243">
        <v>8123</v>
      </c>
      <c r="F243">
        <v>8</v>
      </c>
      <c r="G243">
        <v>7.6</v>
      </c>
      <c r="H243">
        <v>1.0526316</v>
      </c>
      <c r="I243">
        <v>-5.2631589999999999E-2</v>
      </c>
      <c r="J243">
        <v>0.48717946000000001</v>
      </c>
    </row>
    <row r="244" spans="1:10" x14ac:dyDescent="0.3">
      <c r="A244">
        <v>242</v>
      </c>
      <c r="B244">
        <v>3865</v>
      </c>
      <c r="C244" t="b">
        <v>1</v>
      </c>
      <c r="D244">
        <v>8048</v>
      </c>
      <c r="E244">
        <v>8123</v>
      </c>
      <c r="F244">
        <v>8</v>
      </c>
      <c r="G244">
        <v>8</v>
      </c>
      <c r="H244">
        <v>1</v>
      </c>
      <c r="I244">
        <v>0</v>
      </c>
      <c r="J244">
        <v>0.5</v>
      </c>
    </row>
    <row r="245" spans="1:10" x14ac:dyDescent="0.3">
      <c r="A245">
        <v>243</v>
      </c>
      <c r="B245">
        <v>3881</v>
      </c>
      <c r="C245" t="b">
        <v>1</v>
      </c>
      <c r="D245">
        <v>8054</v>
      </c>
      <c r="E245">
        <v>8123</v>
      </c>
      <c r="F245">
        <v>8</v>
      </c>
      <c r="G245">
        <v>8</v>
      </c>
      <c r="H245">
        <v>1</v>
      </c>
      <c r="I245">
        <v>0</v>
      </c>
      <c r="J245">
        <v>0.5</v>
      </c>
    </row>
    <row r="246" spans="1:10" x14ac:dyDescent="0.3">
      <c r="A246">
        <v>244</v>
      </c>
      <c r="B246">
        <v>3897</v>
      </c>
      <c r="C246" t="b">
        <v>1</v>
      </c>
      <c r="D246">
        <v>8054</v>
      </c>
      <c r="E246">
        <v>8123</v>
      </c>
      <c r="F246">
        <v>8</v>
      </c>
      <c r="G246">
        <v>8</v>
      </c>
      <c r="H246">
        <v>1</v>
      </c>
      <c r="I246">
        <v>0</v>
      </c>
      <c r="J246">
        <v>0.5</v>
      </c>
    </row>
    <row r="247" spans="1:10" x14ac:dyDescent="0.3">
      <c r="A247">
        <v>245</v>
      </c>
      <c r="B247">
        <v>3913</v>
      </c>
      <c r="C247" t="b">
        <v>1</v>
      </c>
      <c r="D247">
        <v>8048</v>
      </c>
      <c r="E247">
        <v>8123</v>
      </c>
      <c r="F247">
        <v>8</v>
      </c>
      <c r="G247">
        <v>8</v>
      </c>
      <c r="H247">
        <v>1</v>
      </c>
      <c r="I247">
        <v>0</v>
      </c>
      <c r="J247">
        <v>0.5</v>
      </c>
    </row>
    <row r="248" spans="1:10" x14ac:dyDescent="0.3">
      <c r="A248">
        <v>246</v>
      </c>
      <c r="B248">
        <v>3929</v>
      </c>
      <c r="C248" t="b">
        <v>1</v>
      </c>
      <c r="D248">
        <v>8048</v>
      </c>
      <c r="E248">
        <v>8123</v>
      </c>
      <c r="F248">
        <v>8</v>
      </c>
      <c r="G248">
        <v>8</v>
      </c>
      <c r="H248">
        <v>1</v>
      </c>
      <c r="I248">
        <v>0</v>
      </c>
      <c r="J248">
        <v>0.5</v>
      </c>
    </row>
    <row r="249" spans="1:10" x14ac:dyDescent="0.3">
      <c r="A249">
        <v>247</v>
      </c>
      <c r="B249">
        <v>3944</v>
      </c>
      <c r="C249" t="b">
        <v>1</v>
      </c>
      <c r="D249">
        <v>8048</v>
      </c>
      <c r="E249">
        <v>8123</v>
      </c>
      <c r="F249">
        <v>8</v>
      </c>
      <c r="G249">
        <v>8</v>
      </c>
      <c r="H249">
        <v>1</v>
      </c>
      <c r="I249">
        <v>0</v>
      </c>
      <c r="J249">
        <v>0.5</v>
      </c>
    </row>
    <row r="250" spans="1:10" x14ac:dyDescent="0.3">
      <c r="A250">
        <v>248</v>
      </c>
      <c r="B250">
        <v>3960</v>
      </c>
      <c r="C250" t="b">
        <v>1</v>
      </c>
      <c r="D250">
        <v>8054</v>
      </c>
      <c r="E250">
        <v>8123</v>
      </c>
      <c r="F250">
        <v>8</v>
      </c>
      <c r="G250">
        <v>8</v>
      </c>
      <c r="H250">
        <v>1</v>
      </c>
      <c r="I250">
        <v>0</v>
      </c>
      <c r="J250">
        <v>0.5</v>
      </c>
    </row>
    <row r="251" spans="1:10" x14ac:dyDescent="0.3">
      <c r="A251">
        <v>249</v>
      </c>
      <c r="B251">
        <v>3976</v>
      </c>
      <c r="C251" t="b">
        <v>1</v>
      </c>
      <c r="D251">
        <v>8048</v>
      </c>
      <c r="E251">
        <v>8123</v>
      </c>
      <c r="F251">
        <v>8</v>
      </c>
      <c r="G251">
        <v>8</v>
      </c>
      <c r="H251">
        <v>1</v>
      </c>
      <c r="I251">
        <v>0</v>
      </c>
      <c r="J251">
        <v>0.5</v>
      </c>
    </row>
    <row r="252" spans="1:10" x14ac:dyDescent="0.3">
      <c r="A252">
        <v>250</v>
      </c>
      <c r="B252">
        <v>3992</v>
      </c>
      <c r="C252" t="b">
        <v>1</v>
      </c>
      <c r="D252">
        <v>8048</v>
      </c>
      <c r="E252">
        <v>8123</v>
      </c>
      <c r="F252">
        <v>8</v>
      </c>
      <c r="G252">
        <v>8</v>
      </c>
      <c r="H252">
        <v>1</v>
      </c>
      <c r="I252">
        <v>0</v>
      </c>
      <c r="J252">
        <v>0.5</v>
      </c>
    </row>
    <row r="253" spans="1:10" x14ac:dyDescent="0.3">
      <c r="A253">
        <v>251</v>
      </c>
      <c r="B253">
        <v>4008</v>
      </c>
      <c r="C253" t="b">
        <v>1</v>
      </c>
      <c r="D253">
        <v>8048</v>
      </c>
      <c r="E253">
        <v>8123</v>
      </c>
      <c r="F253">
        <v>8</v>
      </c>
      <c r="G253">
        <v>8</v>
      </c>
      <c r="H253">
        <v>1</v>
      </c>
      <c r="I253">
        <v>0</v>
      </c>
      <c r="J253">
        <v>0.5</v>
      </c>
    </row>
    <row r="254" spans="1:10" x14ac:dyDescent="0.3">
      <c r="A254">
        <v>252</v>
      </c>
      <c r="B254">
        <v>4023</v>
      </c>
      <c r="C254" t="b">
        <v>1</v>
      </c>
      <c r="D254">
        <v>8048</v>
      </c>
      <c r="E254">
        <v>8117</v>
      </c>
      <c r="F254">
        <v>8</v>
      </c>
      <c r="G254">
        <v>8</v>
      </c>
      <c r="H254">
        <v>1</v>
      </c>
      <c r="I254">
        <v>0</v>
      </c>
      <c r="J254">
        <v>0.5</v>
      </c>
    </row>
    <row r="255" spans="1:10" x14ac:dyDescent="0.3">
      <c r="A255">
        <v>253</v>
      </c>
      <c r="B255">
        <v>4039</v>
      </c>
      <c r="C255" t="b">
        <v>1</v>
      </c>
      <c r="D255">
        <v>8042</v>
      </c>
      <c r="E255">
        <v>8123</v>
      </c>
      <c r="F255">
        <v>8</v>
      </c>
      <c r="G255">
        <v>8</v>
      </c>
      <c r="H255">
        <v>1</v>
      </c>
      <c r="I255">
        <v>0</v>
      </c>
      <c r="J255">
        <v>0.5</v>
      </c>
    </row>
    <row r="256" spans="1:10" x14ac:dyDescent="0.3">
      <c r="A256">
        <v>254</v>
      </c>
      <c r="B256">
        <v>4055</v>
      </c>
      <c r="C256" t="b">
        <v>1</v>
      </c>
      <c r="D256">
        <v>8042</v>
      </c>
      <c r="E256">
        <v>8123</v>
      </c>
      <c r="F256">
        <v>8</v>
      </c>
      <c r="G256">
        <v>8</v>
      </c>
      <c r="H256">
        <v>1</v>
      </c>
      <c r="I256">
        <v>0</v>
      </c>
      <c r="J256">
        <v>0.5</v>
      </c>
    </row>
    <row r="257" spans="1:10" x14ac:dyDescent="0.3">
      <c r="A257">
        <v>255</v>
      </c>
      <c r="B257">
        <v>4071</v>
      </c>
      <c r="C257" t="b">
        <v>1</v>
      </c>
      <c r="D257">
        <v>8042</v>
      </c>
      <c r="E257">
        <v>8123</v>
      </c>
      <c r="F257">
        <v>7.6</v>
      </c>
      <c r="G257">
        <v>8</v>
      </c>
      <c r="H257">
        <v>0.95</v>
      </c>
      <c r="I257">
        <v>5.0000012000000003E-2</v>
      </c>
      <c r="J257">
        <v>0.51282050000000001</v>
      </c>
    </row>
    <row r="258" spans="1:10" x14ac:dyDescent="0.3">
      <c r="A258">
        <v>256</v>
      </c>
      <c r="B258">
        <v>4087</v>
      </c>
      <c r="C258" t="b">
        <v>1</v>
      </c>
      <c r="D258">
        <v>8042</v>
      </c>
      <c r="E258">
        <v>8117</v>
      </c>
      <c r="F258">
        <v>7.2</v>
      </c>
      <c r="G258">
        <v>8</v>
      </c>
      <c r="H258">
        <v>0.9</v>
      </c>
      <c r="I258">
        <v>0.10000002400000001</v>
      </c>
      <c r="J258">
        <v>0.5263158</v>
      </c>
    </row>
    <row r="259" spans="1:10" x14ac:dyDescent="0.3">
      <c r="A259">
        <v>257</v>
      </c>
      <c r="B259">
        <v>4103</v>
      </c>
      <c r="C259" t="b">
        <v>1</v>
      </c>
      <c r="D259">
        <v>8037</v>
      </c>
      <c r="E259">
        <v>8123</v>
      </c>
      <c r="F259">
        <v>6.8</v>
      </c>
      <c r="G259">
        <v>8</v>
      </c>
      <c r="H259">
        <v>0.85</v>
      </c>
      <c r="I259">
        <v>0.14999998</v>
      </c>
      <c r="J259">
        <v>0.54054049999999998</v>
      </c>
    </row>
    <row r="260" spans="1:10" x14ac:dyDescent="0.3">
      <c r="A260">
        <v>258</v>
      </c>
      <c r="B260">
        <v>4119</v>
      </c>
      <c r="C260" t="b">
        <v>1</v>
      </c>
      <c r="D260">
        <v>8042</v>
      </c>
      <c r="E260">
        <v>8123</v>
      </c>
      <c r="F260">
        <v>6.4</v>
      </c>
      <c r="G260">
        <v>8</v>
      </c>
      <c r="H260">
        <v>0.8</v>
      </c>
      <c r="I260">
        <v>0.19999998999999999</v>
      </c>
      <c r="J260">
        <v>0.55555560000000004</v>
      </c>
    </row>
    <row r="261" spans="1:10" x14ac:dyDescent="0.3">
      <c r="A261">
        <v>259</v>
      </c>
      <c r="B261">
        <v>4135</v>
      </c>
      <c r="C261" t="b">
        <v>1</v>
      </c>
      <c r="D261">
        <v>8042</v>
      </c>
      <c r="E261">
        <v>8123</v>
      </c>
      <c r="F261">
        <v>6</v>
      </c>
      <c r="G261">
        <v>8</v>
      </c>
      <c r="H261">
        <v>0.75</v>
      </c>
      <c r="I261">
        <v>0.25</v>
      </c>
      <c r="J261">
        <v>0.57142859999999995</v>
      </c>
    </row>
    <row r="262" spans="1:10" x14ac:dyDescent="0.3">
      <c r="A262">
        <v>260</v>
      </c>
      <c r="B262">
        <v>4151</v>
      </c>
      <c r="C262" t="b">
        <v>1</v>
      </c>
      <c r="D262">
        <v>8048</v>
      </c>
      <c r="E262">
        <v>8117</v>
      </c>
      <c r="F262">
        <v>5.6</v>
      </c>
      <c r="G262">
        <v>8</v>
      </c>
      <c r="H262">
        <v>0.7</v>
      </c>
      <c r="I262">
        <v>0.3</v>
      </c>
      <c r="J262">
        <v>0.58823526000000004</v>
      </c>
    </row>
    <row r="263" spans="1:10" x14ac:dyDescent="0.3">
      <c r="A263">
        <v>261</v>
      </c>
      <c r="B263">
        <v>4167</v>
      </c>
      <c r="C263" t="b">
        <v>1</v>
      </c>
      <c r="D263">
        <v>8054</v>
      </c>
      <c r="E263">
        <v>8123</v>
      </c>
      <c r="F263">
        <v>5.2</v>
      </c>
      <c r="G263">
        <v>8</v>
      </c>
      <c r="H263">
        <v>0.65</v>
      </c>
      <c r="I263">
        <v>0.35000002000000002</v>
      </c>
      <c r="J263">
        <v>0.60606059999999995</v>
      </c>
    </row>
    <row r="264" spans="1:10" x14ac:dyDescent="0.3">
      <c r="A264">
        <v>262</v>
      </c>
      <c r="B264">
        <v>4183</v>
      </c>
      <c r="C264" t="b">
        <v>1</v>
      </c>
      <c r="D264">
        <v>8048</v>
      </c>
      <c r="E264">
        <v>8117</v>
      </c>
      <c r="F264">
        <v>5.2</v>
      </c>
      <c r="G264">
        <v>8</v>
      </c>
      <c r="H264">
        <v>0.65</v>
      </c>
      <c r="I264">
        <v>0.35000002000000002</v>
      </c>
      <c r="J264">
        <v>0.60606059999999995</v>
      </c>
    </row>
    <row r="265" spans="1:10" x14ac:dyDescent="0.3">
      <c r="A265">
        <v>263</v>
      </c>
      <c r="B265">
        <v>4199</v>
      </c>
      <c r="C265" t="b">
        <v>1</v>
      </c>
      <c r="D265">
        <v>8054</v>
      </c>
      <c r="E265">
        <v>8123</v>
      </c>
      <c r="F265">
        <v>5.2</v>
      </c>
      <c r="G265">
        <v>8</v>
      </c>
      <c r="H265">
        <v>0.65</v>
      </c>
      <c r="I265">
        <v>0.35000002000000002</v>
      </c>
      <c r="J265">
        <v>0.60606059999999995</v>
      </c>
    </row>
    <row r="266" spans="1:10" x14ac:dyDescent="0.3">
      <c r="A266">
        <v>264</v>
      </c>
      <c r="B266">
        <v>4215</v>
      </c>
      <c r="C266" t="b">
        <v>1</v>
      </c>
      <c r="D266">
        <v>8048</v>
      </c>
      <c r="E266">
        <v>8123</v>
      </c>
      <c r="F266">
        <v>5.2</v>
      </c>
      <c r="G266">
        <v>8</v>
      </c>
      <c r="H266">
        <v>0.65</v>
      </c>
      <c r="I266">
        <v>0.35000002000000002</v>
      </c>
      <c r="J266">
        <v>0.60606059999999995</v>
      </c>
    </row>
    <row r="267" spans="1:10" x14ac:dyDescent="0.3">
      <c r="A267">
        <v>265</v>
      </c>
      <c r="B267">
        <v>4231</v>
      </c>
      <c r="C267" t="b">
        <v>1</v>
      </c>
      <c r="D267">
        <v>8054</v>
      </c>
      <c r="E267">
        <v>8117</v>
      </c>
      <c r="F267">
        <v>5.6</v>
      </c>
      <c r="G267">
        <v>8</v>
      </c>
      <c r="H267">
        <v>0.7</v>
      </c>
      <c r="I267">
        <v>0.3</v>
      </c>
      <c r="J267">
        <v>0.58823526000000004</v>
      </c>
    </row>
    <row r="268" spans="1:10" x14ac:dyDescent="0.3">
      <c r="A268">
        <v>266</v>
      </c>
      <c r="B268">
        <v>4247</v>
      </c>
      <c r="C268" t="b">
        <v>1</v>
      </c>
      <c r="D268">
        <v>8054</v>
      </c>
      <c r="E268">
        <v>8123</v>
      </c>
      <c r="F268">
        <v>6</v>
      </c>
      <c r="G268">
        <v>8</v>
      </c>
      <c r="H268">
        <v>0.75</v>
      </c>
      <c r="I268">
        <v>0.25</v>
      </c>
      <c r="J268">
        <v>0.57142859999999995</v>
      </c>
    </row>
    <row r="269" spans="1:10" x14ac:dyDescent="0.3">
      <c r="A269">
        <v>267</v>
      </c>
      <c r="B269">
        <v>4263</v>
      </c>
      <c r="C269" t="b">
        <v>1</v>
      </c>
      <c r="D269">
        <v>8048</v>
      </c>
      <c r="E269">
        <v>8123</v>
      </c>
      <c r="F269">
        <v>6.4</v>
      </c>
      <c r="G269">
        <v>8</v>
      </c>
      <c r="H269">
        <v>0.8</v>
      </c>
      <c r="I269">
        <v>0.19999998999999999</v>
      </c>
      <c r="J269">
        <v>0.55555560000000004</v>
      </c>
    </row>
    <row r="270" spans="1:10" x14ac:dyDescent="0.3">
      <c r="A270">
        <v>268</v>
      </c>
      <c r="B270">
        <v>4278</v>
      </c>
      <c r="C270" t="b">
        <v>1</v>
      </c>
      <c r="D270">
        <v>8048</v>
      </c>
      <c r="E270">
        <v>8123</v>
      </c>
      <c r="F270">
        <v>6.4</v>
      </c>
      <c r="G270">
        <v>8</v>
      </c>
      <c r="H270">
        <v>0.8</v>
      </c>
      <c r="I270">
        <v>0.19999998999999999</v>
      </c>
      <c r="J270">
        <v>0.55555560000000004</v>
      </c>
    </row>
    <row r="271" spans="1:10" x14ac:dyDescent="0.3">
      <c r="A271">
        <v>269</v>
      </c>
      <c r="B271">
        <v>4294</v>
      </c>
      <c r="C271" t="b">
        <v>1</v>
      </c>
      <c r="D271">
        <v>8048</v>
      </c>
      <c r="E271">
        <v>8123</v>
      </c>
      <c r="F271">
        <v>6.4</v>
      </c>
      <c r="G271">
        <v>8</v>
      </c>
      <c r="H271">
        <v>0.8</v>
      </c>
      <c r="I271">
        <v>0.19999998999999999</v>
      </c>
      <c r="J271">
        <v>0.55555560000000004</v>
      </c>
    </row>
    <row r="272" spans="1:10" x14ac:dyDescent="0.3">
      <c r="A272">
        <v>270</v>
      </c>
      <c r="B272">
        <v>4310</v>
      </c>
      <c r="C272" t="b">
        <v>1</v>
      </c>
      <c r="D272">
        <v>8048</v>
      </c>
      <c r="E272">
        <v>8123</v>
      </c>
      <c r="F272">
        <v>6.8</v>
      </c>
      <c r="G272">
        <v>8</v>
      </c>
      <c r="H272">
        <v>0.85</v>
      </c>
      <c r="I272">
        <v>0.14999998</v>
      </c>
      <c r="J272">
        <v>0.54054049999999998</v>
      </c>
    </row>
    <row r="273" spans="1:10" x14ac:dyDescent="0.3">
      <c r="A273">
        <v>271</v>
      </c>
      <c r="B273">
        <v>4326</v>
      </c>
      <c r="C273" t="b">
        <v>1</v>
      </c>
      <c r="D273">
        <v>8048</v>
      </c>
      <c r="E273">
        <v>8123</v>
      </c>
      <c r="F273">
        <v>7.2</v>
      </c>
      <c r="G273">
        <v>8</v>
      </c>
      <c r="H273">
        <v>0.9</v>
      </c>
      <c r="I273">
        <v>0.10000002400000001</v>
      </c>
      <c r="J273">
        <v>0.5263158</v>
      </c>
    </row>
    <row r="274" spans="1:10" x14ac:dyDescent="0.3">
      <c r="A274">
        <v>272</v>
      </c>
      <c r="B274">
        <v>4341</v>
      </c>
      <c r="C274" t="b">
        <v>1</v>
      </c>
      <c r="D274">
        <v>8048</v>
      </c>
      <c r="E274">
        <v>8123</v>
      </c>
      <c r="F274">
        <v>7.6</v>
      </c>
      <c r="G274">
        <v>8</v>
      </c>
      <c r="H274">
        <v>0.95</v>
      </c>
      <c r="I274">
        <v>5.0000012000000003E-2</v>
      </c>
      <c r="J274">
        <v>0.51282050000000001</v>
      </c>
    </row>
    <row r="275" spans="1:10" x14ac:dyDescent="0.3">
      <c r="A275">
        <v>273</v>
      </c>
      <c r="B275">
        <v>4357</v>
      </c>
      <c r="C275" t="b">
        <v>1</v>
      </c>
      <c r="D275">
        <v>8048</v>
      </c>
      <c r="E275">
        <v>8117</v>
      </c>
      <c r="F275">
        <v>8</v>
      </c>
      <c r="G275">
        <v>8</v>
      </c>
      <c r="H275">
        <v>1</v>
      </c>
      <c r="I275">
        <v>0</v>
      </c>
      <c r="J275">
        <v>0.5</v>
      </c>
    </row>
    <row r="276" spans="1:10" x14ac:dyDescent="0.3">
      <c r="A276">
        <v>274</v>
      </c>
      <c r="B276">
        <v>4373</v>
      </c>
      <c r="C276" t="b">
        <v>1</v>
      </c>
      <c r="D276">
        <v>8054</v>
      </c>
      <c r="E276">
        <v>8117</v>
      </c>
      <c r="F276">
        <v>8.4</v>
      </c>
      <c r="G276">
        <v>8</v>
      </c>
      <c r="H276">
        <v>1.05</v>
      </c>
      <c r="I276">
        <v>-4.9999952E-2</v>
      </c>
      <c r="J276">
        <v>0.48780489999999999</v>
      </c>
    </row>
    <row r="277" spans="1:10" x14ac:dyDescent="0.3">
      <c r="A277">
        <v>275</v>
      </c>
      <c r="B277">
        <v>4389</v>
      </c>
      <c r="C277" t="b">
        <v>1</v>
      </c>
      <c r="D277">
        <v>8048</v>
      </c>
      <c r="E277">
        <v>8123</v>
      </c>
      <c r="F277">
        <v>8.8000000000000007</v>
      </c>
      <c r="G277">
        <v>8</v>
      </c>
      <c r="H277">
        <v>1.1000000000000001</v>
      </c>
      <c r="I277">
        <v>-0.10000002400000001</v>
      </c>
      <c r="J277">
        <v>0.47619050000000002</v>
      </c>
    </row>
    <row r="278" spans="1:10" x14ac:dyDescent="0.3">
      <c r="A278">
        <v>276</v>
      </c>
      <c r="B278">
        <v>4405</v>
      </c>
      <c r="C278" t="b">
        <v>1</v>
      </c>
      <c r="D278">
        <v>8048</v>
      </c>
      <c r="E278">
        <v>8123</v>
      </c>
      <c r="F278">
        <v>9.1999999999999993</v>
      </c>
      <c r="G278">
        <v>8</v>
      </c>
      <c r="H278">
        <v>1.1499999999999999</v>
      </c>
      <c r="I278">
        <v>-0.14999998</v>
      </c>
      <c r="J278">
        <v>0.46511626</v>
      </c>
    </row>
    <row r="279" spans="1:10" x14ac:dyDescent="0.3">
      <c r="A279">
        <v>277</v>
      </c>
      <c r="B279">
        <v>4420</v>
      </c>
      <c r="C279" t="b">
        <v>1</v>
      </c>
      <c r="D279">
        <v>8048</v>
      </c>
      <c r="E279">
        <v>8117</v>
      </c>
      <c r="F279">
        <v>9.1999999999999993</v>
      </c>
      <c r="G279">
        <v>7.6</v>
      </c>
      <c r="H279">
        <v>1.2105262999999999</v>
      </c>
      <c r="I279">
        <v>-0.2105263</v>
      </c>
      <c r="J279">
        <v>0.45238096</v>
      </c>
    </row>
    <row r="280" spans="1:10" x14ac:dyDescent="0.3">
      <c r="A280">
        <v>278</v>
      </c>
      <c r="B280">
        <v>4436</v>
      </c>
      <c r="C280" t="b">
        <v>1</v>
      </c>
      <c r="D280">
        <v>8048</v>
      </c>
      <c r="E280">
        <v>8123</v>
      </c>
      <c r="F280">
        <v>9.1999999999999993</v>
      </c>
      <c r="G280">
        <v>7.6</v>
      </c>
      <c r="H280">
        <v>1.2105262999999999</v>
      </c>
      <c r="I280">
        <v>-0.2105263</v>
      </c>
      <c r="J280">
        <v>0.45238096</v>
      </c>
    </row>
    <row r="281" spans="1:10" x14ac:dyDescent="0.3">
      <c r="A281">
        <v>279</v>
      </c>
      <c r="B281">
        <v>4452</v>
      </c>
      <c r="C281" t="b">
        <v>1</v>
      </c>
      <c r="D281">
        <v>8048</v>
      </c>
      <c r="E281">
        <v>8123</v>
      </c>
      <c r="F281">
        <v>9.1999999999999993</v>
      </c>
      <c r="G281">
        <v>7.6</v>
      </c>
      <c r="H281">
        <v>1.2105262999999999</v>
      </c>
      <c r="I281">
        <v>-0.2105263</v>
      </c>
      <c r="J281">
        <v>0.45238096</v>
      </c>
    </row>
    <row r="282" spans="1:10" x14ac:dyDescent="0.3">
      <c r="A282">
        <v>280</v>
      </c>
      <c r="B282">
        <v>4468</v>
      </c>
      <c r="C282" t="b">
        <v>1</v>
      </c>
      <c r="D282">
        <v>8048</v>
      </c>
      <c r="E282">
        <v>8123</v>
      </c>
      <c r="F282">
        <v>8.8000000000000007</v>
      </c>
      <c r="G282">
        <v>7.6</v>
      </c>
      <c r="H282">
        <v>1.1578946999999999</v>
      </c>
      <c r="I282">
        <v>-0.15789478000000001</v>
      </c>
      <c r="J282">
        <v>0.46341463999999999</v>
      </c>
    </row>
    <row r="283" spans="1:10" x14ac:dyDescent="0.3">
      <c r="A283">
        <v>281</v>
      </c>
      <c r="B283">
        <v>4484</v>
      </c>
      <c r="C283" t="b">
        <v>1</v>
      </c>
      <c r="D283">
        <v>8048</v>
      </c>
      <c r="E283">
        <v>8123</v>
      </c>
      <c r="F283">
        <v>8.4</v>
      </c>
      <c r="G283">
        <v>7.6</v>
      </c>
      <c r="H283">
        <v>1.1052630999999999</v>
      </c>
      <c r="I283">
        <v>-0.10526312</v>
      </c>
      <c r="J283">
        <v>0.47499999999999998</v>
      </c>
    </row>
    <row r="284" spans="1:10" x14ac:dyDescent="0.3">
      <c r="A284">
        <v>282</v>
      </c>
      <c r="B284">
        <v>4500</v>
      </c>
      <c r="C284" t="b">
        <v>1</v>
      </c>
      <c r="D284">
        <v>8048</v>
      </c>
      <c r="E284">
        <v>8123</v>
      </c>
      <c r="F284">
        <v>8</v>
      </c>
      <c r="G284">
        <v>7.6</v>
      </c>
      <c r="H284">
        <v>1.0526316</v>
      </c>
      <c r="I284">
        <v>-5.2631589999999999E-2</v>
      </c>
      <c r="J284">
        <v>0.48717946000000001</v>
      </c>
    </row>
    <row r="285" spans="1:10" x14ac:dyDescent="0.3">
      <c r="A285">
        <v>283</v>
      </c>
      <c r="B285">
        <v>4516</v>
      </c>
      <c r="C285" t="b">
        <v>1</v>
      </c>
      <c r="D285">
        <v>8048</v>
      </c>
      <c r="E285">
        <v>8123</v>
      </c>
      <c r="F285">
        <v>8</v>
      </c>
      <c r="G285">
        <v>7.6</v>
      </c>
      <c r="H285">
        <v>1.0526316</v>
      </c>
      <c r="I285">
        <v>-5.2631589999999999E-2</v>
      </c>
      <c r="J285">
        <v>0.48717946000000001</v>
      </c>
    </row>
    <row r="286" spans="1:10" x14ac:dyDescent="0.3">
      <c r="A286">
        <v>284</v>
      </c>
      <c r="B286">
        <v>4532</v>
      </c>
      <c r="C286" t="b">
        <v>1</v>
      </c>
      <c r="D286">
        <v>8054</v>
      </c>
      <c r="E286">
        <v>8117</v>
      </c>
      <c r="F286">
        <v>8</v>
      </c>
      <c r="G286">
        <v>7.6</v>
      </c>
      <c r="H286">
        <v>1.0526316</v>
      </c>
      <c r="I286">
        <v>-5.2631589999999999E-2</v>
      </c>
      <c r="J286">
        <v>0.48717946000000001</v>
      </c>
    </row>
    <row r="287" spans="1:10" x14ac:dyDescent="0.3">
      <c r="A287">
        <v>285</v>
      </c>
      <c r="B287">
        <v>4548</v>
      </c>
      <c r="C287" t="b">
        <v>1</v>
      </c>
      <c r="D287">
        <v>8054</v>
      </c>
      <c r="E287">
        <v>8123</v>
      </c>
      <c r="F287">
        <v>8</v>
      </c>
      <c r="G287">
        <v>7.6</v>
      </c>
      <c r="H287">
        <v>1.0526316</v>
      </c>
      <c r="I287">
        <v>-5.2631589999999999E-2</v>
      </c>
      <c r="J287">
        <v>0.48717946000000001</v>
      </c>
    </row>
    <row r="288" spans="1:10" x14ac:dyDescent="0.3">
      <c r="A288">
        <v>286</v>
      </c>
      <c r="B288">
        <v>4565</v>
      </c>
      <c r="C288" t="b">
        <v>1</v>
      </c>
      <c r="D288">
        <v>8048</v>
      </c>
      <c r="E288">
        <v>8123</v>
      </c>
      <c r="F288">
        <v>8</v>
      </c>
      <c r="G288">
        <v>7.6</v>
      </c>
      <c r="H288">
        <v>1.0526316</v>
      </c>
      <c r="I288">
        <v>-5.2631589999999999E-2</v>
      </c>
      <c r="J288">
        <v>0.48717946000000001</v>
      </c>
    </row>
    <row r="289" spans="1:10" x14ac:dyDescent="0.3">
      <c r="A289">
        <v>287</v>
      </c>
      <c r="B289">
        <v>4581</v>
      </c>
      <c r="C289" t="b">
        <v>1</v>
      </c>
      <c r="D289">
        <v>8048</v>
      </c>
      <c r="E289">
        <v>8123</v>
      </c>
      <c r="F289">
        <v>8</v>
      </c>
      <c r="G289">
        <v>7.6</v>
      </c>
      <c r="H289">
        <v>1.0526316</v>
      </c>
      <c r="I289">
        <v>-5.2631589999999999E-2</v>
      </c>
      <c r="J289">
        <v>0.48717946000000001</v>
      </c>
    </row>
    <row r="290" spans="1:10" x14ac:dyDescent="0.3">
      <c r="A290">
        <v>288</v>
      </c>
      <c r="B290">
        <v>4597</v>
      </c>
      <c r="C290" t="b">
        <v>1</v>
      </c>
      <c r="D290">
        <v>8054</v>
      </c>
      <c r="E290">
        <v>8123</v>
      </c>
      <c r="F290">
        <v>8.4</v>
      </c>
      <c r="G290">
        <v>7.6</v>
      </c>
      <c r="H290">
        <v>1.1052630999999999</v>
      </c>
      <c r="I290">
        <v>-0.10526312</v>
      </c>
      <c r="J290">
        <v>0.47499999999999998</v>
      </c>
    </row>
    <row r="291" spans="1:10" x14ac:dyDescent="0.3">
      <c r="A291">
        <v>289</v>
      </c>
      <c r="B291">
        <v>4613</v>
      </c>
      <c r="C291" t="b">
        <v>1</v>
      </c>
      <c r="D291">
        <v>8048</v>
      </c>
      <c r="E291">
        <v>8123</v>
      </c>
      <c r="F291">
        <v>8.4</v>
      </c>
      <c r="G291">
        <v>7.6</v>
      </c>
      <c r="H291">
        <v>1.1052630999999999</v>
      </c>
      <c r="I291">
        <v>-0.10526312</v>
      </c>
      <c r="J291">
        <v>0.47499999999999998</v>
      </c>
    </row>
    <row r="292" spans="1:10" x14ac:dyDescent="0.3">
      <c r="A292">
        <v>290</v>
      </c>
      <c r="B292">
        <v>4628</v>
      </c>
      <c r="C292" t="b">
        <v>1</v>
      </c>
      <c r="D292">
        <v>8048</v>
      </c>
      <c r="E292">
        <v>8123</v>
      </c>
      <c r="F292">
        <v>8.4</v>
      </c>
      <c r="G292">
        <v>7.6</v>
      </c>
      <c r="H292">
        <v>1.1052630999999999</v>
      </c>
      <c r="I292">
        <v>-0.10526312</v>
      </c>
      <c r="J292">
        <v>0.47499999999999998</v>
      </c>
    </row>
    <row r="293" spans="1:10" x14ac:dyDescent="0.3">
      <c r="A293">
        <v>291</v>
      </c>
      <c r="B293">
        <v>4644</v>
      </c>
      <c r="C293" t="b">
        <v>1</v>
      </c>
      <c r="D293">
        <v>8054</v>
      </c>
      <c r="E293">
        <v>8117</v>
      </c>
      <c r="F293">
        <v>8.4</v>
      </c>
      <c r="G293">
        <v>7.6</v>
      </c>
      <c r="H293">
        <v>1.1052630999999999</v>
      </c>
      <c r="I293">
        <v>-0.10526312</v>
      </c>
      <c r="J293">
        <v>0.47499999999999998</v>
      </c>
    </row>
    <row r="294" spans="1:10" x14ac:dyDescent="0.3">
      <c r="A294">
        <v>292</v>
      </c>
      <c r="B294">
        <v>4660</v>
      </c>
      <c r="C294" t="b">
        <v>1</v>
      </c>
      <c r="D294">
        <v>8042</v>
      </c>
      <c r="E294">
        <v>8123</v>
      </c>
      <c r="F294">
        <v>8.4</v>
      </c>
      <c r="G294">
        <v>8</v>
      </c>
      <c r="H294">
        <v>1.05</v>
      </c>
      <c r="I294">
        <v>-4.9999952E-2</v>
      </c>
      <c r="J294">
        <v>0.48780489999999999</v>
      </c>
    </row>
    <row r="295" spans="1:10" x14ac:dyDescent="0.3">
      <c r="A295">
        <v>293</v>
      </c>
      <c r="B295">
        <v>4676</v>
      </c>
      <c r="C295" t="b">
        <v>1</v>
      </c>
      <c r="D295">
        <v>8048</v>
      </c>
      <c r="E295">
        <v>8123</v>
      </c>
      <c r="F295">
        <v>8.4</v>
      </c>
      <c r="G295">
        <v>8</v>
      </c>
      <c r="H295">
        <v>1.05</v>
      </c>
      <c r="I295">
        <v>-4.9999952E-2</v>
      </c>
      <c r="J295">
        <v>0.48780489999999999</v>
      </c>
    </row>
    <row r="296" spans="1:10" x14ac:dyDescent="0.3">
      <c r="A296">
        <v>294</v>
      </c>
      <c r="B296">
        <v>4692</v>
      </c>
      <c r="C296" t="b">
        <v>1</v>
      </c>
      <c r="D296">
        <v>8042</v>
      </c>
      <c r="E296">
        <v>8123</v>
      </c>
      <c r="F296">
        <v>8.4</v>
      </c>
      <c r="G296">
        <v>8</v>
      </c>
      <c r="H296">
        <v>1.05</v>
      </c>
      <c r="I296">
        <v>-4.9999952E-2</v>
      </c>
      <c r="J296">
        <v>0.48780489999999999</v>
      </c>
    </row>
    <row r="297" spans="1:10" x14ac:dyDescent="0.3">
      <c r="A297">
        <v>295</v>
      </c>
      <c r="B297">
        <v>4708</v>
      </c>
      <c r="C297" t="b">
        <v>1</v>
      </c>
      <c r="D297">
        <v>8042</v>
      </c>
      <c r="E297">
        <v>8123</v>
      </c>
      <c r="F297">
        <v>8</v>
      </c>
      <c r="G297">
        <v>8</v>
      </c>
      <c r="H297">
        <v>1</v>
      </c>
      <c r="I297">
        <v>0</v>
      </c>
      <c r="J297">
        <v>0.5</v>
      </c>
    </row>
    <row r="298" spans="1:10" x14ac:dyDescent="0.3">
      <c r="A298">
        <v>296</v>
      </c>
      <c r="B298">
        <v>4724</v>
      </c>
      <c r="C298" t="b">
        <v>1</v>
      </c>
      <c r="D298">
        <v>8042</v>
      </c>
      <c r="E298">
        <v>8123</v>
      </c>
      <c r="F298">
        <v>7.6</v>
      </c>
      <c r="G298">
        <v>8</v>
      </c>
      <c r="H298">
        <v>0.95</v>
      </c>
      <c r="I298">
        <v>5.0000012000000003E-2</v>
      </c>
      <c r="J298">
        <v>0.51282050000000001</v>
      </c>
    </row>
    <row r="299" spans="1:10" x14ac:dyDescent="0.3">
      <c r="A299">
        <v>297</v>
      </c>
      <c r="B299">
        <v>4739</v>
      </c>
      <c r="C299" t="b">
        <v>1</v>
      </c>
      <c r="D299">
        <v>8042</v>
      </c>
      <c r="E299">
        <v>8117</v>
      </c>
      <c r="F299">
        <v>7.2</v>
      </c>
      <c r="G299">
        <v>8</v>
      </c>
      <c r="H299">
        <v>0.9</v>
      </c>
      <c r="I299">
        <v>0.10000002400000001</v>
      </c>
      <c r="J299">
        <v>0.5263158</v>
      </c>
    </row>
    <row r="300" spans="1:10" x14ac:dyDescent="0.3">
      <c r="A300">
        <v>298</v>
      </c>
      <c r="B300">
        <v>4756</v>
      </c>
      <c r="C300" t="b">
        <v>1</v>
      </c>
      <c r="D300">
        <v>8048</v>
      </c>
      <c r="E300">
        <v>8117</v>
      </c>
      <c r="F300">
        <v>6.8</v>
      </c>
      <c r="G300">
        <v>8</v>
      </c>
      <c r="H300">
        <v>0.85</v>
      </c>
      <c r="I300">
        <v>0.14999998</v>
      </c>
      <c r="J300">
        <v>0.54054049999999998</v>
      </c>
    </row>
    <row r="301" spans="1:10" x14ac:dyDescent="0.3">
      <c r="A301">
        <v>299</v>
      </c>
      <c r="B301">
        <v>4771</v>
      </c>
      <c r="C301" t="b">
        <v>1</v>
      </c>
      <c r="D301">
        <v>8048</v>
      </c>
      <c r="E301">
        <v>8123</v>
      </c>
      <c r="F301">
        <v>6.4</v>
      </c>
      <c r="G301">
        <v>8</v>
      </c>
      <c r="H301">
        <v>0.8</v>
      </c>
      <c r="I301">
        <v>0.19999998999999999</v>
      </c>
      <c r="J301">
        <v>0.55555560000000004</v>
      </c>
    </row>
    <row r="302" spans="1:10" x14ac:dyDescent="0.3">
      <c r="A302">
        <v>300</v>
      </c>
      <c r="B302">
        <v>4787</v>
      </c>
      <c r="C302" t="b">
        <v>1</v>
      </c>
      <c r="D302">
        <v>8048</v>
      </c>
      <c r="E302">
        <v>8117</v>
      </c>
      <c r="F302">
        <v>6.4</v>
      </c>
      <c r="G302">
        <v>7.6</v>
      </c>
      <c r="H302">
        <v>0.84210527000000002</v>
      </c>
      <c r="I302">
        <v>0.15789471999999999</v>
      </c>
      <c r="J302">
        <v>0.54285709999999998</v>
      </c>
    </row>
    <row r="303" spans="1:10" x14ac:dyDescent="0.3">
      <c r="A303">
        <v>301</v>
      </c>
      <c r="B303">
        <v>4803</v>
      </c>
      <c r="C303" t="b">
        <v>1</v>
      </c>
      <c r="D303">
        <v>8048</v>
      </c>
      <c r="E303">
        <v>8123</v>
      </c>
      <c r="F303">
        <v>6.4</v>
      </c>
      <c r="G303">
        <v>7.2</v>
      </c>
      <c r="H303">
        <v>0.88888895999999995</v>
      </c>
      <c r="I303">
        <v>0.111111075</v>
      </c>
      <c r="J303">
        <v>0.52941172999999997</v>
      </c>
    </row>
    <row r="304" spans="1:10" x14ac:dyDescent="0.3">
      <c r="A304">
        <v>302</v>
      </c>
      <c r="B304">
        <v>4819</v>
      </c>
      <c r="C304" t="b">
        <v>1</v>
      </c>
      <c r="D304">
        <v>8054</v>
      </c>
      <c r="E304">
        <v>8123</v>
      </c>
      <c r="F304">
        <v>6.4</v>
      </c>
      <c r="G304">
        <v>7.2</v>
      </c>
      <c r="H304">
        <v>0.88888895999999995</v>
      </c>
      <c r="I304">
        <v>0.111111075</v>
      </c>
      <c r="J304">
        <v>0.52941172999999997</v>
      </c>
    </row>
    <row r="305" spans="1:10" x14ac:dyDescent="0.3">
      <c r="A305">
        <v>303</v>
      </c>
      <c r="B305">
        <v>4835</v>
      </c>
      <c r="C305" t="b">
        <v>1</v>
      </c>
      <c r="D305">
        <v>8048</v>
      </c>
      <c r="E305">
        <v>8117</v>
      </c>
      <c r="F305">
        <v>6</v>
      </c>
      <c r="G305">
        <v>7.2</v>
      </c>
      <c r="H305">
        <v>0.8333334</v>
      </c>
      <c r="I305">
        <v>0.16666664</v>
      </c>
      <c r="J305">
        <v>0.54545456000000003</v>
      </c>
    </row>
    <row r="306" spans="1:10" x14ac:dyDescent="0.3">
      <c r="A306">
        <v>304</v>
      </c>
      <c r="B306">
        <v>4851</v>
      </c>
      <c r="C306" t="b">
        <v>1</v>
      </c>
      <c r="D306">
        <v>8048</v>
      </c>
      <c r="E306">
        <v>8117</v>
      </c>
      <c r="F306">
        <v>6</v>
      </c>
      <c r="G306">
        <v>6.8</v>
      </c>
      <c r="H306">
        <v>0.8823529</v>
      </c>
      <c r="I306">
        <v>0.11764708</v>
      </c>
      <c r="J306">
        <v>0.53125</v>
      </c>
    </row>
    <row r="307" spans="1:10" x14ac:dyDescent="0.3">
      <c r="A307">
        <v>305</v>
      </c>
      <c r="B307">
        <v>4867</v>
      </c>
      <c r="C307" t="b">
        <v>1</v>
      </c>
      <c r="D307">
        <v>8048</v>
      </c>
      <c r="E307">
        <v>8117</v>
      </c>
      <c r="F307">
        <v>6</v>
      </c>
      <c r="G307">
        <v>6.4</v>
      </c>
      <c r="H307">
        <v>0.9375</v>
      </c>
      <c r="I307">
        <v>6.2500015000000006E-2</v>
      </c>
      <c r="J307">
        <v>0.51612910000000001</v>
      </c>
    </row>
    <row r="308" spans="1:10" x14ac:dyDescent="0.3">
      <c r="A308">
        <v>306</v>
      </c>
      <c r="B308">
        <v>4883</v>
      </c>
      <c r="C308" t="b">
        <v>1</v>
      </c>
      <c r="D308">
        <v>8048</v>
      </c>
      <c r="E308">
        <v>8117</v>
      </c>
      <c r="F308">
        <v>6</v>
      </c>
      <c r="G308">
        <v>6</v>
      </c>
      <c r="H308">
        <v>1</v>
      </c>
      <c r="I308">
        <v>0</v>
      </c>
      <c r="J308">
        <v>0.5</v>
      </c>
    </row>
    <row r="309" spans="1:10" x14ac:dyDescent="0.3">
      <c r="A309">
        <v>307</v>
      </c>
      <c r="B309">
        <v>4899</v>
      </c>
      <c r="C309" t="b">
        <v>1</v>
      </c>
      <c r="D309">
        <v>8048</v>
      </c>
      <c r="E309">
        <v>8123</v>
      </c>
      <c r="F309">
        <v>6</v>
      </c>
      <c r="G309">
        <v>5.6</v>
      </c>
      <c r="H309">
        <v>1.0714284999999999</v>
      </c>
      <c r="I309">
        <v>-7.142859E-2</v>
      </c>
      <c r="J309">
        <v>0.48275859999999998</v>
      </c>
    </row>
    <row r="310" spans="1:10" x14ac:dyDescent="0.3">
      <c r="A310">
        <v>308</v>
      </c>
      <c r="B310">
        <v>4915</v>
      </c>
      <c r="C310" t="b">
        <v>1</v>
      </c>
      <c r="D310">
        <v>8048</v>
      </c>
      <c r="E310">
        <v>8117</v>
      </c>
      <c r="F310">
        <v>6</v>
      </c>
      <c r="G310">
        <v>5.2</v>
      </c>
      <c r="H310">
        <v>1.1538461</v>
      </c>
      <c r="I310">
        <v>-0.15384618999999999</v>
      </c>
      <c r="J310">
        <v>0.46428570000000002</v>
      </c>
    </row>
    <row r="311" spans="1:10" x14ac:dyDescent="0.3">
      <c r="A311">
        <v>309</v>
      </c>
      <c r="B311">
        <v>4931</v>
      </c>
      <c r="C311" t="b">
        <v>1</v>
      </c>
      <c r="D311">
        <v>8048</v>
      </c>
      <c r="E311">
        <v>8123</v>
      </c>
      <c r="F311">
        <v>6</v>
      </c>
      <c r="G311">
        <v>4.8</v>
      </c>
      <c r="H311">
        <v>1.25</v>
      </c>
      <c r="I311">
        <v>-0.24999995999999999</v>
      </c>
      <c r="J311">
        <v>0.44444444999999999</v>
      </c>
    </row>
    <row r="312" spans="1:10" x14ac:dyDescent="0.3">
      <c r="A312">
        <v>310</v>
      </c>
      <c r="B312">
        <v>4947</v>
      </c>
      <c r="C312" t="b">
        <v>1</v>
      </c>
      <c r="D312">
        <v>8048</v>
      </c>
      <c r="E312">
        <v>8117</v>
      </c>
      <c r="F312">
        <v>6.4</v>
      </c>
      <c r="G312">
        <v>4.4000000000000004</v>
      </c>
      <c r="H312">
        <v>1.4545455</v>
      </c>
      <c r="I312">
        <v>-0.45454544000000002</v>
      </c>
      <c r="J312">
        <v>0.40740739999999998</v>
      </c>
    </row>
    <row r="313" spans="1:10" x14ac:dyDescent="0.3">
      <c r="A313">
        <v>311</v>
      </c>
      <c r="B313">
        <v>4963</v>
      </c>
      <c r="C313" t="b">
        <v>1</v>
      </c>
      <c r="D313">
        <v>8048</v>
      </c>
      <c r="E313">
        <v>8123</v>
      </c>
      <c r="F313">
        <v>6.8</v>
      </c>
      <c r="G313">
        <v>4.4000000000000004</v>
      </c>
      <c r="H313">
        <v>1.5454545</v>
      </c>
      <c r="I313">
        <v>-0.54545456000000003</v>
      </c>
      <c r="J313">
        <v>0.39285713</v>
      </c>
    </row>
    <row r="314" spans="1:10" x14ac:dyDescent="0.3">
      <c r="A314">
        <v>312</v>
      </c>
      <c r="B314">
        <v>4978</v>
      </c>
      <c r="C314" t="b">
        <v>1</v>
      </c>
      <c r="D314">
        <v>8048</v>
      </c>
      <c r="E314">
        <v>8123</v>
      </c>
      <c r="F314">
        <v>7.2</v>
      </c>
      <c r="G314">
        <v>4.4000000000000004</v>
      </c>
      <c r="H314">
        <v>1.6363635000000001</v>
      </c>
      <c r="I314">
        <v>-0.63636356999999999</v>
      </c>
      <c r="J314">
        <v>0.37931034000000002</v>
      </c>
    </row>
    <row r="315" spans="1:10" x14ac:dyDescent="0.3">
      <c r="A315">
        <v>313</v>
      </c>
      <c r="B315">
        <v>4995</v>
      </c>
      <c r="C315" t="b">
        <v>1</v>
      </c>
      <c r="D315">
        <v>8048</v>
      </c>
      <c r="E315">
        <v>8117</v>
      </c>
      <c r="F315">
        <v>7.6</v>
      </c>
      <c r="G315">
        <v>4.4000000000000004</v>
      </c>
      <c r="H315">
        <v>1.7272726</v>
      </c>
      <c r="I315">
        <v>-0.72727269999999999</v>
      </c>
      <c r="J315">
        <v>0.36666666999999997</v>
      </c>
    </row>
    <row r="316" spans="1:10" x14ac:dyDescent="0.3">
      <c r="A316">
        <v>314</v>
      </c>
      <c r="B316">
        <v>5011</v>
      </c>
      <c r="C316" t="b">
        <v>1</v>
      </c>
      <c r="D316">
        <v>8048</v>
      </c>
      <c r="E316">
        <v>8123</v>
      </c>
      <c r="F316">
        <v>8</v>
      </c>
      <c r="G316">
        <v>4.4000000000000004</v>
      </c>
      <c r="H316">
        <v>1.8181818000000001</v>
      </c>
      <c r="I316">
        <v>-0.81818175000000004</v>
      </c>
      <c r="J316">
        <v>0.35483872999999999</v>
      </c>
    </row>
    <row r="317" spans="1:10" x14ac:dyDescent="0.3">
      <c r="A317">
        <v>315</v>
      </c>
      <c r="B317">
        <v>5026</v>
      </c>
      <c r="C317" t="b">
        <v>1</v>
      </c>
      <c r="D317">
        <v>8048</v>
      </c>
      <c r="E317">
        <v>8123</v>
      </c>
      <c r="F317">
        <v>8</v>
      </c>
      <c r="G317">
        <v>4.8</v>
      </c>
      <c r="H317">
        <v>1.6666666000000001</v>
      </c>
      <c r="I317">
        <v>-0.6666666</v>
      </c>
      <c r="J317">
        <v>0.375</v>
      </c>
    </row>
    <row r="318" spans="1:10" x14ac:dyDescent="0.3">
      <c r="A318">
        <v>316</v>
      </c>
      <c r="B318">
        <v>5042</v>
      </c>
      <c r="C318" t="b">
        <v>1</v>
      </c>
      <c r="D318">
        <v>8048</v>
      </c>
      <c r="E318">
        <v>8117</v>
      </c>
      <c r="F318">
        <v>8</v>
      </c>
      <c r="G318">
        <v>5.2</v>
      </c>
      <c r="H318">
        <v>1.5384616</v>
      </c>
      <c r="I318">
        <v>-0.53846156999999994</v>
      </c>
      <c r="J318">
        <v>0.39393938000000001</v>
      </c>
    </row>
    <row r="319" spans="1:10" x14ac:dyDescent="0.3">
      <c r="A319">
        <v>317</v>
      </c>
      <c r="B319">
        <v>5058</v>
      </c>
      <c r="C319" t="b">
        <v>1</v>
      </c>
      <c r="D319">
        <v>8048</v>
      </c>
      <c r="E319">
        <v>8123</v>
      </c>
      <c r="F319">
        <v>8</v>
      </c>
      <c r="G319">
        <v>5.2</v>
      </c>
      <c r="H319">
        <v>1.5384616</v>
      </c>
      <c r="I319">
        <v>-0.53846156999999994</v>
      </c>
      <c r="J319">
        <v>0.39393938000000001</v>
      </c>
    </row>
    <row r="320" spans="1:10" x14ac:dyDescent="0.3">
      <c r="A320">
        <v>318</v>
      </c>
      <c r="B320">
        <v>5074</v>
      </c>
      <c r="C320" t="b">
        <v>1</v>
      </c>
      <c r="D320">
        <v>8048</v>
      </c>
      <c r="E320">
        <v>8117</v>
      </c>
      <c r="F320">
        <v>8</v>
      </c>
      <c r="G320">
        <v>5.2</v>
      </c>
      <c r="H320">
        <v>1.5384616</v>
      </c>
      <c r="I320">
        <v>-0.53846156999999994</v>
      </c>
      <c r="J320">
        <v>0.39393938000000001</v>
      </c>
    </row>
    <row r="321" spans="1:10" x14ac:dyDescent="0.3">
      <c r="A321">
        <v>319</v>
      </c>
      <c r="B321">
        <v>5090</v>
      </c>
      <c r="C321" t="b">
        <v>1</v>
      </c>
      <c r="D321">
        <v>8048</v>
      </c>
      <c r="E321">
        <v>8123</v>
      </c>
      <c r="F321">
        <v>8</v>
      </c>
      <c r="G321">
        <v>5.6</v>
      </c>
      <c r="H321">
        <v>1.4285715000000001</v>
      </c>
      <c r="I321">
        <v>-0.42857146000000002</v>
      </c>
      <c r="J321">
        <v>0.41176467999999999</v>
      </c>
    </row>
    <row r="322" spans="1:10" x14ac:dyDescent="0.3">
      <c r="A322">
        <v>320</v>
      </c>
      <c r="B322">
        <v>5106</v>
      </c>
      <c r="C322" t="b">
        <v>1</v>
      </c>
      <c r="D322">
        <v>8042</v>
      </c>
      <c r="E322">
        <v>8123</v>
      </c>
      <c r="F322">
        <v>8</v>
      </c>
      <c r="G322">
        <v>6</v>
      </c>
      <c r="H322">
        <v>1.3333333999999999</v>
      </c>
      <c r="I322">
        <v>-0.33333333999999998</v>
      </c>
      <c r="J322">
        <v>0.42857142999999998</v>
      </c>
    </row>
    <row r="323" spans="1:10" x14ac:dyDescent="0.3">
      <c r="A323">
        <v>321</v>
      </c>
      <c r="B323">
        <v>5122</v>
      </c>
      <c r="C323" t="b">
        <v>1</v>
      </c>
      <c r="D323">
        <v>8048</v>
      </c>
      <c r="E323">
        <v>8123</v>
      </c>
      <c r="F323">
        <v>8</v>
      </c>
      <c r="G323">
        <v>6.4</v>
      </c>
      <c r="H323">
        <v>1.25</v>
      </c>
      <c r="I323">
        <v>-0.24999999000000001</v>
      </c>
      <c r="J323">
        <v>0.44444447999999998</v>
      </c>
    </row>
    <row r="324" spans="1:10" x14ac:dyDescent="0.3">
      <c r="A324">
        <v>322</v>
      </c>
      <c r="B324">
        <v>5138</v>
      </c>
      <c r="C324" t="b">
        <v>1</v>
      </c>
      <c r="D324">
        <v>8048</v>
      </c>
      <c r="E324">
        <v>8117</v>
      </c>
      <c r="F324">
        <v>8</v>
      </c>
      <c r="G324">
        <v>6.8</v>
      </c>
      <c r="H324">
        <v>1.1764705</v>
      </c>
      <c r="I324">
        <v>-0.17647055</v>
      </c>
      <c r="J324">
        <v>0.45945944999999999</v>
      </c>
    </row>
    <row r="325" spans="1:10" x14ac:dyDescent="0.3">
      <c r="A325">
        <v>323</v>
      </c>
      <c r="B325">
        <v>5154</v>
      </c>
      <c r="C325" t="b">
        <v>1</v>
      </c>
      <c r="D325">
        <v>8048</v>
      </c>
      <c r="E325">
        <v>8123</v>
      </c>
      <c r="F325">
        <v>8</v>
      </c>
      <c r="G325">
        <v>7.2</v>
      </c>
      <c r="H325">
        <v>1.1111112000000001</v>
      </c>
      <c r="I325">
        <v>-0.11111114</v>
      </c>
      <c r="J325">
        <v>0.4736842</v>
      </c>
    </row>
    <row r="326" spans="1:10" x14ac:dyDescent="0.3">
      <c r="A326">
        <v>324</v>
      </c>
      <c r="B326">
        <v>5169</v>
      </c>
      <c r="C326" t="b">
        <v>1</v>
      </c>
      <c r="D326">
        <v>8048</v>
      </c>
      <c r="E326">
        <v>8123</v>
      </c>
      <c r="F326">
        <v>8</v>
      </c>
      <c r="G326">
        <v>7.6</v>
      </c>
      <c r="H326">
        <v>1.0526316</v>
      </c>
      <c r="I326">
        <v>-5.2631589999999999E-2</v>
      </c>
      <c r="J326">
        <v>0.48717946000000001</v>
      </c>
    </row>
    <row r="327" spans="1:10" x14ac:dyDescent="0.3">
      <c r="A327">
        <v>325</v>
      </c>
      <c r="B327">
        <v>5185</v>
      </c>
      <c r="C327" t="b">
        <v>1</v>
      </c>
      <c r="D327">
        <v>8048</v>
      </c>
      <c r="E327">
        <v>8123</v>
      </c>
      <c r="F327">
        <v>8</v>
      </c>
      <c r="G327">
        <v>8</v>
      </c>
      <c r="H327">
        <v>1</v>
      </c>
      <c r="I327">
        <v>0</v>
      </c>
      <c r="J327">
        <v>0.5</v>
      </c>
    </row>
    <row r="328" spans="1:10" x14ac:dyDescent="0.3">
      <c r="A328">
        <v>326</v>
      </c>
      <c r="B328">
        <v>5201</v>
      </c>
      <c r="C328" t="b">
        <v>1</v>
      </c>
      <c r="D328">
        <v>8048</v>
      </c>
      <c r="E328">
        <v>8123</v>
      </c>
      <c r="F328">
        <v>8</v>
      </c>
      <c r="G328">
        <v>8</v>
      </c>
      <c r="H328">
        <v>1</v>
      </c>
      <c r="I328">
        <v>0</v>
      </c>
      <c r="J328">
        <v>0.5</v>
      </c>
    </row>
    <row r="329" spans="1:10" x14ac:dyDescent="0.3">
      <c r="A329">
        <v>327</v>
      </c>
      <c r="B329">
        <v>5217</v>
      </c>
      <c r="C329" t="b">
        <v>1</v>
      </c>
      <c r="D329">
        <v>8048</v>
      </c>
      <c r="E329">
        <v>8123</v>
      </c>
      <c r="F329">
        <v>8</v>
      </c>
      <c r="G329">
        <v>8</v>
      </c>
      <c r="H329">
        <v>1</v>
      </c>
      <c r="I329">
        <v>0</v>
      </c>
      <c r="J329">
        <v>0.5</v>
      </c>
    </row>
    <row r="330" spans="1:10" x14ac:dyDescent="0.3">
      <c r="A330">
        <v>328</v>
      </c>
      <c r="B330">
        <v>5233</v>
      </c>
      <c r="C330" t="b">
        <v>1</v>
      </c>
      <c r="D330">
        <v>8048</v>
      </c>
      <c r="E330">
        <v>8123</v>
      </c>
      <c r="F330">
        <v>8</v>
      </c>
      <c r="G330">
        <v>8</v>
      </c>
      <c r="H330">
        <v>1</v>
      </c>
      <c r="I330">
        <v>0</v>
      </c>
      <c r="J330">
        <v>0.5</v>
      </c>
    </row>
    <row r="331" spans="1:10" x14ac:dyDescent="0.3">
      <c r="A331">
        <v>329</v>
      </c>
      <c r="B331">
        <v>5249</v>
      </c>
      <c r="C331" t="b">
        <v>1</v>
      </c>
      <c r="D331">
        <v>8048</v>
      </c>
      <c r="E331">
        <v>8117</v>
      </c>
      <c r="F331">
        <v>8</v>
      </c>
      <c r="G331">
        <v>8</v>
      </c>
      <c r="H331">
        <v>1</v>
      </c>
      <c r="I331">
        <v>0</v>
      </c>
      <c r="J331">
        <v>0.5</v>
      </c>
    </row>
    <row r="332" spans="1:10" x14ac:dyDescent="0.3">
      <c r="A332">
        <v>330</v>
      </c>
      <c r="B332">
        <v>5265</v>
      </c>
      <c r="C332" t="b">
        <v>1</v>
      </c>
      <c r="D332">
        <v>8048</v>
      </c>
      <c r="E332">
        <v>8123</v>
      </c>
      <c r="F332">
        <v>8</v>
      </c>
      <c r="G332">
        <v>8</v>
      </c>
      <c r="H332">
        <v>1</v>
      </c>
      <c r="I332">
        <v>0</v>
      </c>
      <c r="J332">
        <v>0.5</v>
      </c>
    </row>
    <row r="333" spans="1:10" x14ac:dyDescent="0.3">
      <c r="A333">
        <v>331</v>
      </c>
      <c r="B333">
        <v>5281</v>
      </c>
      <c r="C333" t="b">
        <v>1</v>
      </c>
      <c r="D333">
        <v>8048</v>
      </c>
      <c r="E333">
        <v>8117</v>
      </c>
      <c r="F333">
        <v>8</v>
      </c>
      <c r="G333">
        <v>8</v>
      </c>
      <c r="H333">
        <v>1</v>
      </c>
      <c r="I333">
        <v>0</v>
      </c>
      <c r="J333">
        <v>0.5</v>
      </c>
    </row>
    <row r="334" spans="1:10" x14ac:dyDescent="0.3">
      <c r="A334">
        <v>332</v>
      </c>
      <c r="B334">
        <v>5297</v>
      </c>
      <c r="C334" t="b">
        <v>1</v>
      </c>
      <c r="D334">
        <v>8048</v>
      </c>
      <c r="E334">
        <v>8117</v>
      </c>
      <c r="F334">
        <v>8</v>
      </c>
      <c r="G334">
        <v>7.6</v>
      </c>
      <c r="H334">
        <v>1.0526316</v>
      </c>
      <c r="I334">
        <v>-5.2631589999999999E-2</v>
      </c>
      <c r="J334">
        <v>0.48717946000000001</v>
      </c>
    </row>
    <row r="335" spans="1:10" x14ac:dyDescent="0.3">
      <c r="A335">
        <v>333</v>
      </c>
      <c r="B335">
        <v>5312</v>
      </c>
      <c r="C335" t="b">
        <v>1</v>
      </c>
      <c r="D335">
        <v>8042</v>
      </c>
      <c r="E335">
        <v>8123</v>
      </c>
      <c r="F335">
        <v>8</v>
      </c>
      <c r="G335">
        <v>7.2</v>
      </c>
      <c r="H335">
        <v>1.1111112000000001</v>
      </c>
      <c r="I335">
        <v>-0.11111114</v>
      </c>
      <c r="J335">
        <v>0.4736842</v>
      </c>
    </row>
    <row r="336" spans="1:10" x14ac:dyDescent="0.3">
      <c r="A336">
        <v>334</v>
      </c>
      <c r="B336">
        <v>5328</v>
      </c>
      <c r="C336" t="b">
        <v>1</v>
      </c>
      <c r="D336">
        <v>8054</v>
      </c>
      <c r="E336">
        <v>8117</v>
      </c>
      <c r="F336">
        <v>8</v>
      </c>
      <c r="G336">
        <v>6.8</v>
      </c>
      <c r="H336">
        <v>1.1764705</v>
      </c>
      <c r="I336">
        <v>-0.17647055</v>
      </c>
      <c r="J336">
        <v>0.45945944999999999</v>
      </c>
    </row>
    <row r="337" spans="1:10" x14ac:dyDescent="0.3">
      <c r="A337">
        <v>335</v>
      </c>
      <c r="B337">
        <v>5344</v>
      </c>
      <c r="C337" t="b">
        <v>1</v>
      </c>
      <c r="D337">
        <v>8048</v>
      </c>
      <c r="E337">
        <v>8123</v>
      </c>
      <c r="F337">
        <v>8</v>
      </c>
      <c r="G337">
        <v>6.4</v>
      </c>
      <c r="H337">
        <v>1.25</v>
      </c>
      <c r="I337">
        <v>-0.24999999000000001</v>
      </c>
      <c r="J337">
        <v>0.44444447999999998</v>
      </c>
    </row>
    <row r="338" spans="1:10" x14ac:dyDescent="0.3">
      <c r="A338">
        <v>336</v>
      </c>
      <c r="B338">
        <v>5359</v>
      </c>
      <c r="C338" t="b">
        <v>1</v>
      </c>
      <c r="D338">
        <v>8054</v>
      </c>
      <c r="E338">
        <v>8117</v>
      </c>
      <c r="F338">
        <v>8</v>
      </c>
      <c r="G338">
        <v>6</v>
      </c>
      <c r="H338">
        <v>1.3333333999999999</v>
      </c>
      <c r="I338">
        <v>-0.33333333999999998</v>
      </c>
      <c r="J338">
        <v>0.42857142999999998</v>
      </c>
    </row>
    <row r="339" spans="1:10" x14ac:dyDescent="0.3">
      <c r="A339">
        <v>337</v>
      </c>
      <c r="B339">
        <v>5375</v>
      </c>
      <c r="C339" t="b">
        <v>1</v>
      </c>
      <c r="D339">
        <v>8048</v>
      </c>
      <c r="E339">
        <v>8123</v>
      </c>
      <c r="F339">
        <v>8</v>
      </c>
      <c r="G339">
        <v>6</v>
      </c>
      <c r="H339">
        <v>1.3333333999999999</v>
      </c>
      <c r="I339">
        <v>-0.33333333999999998</v>
      </c>
      <c r="J339">
        <v>0.42857142999999998</v>
      </c>
    </row>
    <row r="340" spans="1:10" x14ac:dyDescent="0.3">
      <c r="A340">
        <v>338</v>
      </c>
      <c r="B340">
        <v>5391</v>
      </c>
      <c r="C340" t="b">
        <v>1</v>
      </c>
      <c r="D340">
        <v>8048</v>
      </c>
      <c r="E340">
        <v>8117</v>
      </c>
      <c r="F340">
        <v>8</v>
      </c>
      <c r="G340">
        <v>5.6</v>
      </c>
      <c r="H340">
        <v>1.4285715000000001</v>
      </c>
      <c r="I340">
        <v>-0.42857146000000002</v>
      </c>
      <c r="J340">
        <v>0.41176467999999999</v>
      </c>
    </row>
    <row r="341" spans="1:10" x14ac:dyDescent="0.3">
      <c r="A341">
        <v>339</v>
      </c>
      <c r="B341">
        <v>5407</v>
      </c>
      <c r="C341" t="b">
        <v>1</v>
      </c>
      <c r="D341">
        <v>8048</v>
      </c>
      <c r="E341">
        <v>8123</v>
      </c>
      <c r="F341">
        <v>8</v>
      </c>
      <c r="G341">
        <v>5.6</v>
      </c>
      <c r="H341">
        <v>1.4285715000000001</v>
      </c>
      <c r="I341">
        <v>-0.42857146000000002</v>
      </c>
      <c r="J341">
        <v>0.41176467999999999</v>
      </c>
    </row>
    <row r="342" spans="1:10" x14ac:dyDescent="0.3">
      <c r="A342">
        <v>340</v>
      </c>
      <c r="B342">
        <v>5423</v>
      </c>
      <c r="C342" t="b">
        <v>1</v>
      </c>
      <c r="D342">
        <v>8048</v>
      </c>
      <c r="E342">
        <v>8123</v>
      </c>
      <c r="F342">
        <v>8</v>
      </c>
      <c r="G342">
        <v>5.6</v>
      </c>
      <c r="H342">
        <v>1.4285715000000001</v>
      </c>
      <c r="I342">
        <v>-0.42857146000000002</v>
      </c>
      <c r="J342">
        <v>0.41176467999999999</v>
      </c>
    </row>
    <row r="343" spans="1:10" x14ac:dyDescent="0.3">
      <c r="A343">
        <v>341</v>
      </c>
      <c r="B343">
        <v>5455</v>
      </c>
      <c r="C343" t="b">
        <v>1</v>
      </c>
      <c r="D343">
        <v>8048</v>
      </c>
      <c r="E343">
        <v>8123</v>
      </c>
      <c r="F343">
        <v>8</v>
      </c>
      <c r="G343">
        <v>5.6</v>
      </c>
      <c r="H343">
        <v>1.4285715000000001</v>
      </c>
      <c r="I343">
        <v>-0.42857146000000002</v>
      </c>
      <c r="J343">
        <v>0.41176467999999999</v>
      </c>
    </row>
    <row r="344" spans="1:10" x14ac:dyDescent="0.3">
      <c r="A344">
        <v>342</v>
      </c>
      <c r="B344">
        <v>5471</v>
      </c>
      <c r="C344" t="b">
        <v>1</v>
      </c>
      <c r="D344">
        <v>8048</v>
      </c>
      <c r="E344">
        <v>8123</v>
      </c>
      <c r="F344">
        <v>8</v>
      </c>
      <c r="G344">
        <v>5.6</v>
      </c>
      <c r="H344">
        <v>1.4285715000000001</v>
      </c>
      <c r="I344">
        <v>-0.42857146000000002</v>
      </c>
      <c r="J344">
        <v>0.41176467999999999</v>
      </c>
    </row>
    <row r="345" spans="1:10" x14ac:dyDescent="0.3">
      <c r="A345">
        <v>343</v>
      </c>
      <c r="B345">
        <v>5487</v>
      </c>
      <c r="C345" t="b">
        <v>1</v>
      </c>
      <c r="D345">
        <v>8048</v>
      </c>
      <c r="E345">
        <v>8123</v>
      </c>
      <c r="F345">
        <v>8</v>
      </c>
      <c r="G345">
        <v>5.6</v>
      </c>
      <c r="H345">
        <v>1.4285715000000001</v>
      </c>
      <c r="I345">
        <v>-0.42857146000000002</v>
      </c>
      <c r="J345">
        <v>0.41176467999999999</v>
      </c>
    </row>
    <row r="346" spans="1:10" x14ac:dyDescent="0.3">
      <c r="A346">
        <v>344</v>
      </c>
      <c r="B346">
        <v>5502</v>
      </c>
      <c r="C346" t="b">
        <v>1</v>
      </c>
      <c r="D346">
        <v>8048</v>
      </c>
      <c r="E346">
        <v>8117</v>
      </c>
      <c r="F346">
        <v>8</v>
      </c>
      <c r="G346">
        <v>5.6</v>
      </c>
      <c r="H346">
        <v>1.4285715000000001</v>
      </c>
      <c r="I346">
        <v>-0.42857146000000002</v>
      </c>
      <c r="J346">
        <v>0.41176467999999999</v>
      </c>
    </row>
    <row r="347" spans="1:10" x14ac:dyDescent="0.3">
      <c r="A347">
        <v>345</v>
      </c>
      <c r="B347">
        <v>5518</v>
      </c>
      <c r="C347" t="b">
        <v>1</v>
      </c>
      <c r="D347">
        <v>8048</v>
      </c>
      <c r="E347">
        <v>8123</v>
      </c>
      <c r="F347">
        <v>8</v>
      </c>
      <c r="G347">
        <v>5.6</v>
      </c>
      <c r="H347">
        <v>1.4285715000000001</v>
      </c>
      <c r="I347">
        <v>-0.42857146000000002</v>
      </c>
      <c r="J347">
        <v>0.41176467999999999</v>
      </c>
    </row>
    <row r="348" spans="1:10" x14ac:dyDescent="0.3">
      <c r="A348">
        <v>346</v>
      </c>
      <c r="B348">
        <v>5533</v>
      </c>
      <c r="C348" t="b">
        <v>1</v>
      </c>
      <c r="D348">
        <v>8048</v>
      </c>
      <c r="E348">
        <v>8123</v>
      </c>
      <c r="F348">
        <v>8</v>
      </c>
      <c r="G348">
        <v>5.6</v>
      </c>
      <c r="H348">
        <v>1.4285715000000001</v>
      </c>
      <c r="I348">
        <v>-0.42857146000000002</v>
      </c>
      <c r="J348">
        <v>0.41176467999999999</v>
      </c>
    </row>
    <row r="349" spans="1:10" x14ac:dyDescent="0.3">
      <c r="A349">
        <v>347</v>
      </c>
      <c r="B349">
        <v>5549</v>
      </c>
      <c r="C349" t="b">
        <v>1</v>
      </c>
      <c r="D349">
        <v>8048</v>
      </c>
      <c r="E349">
        <v>8123</v>
      </c>
      <c r="F349">
        <v>8</v>
      </c>
      <c r="G349">
        <v>6</v>
      </c>
      <c r="H349">
        <v>1.3333333999999999</v>
      </c>
      <c r="I349">
        <v>-0.33333333999999998</v>
      </c>
      <c r="J349">
        <v>0.42857142999999998</v>
      </c>
    </row>
    <row r="350" spans="1:10" x14ac:dyDescent="0.3">
      <c r="A350">
        <v>348</v>
      </c>
      <c r="B350">
        <v>5565</v>
      </c>
      <c r="C350" t="b">
        <v>1</v>
      </c>
      <c r="D350">
        <v>8054</v>
      </c>
      <c r="E350">
        <v>8123</v>
      </c>
      <c r="F350">
        <v>8</v>
      </c>
      <c r="G350">
        <v>6.4</v>
      </c>
      <c r="H350">
        <v>1.25</v>
      </c>
      <c r="I350">
        <v>-0.24999999000000001</v>
      </c>
      <c r="J350">
        <v>0.44444447999999998</v>
      </c>
    </row>
    <row r="351" spans="1:10" x14ac:dyDescent="0.3">
      <c r="A351">
        <v>349</v>
      </c>
      <c r="B351">
        <v>5581</v>
      </c>
      <c r="C351" t="b">
        <v>1</v>
      </c>
      <c r="D351">
        <v>8054</v>
      </c>
      <c r="E351">
        <v>8123</v>
      </c>
      <c r="F351">
        <v>8</v>
      </c>
      <c r="G351">
        <v>6.8</v>
      </c>
      <c r="H351">
        <v>1.1764705</v>
      </c>
      <c r="I351">
        <v>-0.17647055</v>
      </c>
      <c r="J351">
        <v>0.45945944999999999</v>
      </c>
    </row>
    <row r="352" spans="1:10" x14ac:dyDescent="0.3">
      <c r="A352">
        <v>350</v>
      </c>
      <c r="B352">
        <v>5597</v>
      </c>
      <c r="C352" t="b">
        <v>1</v>
      </c>
      <c r="D352">
        <v>8054</v>
      </c>
      <c r="E352">
        <v>8123</v>
      </c>
      <c r="F352">
        <v>8.4</v>
      </c>
      <c r="G352">
        <v>7.2</v>
      </c>
      <c r="H352">
        <v>1.1666666000000001</v>
      </c>
      <c r="I352">
        <v>-0.16666664</v>
      </c>
      <c r="J352">
        <v>0.46153845999999998</v>
      </c>
    </row>
    <row r="353" spans="1:10" x14ac:dyDescent="0.3">
      <c r="A353">
        <v>351</v>
      </c>
      <c r="B353">
        <v>5613</v>
      </c>
      <c r="C353" t="b">
        <v>1</v>
      </c>
      <c r="D353">
        <v>8054</v>
      </c>
      <c r="E353">
        <v>8111</v>
      </c>
      <c r="F353">
        <v>8.8000000000000007</v>
      </c>
      <c r="G353">
        <v>7.6</v>
      </c>
      <c r="H353">
        <v>1.1578946999999999</v>
      </c>
      <c r="I353">
        <v>-0.15789478000000001</v>
      </c>
      <c r="J353">
        <v>0.46341463999999999</v>
      </c>
    </row>
    <row r="354" spans="1:10" x14ac:dyDescent="0.3">
      <c r="A354">
        <v>352</v>
      </c>
      <c r="B354">
        <v>5629</v>
      </c>
      <c r="C354" t="b">
        <v>1</v>
      </c>
      <c r="D354">
        <v>8054</v>
      </c>
      <c r="E354">
        <v>8117</v>
      </c>
      <c r="F354">
        <v>9.1999999999999993</v>
      </c>
      <c r="G354">
        <v>7.6</v>
      </c>
      <c r="H354">
        <v>1.2105262999999999</v>
      </c>
      <c r="I354">
        <v>-0.2105263</v>
      </c>
      <c r="J354">
        <v>0.45238096</v>
      </c>
    </row>
    <row r="355" spans="1:10" x14ac:dyDescent="0.3">
      <c r="A355">
        <v>353</v>
      </c>
      <c r="B355">
        <v>5644</v>
      </c>
      <c r="C355" t="b">
        <v>1</v>
      </c>
      <c r="D355">
        <v>8054</v>
      </c>
      <c r="E355">
        <v>8117</v>
      </c>
      <c r="F355">
        <v>9.6</v>
      </c>
      <c r="G355">
        <v>7.6</v>
      </c>
      <c r="H355">
        <v>1.263158</v>
      </c>
      <c r="I355">
        <v>-0.26315796000000002</v>
      </c>
      <c r="J355">
        <v>0.44186044000000002</v>
      </c>
    </row>
    <row r="356" spans="1:10" x14ac:dyDescent="0.3">
      <c r="A356">
        <v>354</v>
      </c>
      <c r="B356">
        <v>5660</v>
      </c>
      <c r="C356" t="b">
        <v>1</v>
      </c>
      <c r="D356">
        <v>8048</v>
      </c>
      <c r="E356">
        <v>8117</v>
      </c>
      <c r="F356">
        <v>10</v>
      </c>
      <c r="G356">
        <v>7.2</v>
      </c>
      <c r="H356">
        <v>1.388889</v>
      </c>
      <c r="I356">
        <v>-0.38888893000000002</v>
      </c>
      <c r="J356">
        <v>0.41860459999999999</v>
      </c>
    </row>
    <row r="357" spans="1:10" x14ac:dyDescent="0.3">
      <c r="A357">
        <v>355</v>
      </c>
      <c r="B357">
        <v>5676</v>
      </c>
      <c r="C357" t="b">
        <v>1</v>
      </c>
      <c r="D357">
        <v>8048</v>
      </c>
      <c r="E357">
        <v>8111</v>
      </c>
      <c r="F357">
        <v>10.4</v>
      </c>
      <c r="G357">
        <v>6.8</v>
      </c>
      <c r="H357">
        <v>1.5294117</v>
      </c>
      <c r="I357">
        <v>-0.52941170000000004</v>
      </c>
      <c r="J357">
        <v>0.39534881999999999</v>
      </c>
    </row>
    <row r="358" spans="1:10" x14ac:dyDescent="0.3">
      <c r="A358">
        <v>356</v>
      </c>
      <c r="B358">
        <v>5692</v>
      </c>
      <c r="C358" t="b">
        <v>1</v>
      </c>
      <c r="D358">
        <v>8048</v>
      </c>
      <c r="E358">
        <v>8111</v>
      </c>
      <c r="F358">
        <v>10.4</v>
      </c>
      <c r="G358">
        <v>6.4</v>
      </c>
      <c r="H358">
        <v>1.6249998999999999</v>
      </c>
      <c r="I358">
        <v>-0.62499994000000003</v>
      </c>
      <c r="J358">
        <v>0.38095242000000001</v>
      </c>
    </row>
    <row r="359" spans="1:10" x14ac:dyDescent="0.3">
      <c r="A359">
        <v>357</v>
      </c>
      <c r="B359">
        <v>5708</v>
      </c>
      <c r="C359" t="b">
        <v>1</v>
      </c>
      <c r="D359">
        <v>8048</v>
      </c>
      <c r="E359">
        <v>8111</v>
      </c>
      <c r="F359">
        <v>10.4</v>
      </c>
      <c r="G359">
        <v>5.6</v>
      </c>
      <c r="H359">
        <v>1.8571428000000001</v>
      </c>
      <c r="I359">
        <v>-0.85714279999999998</v>
      </c>
      <c r="J359">
        <v>0.35</v>
      </c>
    </row>
    <row r="360" spans="1:10" x14ac:dyDescent="0.3">
      <c r="A360">
        <v>358</v>
      </c>
      <c r="B360">
        <v>5724</v>
      </c>
      <c r="C360" t="b">
        <v>1</v>
      </c>
      <c r="D360">
        <v>8048</v>
      </c>
      <c r="E360">
        <v>8123</v>
      </c>
      <c r="F360">
        <v>10.4</v>
      </c>
      <c r="G360">
        <v>4.8</v>
      </c>
      <c r="H360">
        <v>2.1666664999999998</v>
      </c>
      <c r="I360">
        <v>-1.1666665000000001</v>
      </c>
      <c r="J360">
        <v>0.3157895</v>
      </c>
    </row>
    <row r="361" spans="1:10" x14ac:dyDescent="0.3">
      <c r="A361">
        <v>359</v>
      </c>
      <c r="B361">
        <v>5740</v>
      </c>
      <c r="C361" t="b">
        <v>1</v>
      </c>
      <c r="D361">
        <v>8042</v>
      </c>
      <c r="E361">
        <v>8123</v>
      </c>
      <c r="F361">
        <v>10.4</v>
      </c>
      <c r="G361">
        <v>4</v>
      </c>
      <c r="H361">
        <v>2.6</v>
      </c>
      <c r="I361">
        <v>-1.5999999</v>
      </c>
      <c r="J361">
        <v>0.27777780000000002</v>
      </c>
    </row>
    <row r="362" spans="1:10" x14ac:dyDescent="0.3">
      <c r="A362">
        <v>360</v>
      </c>
      <c r="B362">
        <v>5755</v>
      </c>
      <c r="C362" t="b">
        <v>1</v>
      </c>
      <c r="D362">
        <v>8048</v>
      </c>
      <c r="E362">
        <v>8123</v>
      </c>
      <c r="F362">
        <v>10.4</v>
      </c>
      <c r="G362">
        <v>4</v>
      </c>
      <c r="H362">
        <v>2.6</v>
      </c>
      <c r="I362">
        <v>-1.5999999</v>
      </c>
      <c r="J362">
        <v>0.27777780000000002</v>
      </c>
    </row>
    <row r="363" spans="1:10" x14ac:dyDescent="0.3">
      <c r="A363">
        <v>361</v>
      </c>
      <c r="B363">
        <v>5771</v>
      </c>
      <c r="C363" t="b">
        <v>1</v>
      </c>
      <c r="D363">
        <v>8048</v>
      </c>
      <c r="E363">
        <v>8123</v>
      </c>
      <c r="F363">
        <v>10.4</v>
      </c>
      <c r="G363">
        <v>4</v>
      </c>
      <c r="H363">
        <v>2.6</v>
      </c>
      <c r="I363">
        <v>-1.5999999</v>
      </c>
      <c r="J363">
        <v>0.27777780000000002</v>
      </c>
    </row>
    <row r="364" spans="1:10" x14ac:dyDescent="0.3">
      <c r="A364">
        <v>362</v>
      </c>
      <c r="B364">
        <v>5787</v>
      </c>
      <c r="C364" t="b">
        <v>1</v>
      </c>
      <c r="D364">
        <v>8054</v>
      </c>
      <c r="E364">
        <v>8123</v>
      </c>
      <c r="F364">
        <v>10.4</v>
      </c>
      <c r="G364">
        <v>4</v>
      </c>
      <c r="H364">
        <v>2.6</v>
      </c>
      <c r="I364">
        <v>-1.5999999</v>
      </c>
      <c r="J364">
        <v>0.27777780000000002</v>
      </c>
    </row>
    <row r="365" spans="1:10" x14ac:dyDescent="0.3">
      <c r="A365">
        <v>363</v>
      </c>
      <c r="B365">
        <v>5803</v>
      </c>
      <c r="C365" t="b">
        <v>1</v>
      </c>
      <c r="D365">
        <v>8054</v>
      </c>
      <c r="E365">
        <v>8123</v>
      </c>
      <c r="F365">
        <v>10.4</v>
      </c>
      <c r="G365">
        <v>4</v>
      </c>
      <c r="H365">
        <v>2.6</v>
      </c>
      <c r="I365">
        <v>-1.5999999</v>
      </c>
      <c r="J365">
        <v>0.27777780000000002</v>
      </c>
    </row>
    <row r="366" spans="1:10" x14ac:dyDescent="0.3">
      <c r="A366">
        <v>364</v>
      </c>
      <c r="B366">
        <v>5819</v>
      </c>
      <c r="C366" t="b">
        <v>1</v>
      </c>
      <c r="D366">
        <v>8048</v>
      </c>
      <c r="E366">
        <v>8123</v>
      </c>
      <c r="F366">
        <v>10.4</v>
      </c>
      <c r="G366">
        <v>4</v>
      </c>
      <c r="H366">
        <v>2.6</v>
      </c>
      <c r="I366">
        <v>-1.5999999</v>
      </c>
      <c r="J366">
        <v>0.27777780000000002</v>
      </c>
    </row>
    <row r="367" spans="1:10" x14ac:dyDescent="0.3">
      <c r="A367">
        <v>365</v>
      </c>
      <c r="B367">
        <v>5834</v>
      </c>
      <c r="C367" t="b">
        <v>1</v>
      </c>
      <c r="D367">
        <v>8048</v>
      </c>
      <c r="E367">
        <v>8123</v>
      </c>
      <c r="F367">
        <v>10</v>
      </c>
      <c r="G367">
        <v>4</v>
      </c>
      <c r="H367">
        <v>2.5</v>
      </c>
      <c r="I367">
        <v>-1.5</v>
      </c>
      <c r="J367">
        <v>0.28571429999999998</v>
      </c>
    </row>
    <row r="368" spans="1:10" x14ac:dyDescent="0.3">
      <c r="A368">
        <v>366</v>
      </c>
      <c r="B368">
        <v>5850</v>
      </c>
      <c r="C368" t="b">
        <v>1</v>
      </c>
      <c r="D368">
        <v>8048</v>
      </c>
      <c r="E368">
        <v>8123</v>
      </c>
      <c r="F368">
        <v>9.6</v>
      </c>
      <c r="G368">
        <v>4</v>
      </c>
      <c r="H368">
        <v>2.4</v>
      </c>
      <c r="I368">
        <v>-1.4000001</v>
      </c>
      <c r="J368">
        <v>0.29411763000000002</v>
      </c>
    </row>
    <row r="369" spans="1:10" x14ac:dyDescent="0.3">
      <c r="A369">
        <v>367</v>
      </c>
      <c r="B369">
        <v>5866</v>
      </c>
      <c r="C369" t="b">
        <v>1</v>
      </c>
      <c r="D369">
        <v>8048</v>
      </c>
      <c r="E369">
        <v>8117</v>
      </c>
      <c r="F369">
        <v>9.1999999999999993</v>
      </c>
      <c r="G369">
        <v>4</v>
      </c>
      <c r="H369">
        <v>2.2999999999999998</v>
      </c>
      <c r="I369">
        <v>-1.3</v>
      </c>
      <c r="J369">
        <v>0.30303029999999997</v>
      </c>
    </row>
    <row r="370" spans="1:10" x14ac:dyDescent="0.3">
      <c r="A370">
        <v>368</v>
      </c>
      <c r="B370">
        <v>5881</v>
      </c>
      <c r="C370" t="b">
        <v>1</v>
      </c>
      <c r="D370">
        <v>8048</v>
      </c>
      <c r="E370">
        <v>8123</v>
      </c>
      <c r="F370">
        <v>8.8000000000000007</v>
      </c>
      <c r="G370">
        <v>4.4000000000000004</v>
      </c>
      <c r="H370">
        <v>2</v>
      </c>
      <c r="I370">
        <v>-1</v>
      </c>
      <c r="J370">
        <v>0.3333333</v>
      </c>
    </row>
    <row r="371" spans="1:10" x14ac:dyDescent="0.3">
      <c r="A371">
        <v>369</v>
      </c>
      <c r="B371">
        <v>5897</v>
      </c>
      <c r="C371" t="b">
        <v>1</v>
      </c>
      <c r="D371">
        <v>8048</v>
      </c>
      <c r="E371">
        <v>8123</v>
      </c>
      <c r="F371">
        <v>8.4</v>
      </c>
      <c r="G371">
        <v>4.8</v>
      </c>
      <c r="H371">
        <v>1.7499998999999999</v>
      </c>
      <c r="I371">
        <v>-0.74999990000000005</v>
      </c>
      <c r="J371">
        <v>0.36363636999999999</v>
      </c>
    </row>
    <row r="372" spans="1:10" x14ac:dyDescent="0.3">
      <c r="A372">
        <v>370</v>
      </c>
      <c r="B372">
        <v>5913</v>
      </c>
      <c r="C372" t="b">
        <v>1</v>
      </c>
      <c r="D372">
        <v>8048</v>
      </c>
      <c r="E372">
        <v>8123</v>
      </c>
      <c r="F372">
        <v>8</v>
      </c>
      <c r="G372">
        <v>5.2</v>
      </c>
      <c r="H372">
        <v>1.5384616</v>
      </c>
      <c r="I372">
        <v>-0.53846156999999994</v>
      </c>
      <c r="J372">
        <v>0.39393938000000001</v>
      </c>
    </row>
    <row r="373" spans="1:10" x14ac:dyDescent="0.3">
      <c r="A373">
        <v>371</v>
      </c>
      <c r="B373">
        <v>5929</v>
      </c>
      <c r="C373" t="b">
        <v>1</v>
      </c>
      <c r="D373">
        <v>8048</v>
      </c>
      <c r="E373">
        <v>8123</v>
      </c>
      <c r="F373">
        <v>8</v>
      </c>
      <c r="G373">
        <v>5.6</v>
      </c>
      <c r="H373">
        <v>1.4285715000000001</v>
      </c>
      <c r="I373">
        <v>-0.42857146000000002</v>
      </c>
      <c r="J373">
        <v>0.41176467999999999</v>
      </c>
    </row>
    <row r="374" spans="1:10" x14ac:dyDescent="0.3">
      <c r="A374">
        <v>372</v>
      </c>
      <c r="B374">
        <v>5945</v>
      </c>
      <c r="C374" t="b">
        <v>1</v>
      </c>
      <c r="D374">
        <v>8048</v>
      </c>
      <c r="E374">
        <v>8123</v>
      </c>
      <c r="F374">
        <v>8</v>
      </c>
      <c r="G374">
        <v>6.4</v>
      </c>
      <c r="H374">
        <v>1.25</v>
      </c>
      <c r="I374">
        <v>-0.24999999000000001</v>
      </c>
      <c r="J374">
        <v>0.44444447999999998</v>
      </c>
    </row>
    <row r="375" spans="1:10" x14ac:dyDescent="0.3">
      <c r="A375">
        <v>373</v>
      </c>
      <c r="B375">
        <v>5961</v>
      </c>
      <c r="C375" t="b">
        <v>1</v>
      </c>
      <c r="D375">
        <v>8048</v>
      </c>
      <c r="E375">
        <v>8123</v>
      </c>
      <c r="F375">
        <v>8</v>
      </c>
      <c r="G375">
        <v>7.2</v>
      </c>
      <c r="H375">
        <v>1.1111112000000001</v>
      </c>
      <c r="I375">
        <v>-0.11111114</v>
      </c>
      <c r="J375">
        <v>0.4736842</v>
      </c>
    </row>
    <row r="376" spans="1:10" x14ac:dyDescent="0.3">
      <c r="A376">
        <v>374</v>
      </c>
      <c r="B376">
        <v>5977</v>
      </c>
      <c r="C376" t="b">
        <v>1</v>
      </c>
      <c r="D376">
        <v>8048</v>
      </c>
      <c r="E376">
        <v>8123</v>
      </c>
      <c r="F376">
        <v>8</v>
      </c>
      <c r="G376">
        <v>8</v>
      </c>
      <c r="H376">
        <v>1</v>
      </c>
      <c r="I376">
        <v>0</v>
      </c>
      <c r="J376">
        <v>0.5</v>
      </c>
    </row>
    <row r="377" spans="1:10" x14ac:dyDescent="0.3">
      <c r="A377">
        <v>375</v>
      </c>
      <c r="B377">
        <v>5993</v>
      </c>
      <c r="C377" t="b">
        <v>1</v>
      </c>
      <c r="D377">
        <v>8054</v>
      </c>
      <c r="E377">
        <v>8123</v>
      </c>
      <c r="F377">
        <v>8</v>
      </c>
      <c r="G377">
        <v>8</v>
      </c>
      <c r="H377">
        <v>1</v>
      </c>
      <c r="I377">
        <v>0</v>
      </c>
      <c r="J377">
        <v>0.5</v>
      </c>
    </row>
    <row r="378" spans="1:10" x14ac:dyDescent="0.3">
      <c r="A378">
        <v>376</v>
      </c>
      <c r="B378">
        <v>6008</v>
      </c>
      <c r="C378" t="b">
        <v>1</v>
      </c>
      <c r="D378">
        <v>8048</v>
      </c>
      <c r="E378">
        <v>8123</v>
      </c>
      <c r="F378">
        <v>8</v>
      </c>
      <c r="G378">
        <v>8</v>
      </c>
      <c r="H378">
        <v>1</v>
      </c>
      <c r="I378">
        <v>0</v>
      </c>
      <c r="J378">
        <v>0.5</v>
      </c>
    </row>
    <row r="379" spans="1:10" x14ac:dyDescent="0.3">
      <c r="A379">
        <v>377</v>
      </c>
      <c r="B379">
        <v>6024</v>
      </c>
      <c r="C379" t="b">
        <v>1</v>
      </c>
      <c r="D379">
        <v>8048</v>
      </c>
      <c r="E379">
        <v>8123</v>
      </c>
      <c r="F379">
        <v>8</v>
      </c>
      <c r="G379">
        <v>8</v>
      </c>
      <c r="H379">
        <v>1</v>
      </c>
      <c r="I379">
        <v>0</v>
      </c>
      <c r="J379">
        <v>0.5</v>
      </c>
    </row>
    <row r="380" spans="1:10" x14ac:dyDescent="0.3">
      <c r="A380">
        <v>378</v>
      </c>
      <c r="B380">
        <v>6040</v>
      </c>
      <c r="C380" t="b">
        <v>1</v>
      </c>
      <c r="D380">
        <v>8048</v>
      </c>
      <c r="E380">
        <v>8123</v>
      </c>
      <c r="F380">
        <v>8</v>
      </c>
      <c r="G380">
        <v>8</v>
      </c>
      <c r="H380">
        <v>1</v>
      </c>
      <c r="I380">
        <v>0</v>
      </c>
      <c r="J380">
        <v>0.5</v>
      </c>
    </row>
    <row r="381" spans="1:10" x14ac:dyDescent="0.3">
      <c r="A381">
        <v>379</v>
      </c>
      <c r="B381">
        <v>6056</v>
      </c>
      <c r="C381" t="b">
        <v>1</v>
      </c>
      <c r="D381">
        <v>8048</v>
      </c>
      <c r="E381">
        <v>8117</v>
      </c>
      <c r="F381">
        <v>8</v>
      </c>
      <c r="G381">
        <v>8</v>
      </c>
      <c r="H381">
        <v>1</v>
      </c>
      <c r="I381">
        <v>0</v>
      </c>
      <c r="J381">
        <v>0.5</v>
      </c>
    </row>
    <row r="382" spans="1:10" x14ac:dyDescent="0.3">
      <c r="A382">
        <v>380</v>
      </c>
      <c r="B382">
        <v>6072</v>
      </c>
      <c r="C382" t="b">
        <v>1</v>
      </c>
      <c r="D382">
        <v>8048</v>
      </c>
      <c r="E382">
        <v>8123</v>
      </c>
      <c r="F382">
        <v>8</v>
      </c>
      <c r="G382">
        <v>8</v>
      </c>
      <c r="H382">
        <v>1</v>
      </c>
      <c r="I382">
        <v>0</v>
      </c>
      <c r="J382">
        <v>0.5</v>
      </c>
    </row>
    <row r="383" spans="1:10" x14ac:dyDescent="0.3">
      <c r="A383">
        <v>381</v>
      </c>
      <c r="B383">
        <v>6087</v>
      </c>
      <c r="C383" t="b">
        <v>1</v>
      </c>
      <c r="D383">
        <v>8048</v>
      </c>
      <c r="E383">
        <v>8123</v>
      </c>
      <c r="F383">
        <v>8</v>
      </c>
      <c r="G383">
        <v>8</v>
      </c>
      <c r="H383">
        <v>1</v>
      </c>
      <c r="I383">
        <v>0</v>
      </c>
      <c r="J383">
        <v>0.5</v>
      </c>
    </row>
    <row r="384" spans="1:10" x14ac:dyDescent="0.3">
      <c r="A384">
        <v>382</v>
      </c>
      <c r="B384">
        <v>6103</v>
      </c>
      <c r="C384" t="b">
        <v>1</v>
      </c>
      <c r="D384">
        <v>8048</v>
      </c>
      <c r="E384">
        <v>8123</v>
      </c>
      <c r="F384">
        <v>8</v>
      </c>
      <c r="G384">
        <v>8</v>
      </c>
      <c r="H384">
        <v>1</v>
      </c>
      <c r="I384">
        <v>0</v>
      </c>
      <c r="J384">
        <v>0.5</v>
      </c>
    </row>
    <row r="385" spans="1:10" x14ac:dyDescent="0.3">
      <c r="A385">
        <v>383</v>
      </c>
      <c r="B385">
        <v>6119</v>
      </c>
      <c r="C385" t="b">
        <v>1</v>
      </c>
      <c r="D385">
        <v>8048</v>
      </c>
      <c r="E385">
        <v>8123</v>
      </c>
      <c r="F385">
        <v>8</v>
      </c>
      <c r="G385">
        <v>8</v>
      </c>
      <c r="H385">
        <v>1</v>
      </c>
      <c r="I385">
        <v>0</v>
      </c>
      <c r="J385">
        <v>0.5</v>
      </c>
    </row>
    <row r="386" spans="1:10" x14ac:dyDescent="0.3">
      <c r="A386">
        <v>384</v>
      </c>
      <c r="B386">
        <v>6135</v>
      </c>
      <c r="C386" t="b">
        <v>1</v>
      </c>
      <c r="D386">
        <v>8048</v>
      </c>
      <c r="E386">
        <v>8123</v>
      </c>
      <c r="F386">
        <v>8</v>
      </c>
      <c r="G386">
        <v>8</v>
      </c>
      <c r="H386">
        <v>1</v>
      </c>
      <c r="I386">
        <v>0</v>
      </c>
      <c r="J386">
        <v>0.5</v>
      </c>
    </row>
    <row r="387" spans="1:10" x14ac:dyDescent="0.3">
      <c r="A387">
        <v>385</v>
      </c>
      <c r="B387">
        <v>6151</v>
      </c>
      <c r="C387" t="b">
        <v>1</v>
      </c>
      <c r="D387">
        <v>8048</v>
      </c>
      <c r="E387">
        <v>8123</v>
      </c>
      <c r="F387">
        <v>8</v>
      </c>
      <c r="G387">
        <v>8</v>
      </c>
      <c r="H387">
        <v>1</v>
      </c>
      <c r="I387">
        <v>0</v>
      </c>
      <c r="J387">
        <v>0.5</v>
      </c>
    </row>
    <row r="388" spans="1:10" x14ac:dyDescent="0.3">
      <c r="A388">
        <v>386</v>
      </c>
      <c r="B388">
        <v>6166</v>
      </c>
      <c r="C388" t="b">
        <v>1</v>
      </c>
      <c r="D388">
        <v>8048</v>
      </c>
      <c r="E388">
        <v>8123</v>
      </c>
      <c r="F388">
        <v>8</v>
      </c>
      <c r="G388">
        <v>8</v>
      </c>
      <c r="H388">
        <v>1</v>
      </c>
      <c r="I388">
        <v>0</v>
      </c>
      <c r="J388">
        <v>0.5</v>
      </c>
    </row>
    <row r="389" spans="1:10" x14ac:dyDescent="0.3">
      <c r="A389">
        <v>387</v>
      </c>
      <c r="B389">
        <v>6182</v>
      </c>
      <c r="C389" t="b">
        <v>1</v>
      </c>
      <c r="D389">
        <v>8048</v>
      </c>
      <c r="E389">
        <v>8123</v>
      </c>
      <c r="F389">
        <v>8</v>
      </c>
      <c r="G389">
        <v>8</v>
      </c>
      <c r="H389">
        <v>1</v>
      </c>
      <c r="I389">
        <v>0</v>
      </c>
      <c r="J389">
        <v>0.5</v>
      </c>
    </row>
    <row r="390" spans="1:10" x14ac:dyDescent="0.3">
      <c r="A390">
        <v>388</v>
      </c>
      <c r="B390">
        <v>6198</v>
      </c>
      <c r="C390" t="b">
        <v>1</v>
      </c>
      <c r="D390">
        <v>8048</v>
      </c>
      <c r="E390">
        <v>8123</v>
      </c>
      <c r="F390">
        <v>8</v>
      </c>
      <c r="G390">
        <v>8</v>
      </c>
      <c r="H390">
        <v>1</v>
      </c>
      <c r="I390">
        <v>0</v>
      </c>
      <c r="J390">
        <v>0.5</v>
      </c>
    </row>
    <row r="391" spans="1:10" x14ac:dyDescent="0.3">
      <c r="A391">
        <v>389</v>
      </c>
      <c r="B391">
        <v>6214</v>
      </c>
      <c r="C391" t="b">
        <v>1</v>
      </c>
      <c r="D391">
        <v>8048</v>
      </c>
      <c r="E391">
        <v>8117</v>
      </c>
      <c r="F391">
        <v>8</v>
      </c>
      <c r="G391">
        <v>8</v>
      </c>
      <c r="H391">
        <v>1</v>
      </c>
      <c r="I391">
        <v>0</v>
      </c>
      <c r="J391">
        <v>0.5</v>
      </c>
    </row>
    <row r="392" spans="1:10" x14ac:dyDescent="0.3">
      <c r="A392">
        <v>390</v>
      </c>
      <c r="B392">
        <v>6230</v>
      </c>
      <c r="C392" t="b">
        <v>1</v>
      </c>
      <c r="D392">
        <v>8048</v>
      </c>
      <c r="E392">
        <v>8123</v>
      </c>
      <c r="F392">
        <v>8</v>
      </c>
      <c r="G392">
        <v>8</v>
      </c>
      <c r="H392">
        <v>1</v>
      </c>
      <c r="I392">
        <v>0</v>
      </c>
      <c r="J392">
        <v>0.5</v>
      </c>
    </row>
    <row r="393" spans="1:10" x14ac:dyDescent="0.3">
      <c r="A393">
        <v>391</v>
      </c>
      <c r="B393">
        <v>6246</v>
      </c>
      <c r="C393" t="b">
        <v>1</v>
      </c>
      <c r="D393">
        <v>8048</v>
      </c>
      <c r="E393">
        <v>8123</v>
      </c>
      <c r="F393">
        <v>8</v>
      </c>
      <c r="G393">
        <v>8</v>
      </c>
      <c r="H393">
        <v>1</v>
      </c>
      <c r="I393">
        <v>0</v>
      </c>
      <c r="J393">
        <v>0.5</v>
      </c>
    </row>
    <row r="394" spans="1:10" x14ac:dyDescent="0.3">
      <c r="A394">
        <v>392</v>
      </c>
      <c r="B394">
        <v>6261</v>
      </c>
      <c r="C394" t="b">
        <v>1</v>
      </c>
      <c r="D394">
        <v>8048</v>
      </c>
      <c r="E394">
        <v>8123</v>
      </c>
      <c r="F394">
        <v>8</v>
      </c>
      <c r="G394">
        <v>8</v>
      </c>
      <c r="H394">
        <v>1</v>
      </c>
      <c r="I394">
        <v>0</v>
      </c>
      <c r="J394">
        <v>0.5</v>
      </c>
    </row>
    <row r="395" spans="1:10" x14ac:dyDescent="0.3">
      <c r="A395">
        <v>393</v>
      </c>
      <c r="B395">
        <v>6277</v>
      </c>
      <c r="C395" t="b">
        <v>1</v>
      </c>
      <c r="D395">
        <v>8042</v>
      </c>
      <c r="E395">
        <v>8123</v>
      </c>
      <c r="F395">
        <v>8</v>
      </c>
      <c r="G395">
        <v>8</v>
      </c>
      <c r="H395">
        <v>1</v>
      </c>
      <c r="I395">
        <v>0</v>
      </c>
      <c r="J395">
        <v>0.5</v>
      </c>
    </row>
    <row r="396" spans="1:10" x14ac:dyDescent="0.3">
      <c r="A396">
        <v>394</v>
      </c>
      <c r="B396">
        <v>6293</v>
      </c>
      <c r="C396" t="b">
        <v>1</v>
      </c>
      <c r="D396">
        <v>8042</v>
      </c>
      <c r="E396">
        <v>8117</v>
      </c>
      <c r="F396">
        <v>8</v>
      </c>
      <c r="G396">
        <v>8</v>
      </c>
      <c r="H396">
        <v>1</v>
      </c>
      <c r="I396">
        <v>0</v>
      </c>
      <c r="J396">
        <v>0.5</v>
      </c>
    </row>
    <row r="397" spans="1:10" x14ac:dyDescent="0.3">
      <c r="A397">
        <v>395</v>
      </c>
      <c r="B397">
        <v>6309</v>
      </c>
      <c r="C397" t="b">
        <v>1</v>
      </c>
      <c r="D397">
        <v>8042</v>
      </c>
      <c r="E397">
        <v>8123</v>
      </c>
      <c r="F397">
        <v>7.6</v>
      </c>
      <c r="G397">
        <v>8</v>
      </c>
      <c r="H397">
        <v>0.95</v>
      </c>
      <c r="I397">
        <v>5.0000012000000003E-2</v>
      </c>
      <c r="J397">
        <v>0.51282050000000001</v>
      </c>
    </row>
    <row r="398" spans="1:10" x14ac:dyDescent="0.3">
      <c r="A398">
        <v>396</v>
      </c>
      <c r="B398">
        <v>6325</v>
      </c>
      <c r="C398" t="b">
        <v>1</v>
      </c>
      <c r="D398">
        <v>8042</v>
      </c>
      <c r="E398">
        <v>8123</v>
      </c>
      <c r="F398">
        <v>7.2</v>
      </c>
      <c r="G398">
        <v>8</v>
      </c>
      <c r="H398">
        <v>0.9</v>
      </c>
      <c r="I398">
        <v>0.10000002400000001</v>
      </c>
      <c r="J398">
        <v>0.5263158</v>
      </c>
    </row>
    <row r="399" spans="1:10" x14ac:dyDescent="0.3">
      <c r="A399">
        <v>397</v>
      </c>
      <c r="B399">
        <v>6341</v>
      </c>
      <c r="C399" t="b">
        <v>1</v>
      </c>
      <c r="D399">
        <v>8042</v>
      </c>
      <c r="E399">
        <v>8123</v>
      </c>
      <c r="F399">
        <v>6.8</v>
      </c>
      <c r="G399">
        <v>8</v>
      </c>
      <c r="H399">
        <v>0.85</v>
      </c>
      <c r="I399">
        <v>0.14999998</v>
      </c>
      <c r="J399">
        <v>0.54054049999999998</v>
      </c>
    </row>
    <row r="400" spans="1:10" x14ac:dyDescent="0.3">
      <c r="A400">
        <v>398</v>
      </c>
      <c r="B400">
        <v>6356</v>
      </c>
      <c r="C400" t="b">
        <v>1</v>
      </c>
      <c r="D400">
        <v>8037</v>
      </c>
      <c r="E400">
        <v>8123</v>
      </c>
      <c r="F400">
        <v>6.4</v>
      </c>
      <c r="G400">
        <v>8</v>
      </c>
      <c r="H400">
        <v>0.8</v>
      </c>
      <c r="I400">
        <v>0.19999998999999999</v>
      </c>
      <c r="J400">
        <v>0.55555560000000004</v>
      </c>
    </row>
    <row r="401" spans="1:10" x14ac:dyDescent="0.3">
      <c r="A401">
        <v>399</v>
      </c>
      <c r="B401">
        <v>6372</v>
      </c>
      <c r="C401" t="b">
        <v>1</v>
      </c>
      <c r="D401">
        <v>8048</v>
      </c>
      <c r="E401">
        <v>8117</v>
      </c>
      <c r="F401">
        <v>6</v>
      </c>
      <c r="G401">
        <v>8</v>
      </c>
      <c r="H401">
        <v>0.75</v>
      </c>
      <c r="I401">
        <v>0.25</v>
      </c>
      <c r="J401">
        <v>0.57142859999999995</v>
      </c>
    </row>
    <row r="402" spans="1:10" x14ac:dyDescent="0.3">
      <c r="A402">
        <v>400</v>
      </c>
      <c r="B402">
        <v>6388</v>
      </c>
      <c r="C402" t="b">
        <v>1</v>
      </c>
      <c r="D402">
        <v>8048</v>
      </c>
      <c r="E402">
        <v>8117</v>
      </c>
      <c r="F402">
        <v>5.6</v>
      </c>
      <c r="G402">
        <v>8</v>
      </c>
      <c r="H402">
        <v>0.7</v>
      </c>
      <c r="I402">
        <v>0.3</v>
      </c>
      <c r="J402">
        <v>0.58823526000000004</v>
      </c>
    </row>
    <row r="403" spans="1:10" x14ac:dyDescent="0.3">
      <c r="A403">
        <v>401</v>
      </c>
      <c r="B403">
        <v>6404</v>
      </c>
      <c r="C403" t="b">
        <v>1</v>
      </c>
      <c r="D403">
        <v>8048</v>
      </c>
      <c r="E403">
        <v>8129</v>
      </c>
      <c r="F403">
        <v>5.6</v>
      </c>
      <c r="G403">
        <v>8</v>
      </c>
      <c r="H403">
        <v>0.7</v>
      </c>
      <c r="I403">
        <v>0.3</v>
      </c>
      <c r="J403">
        <v>0.58823526000000004</v>
      </c>
    </row>
    <row r="404" spans="1:10" x14ac:dyDescent="0.3">
      <c r="A404">
        <v>402</v>
      </c>
      <c r="B404">
        <v>6419</v>
      </c>
      <c r="C404" t="b">
        <v>1</v>
      </c>
      <c r="D404">
        <v>8048</v>
      </c>
      <c r="E404">
        <v>8123</v>
      </c>
      <c r="F404">
        <v>5.6</v>
      </c>
      <c r="G404">
        <v>8</v>
      </c>
      <c r="H404">
        <v>0.7</v>
      </c>
      <c r="I404">
        <v>0.3</v>
      </c>
      <c r="J404">
        <v>0.58823526000000004</v>
      </c>
    </row>
    <row r="405" spans="1:10" x14ac:dyDescent="0.3">
      <c r="A405">
        <v>403</v>
      </c>
      <c r="B405">
        <v>6436</v>
      </c>
      <c r="C405" t="b">
        <v>1</v>
      </c>
      <c r="D405">
        <v>8048</v>
      </c>
      <c r="E405">
        <v>8123</v>
      </c>
      <c r="F405">
        <v>5.6</v>
      </c>
      <c r="G405">
        <v>8</v>
      </c>
      <c r="H405">
        <v>0.7</v>
      </c>
      <c r="I405">
        <v>0.3</v>
      </c>
      <c r="J405">
        <v>0.58823526000000004</v>
      </c>
    </row>
    <row r="406" spans="1:10" x14ac:dyDescent="0.3">
      <c r="A406">
        <v>404</v>
      </c>
      <c r="B406">
        <v>6451</v>
      </c>
      <c r="C406" t="b">
        <v>1</v>
      </c>
      <c r="D406">
        <v>8048</v>
      </c>
      <c r="E406">
        <v>8123</v>
      </c>
      <c r="F406">
        <v>5.6</v>
      </c>
      <c r="G406">
        <v>8</v>
      </c>
      <c r="H406">
        <v>0.7</v>
      </c>
      <c r="I406">
        <v>0.3</v>
      </c>
      <c r="J406">
        <v>0.58823526000000004</v>
      </c>
    </row>
    <row r="407" spans="1:10" x14ac:dyDescent="0.3">
      <c r="A407">
        <v>405</v>
      </c>
      <c r="B407">
        <v>6467</v>
      </c>
      <c r="C407" t="b">
        <v>1</v>
      </c>
      <c r="D407">
        <v>8048</v>
      </c>
      <c r="E407">
        <v>8129</v>
      </c>
      <c r="F407">
        <v>5.6</v>
      </c>
      <c r="G407">
        <v>8</v>
      </c>
      <c r="H407">
        <v>0.7</v>
      </c>
      <c r="I407">
        <v>0.3</v>
      </c>
      <c r="J407">
        <v>0.58823526000000004</v>
      </c>
    </row>
    <row r="408" spans="1:10" x14ac:dyDescent="0.3">
      <c r="A408">
        <v>406</v>
      </c>
      <c r="B408">
        <v>6483</v>
      </c>
      <c r="C408" t="b">
        <v>1</v>
      </c>
      <c r="D408">
        <v>8042</v>
      </c>
      <c r="E408">
        <v>8123</v>
      </c>
      <c r="F408">
        <v>5.6</v>
      </c>
      <c r="G408">
        <v>8</v>
      </c>
      <c r="H408">
        <v>0.7</v>
      </c>
      <c r="I408">
        <v>0.3</v>
      </c>
      <c r="J408">
        <v>0.58823526000000004</v>
      </c>
    </row>
    <row r="409" spans="1:10" x14ac:dyDescent="0.3">
      <c r="A409">
        <v>407</v>
      </c>
      <c r="B409">
        <v>6499</v>
      </c>
      <c r="C409" t="b">
        <v>1</v>
      </c>
      <c r="D409">
        <v>8048</v>
      </c>
      <c r="E409">
        <v>8123</v>
      </c>
      <c r="F409">
        <v>5.6</v>
      </c>
      <c r="G409">
        <v>8</v>
      </c>
      <c r="H409">
        <v>0.7</v>
      </c>
      <c r="I409">
        <v>0.3</v>
      </c>
      <c r="J409">
        <v>0.58823526000000004</v>
      </c>
    </row>
    <row r="410" spans="1:10" x14ac:dyDescent="0.3">
      <c r="A410">
        <v>408</v>
      </c>
      <c r="B410">
        <v>6515</v>
      </c>
      <c r="C410" t="b">
        <v>1</v>
      </c>
      <c r="D410">
        <v>8048</v>
      </c>
      <c r="E410">
        <v>8123</v>
      </c>
      <c r="F410">
        <v>5.6</v>
      </c>
      <c r="G410">
        <v>8</v>
      </c>
      <c r="H410">
        <v>0.7</v>
      </c>
      <c r="I410">
        <v>0.3</v>
      </c>
      <c r="J410">
        <v>0.58823526000000004</v>
      </c>
    </row>
    <row r="411" spans="1:10" x14ac:dyDescent="0.3">
      <c r="A411">
        <v>409</v>
      </c>
      <c r="B411">
        <v>6531</v>
      </c>
      <c r="C411" t="b">
        <v>1</v>
      </c>
      <c r="D411">
        <v>8054</v>
      </c>
      <c r="E411">
        <v>8123</v>
      </c>
      <c r="F411">
        <v>5.6</v>
      </c>
      <c r="G411">
        <v>8</v>
      </c>
      <c r="H411">
        <v>0.7</v>
      </c>
      <c r="I411">
        <v>0.3</v>
      </c>
      <c r="J411">
        <v>0.58823526000000004</v>
      </c>
    </row>
    <row r="412" spans="1:10" x14ac:dyDescent="0.3">
      <c r="A412">
        <v>410</v>
      </c>
      <c r="B412">
        <v>6547</v>
      </c>
      <c r="C412" t="b">
        <v>1</v>
      </c>
      <c r="D412">
        <v>8048</v>
      </c>
      <c r="E412">
        <v>8123</v>
      </c>
      <c r="F412">
        <v>6</v>
      </c>
      <c r="G412">
        <v>8</v>
      </c>
      <c r="H412">
        <v>0.75</v>
      </c>
      <c r="I412">
        <v>0.25</v>
      </c>
      <c r="J412">
        <v>0.57142859999999995</v>
      </c>
    </row>
    <row r="413" spans="1:10" x14ac:dyDescent="0.3">
      <c r="A413">
        <v>411</v>
      </c>
      <c r="B413">
        <v>6562</v>
      </c>
      <c r="C413" t="b">
        <v>1</v>
      </c>
      <c r="D413">
        <v>8048</v>
      </c>
      <c r="E413">
        <v>8117</v>
      </c>
      <c r="F413">
        <v>6.4</v>
      </c>
      <c r="G413">
        <v>8</v>
      </c>
      <c r="H413">
        <v>0.8</v>
      </c>
      <c r="I413">
        <v>0.19999998999999999</v>
      </c>
      <c r="J413">
        <v>0.55555560000000004</v>
      </c>
    </row>
    <row r="414" spans="1:10" x14ac:dyDescent="0.3">
      <c r="A414">
        <v>412</v>
      </c>
      <c r="B414">
        <v>6578</v>
      </c>
      <c r="C414" t="b">
        <v>1</v>
      </c>
      <c r="D414">
        <v>8042</v>
      </c>
      <c r="E414">
        <v>8123</v>
      </c>
      <c r="F414">
        <v>6.8</v>
      </c>
      <c r="G414">
        <v>8</v>
      </c>
      <c r="H414">
        <v>0.85</v>
      </c>
      <c r="I414">
        <v>0.14999998</v>
      </c>
      <c r="J414">
        <v>0.54054049999999998</v>
      </c>
    </row>
    <row r="415" spans="1:10" x14ac:dyDescent="0.3">
      <c r="A415">
        <v>413</v>
      </c>
      <c r="B415">
        <v>6594</v>
      </c>
      <c r="C415" t="b">
        <v>1</v>
      </c>
      <c r="D415">
        <v>8042</v>
      </c>
      <c r="E415">
        <v>8117</v>
      </c>
      <c r="F415">
        <v>7.2</v>
      </c>
      <c r="G415">
        <v>8</v>
      </c>
      <c r="H415">
        <v>0.9</v>
      </c>
      <c r="I415">
        <v>0.10000002400000001</v>
      </c>
      <c r="J415">
        <v>0.5263158</v>
      </c>
    </row>
    <row r="416" spans="1:10" x14ac:dyDescent="0.3">
      <c r="A416">
        <v>414</v>
      </c>
      <c r="B416">
        <v>6610</v>
      </c>
      <c r="C416" t="b">
        <v>1</v>
      </c>
      <c r="D416">
        <v>8042</v>
      </c>
      <c r="E416">
        <v>8117</v>
      </c>
      <c r="F416">
        <v>7.2</v>
      </c>
      <c r="G416">
        <v>7.6</v>
      </c>
      <c r="H416">
        <v>0.9473684</v>
      </c>
      <c r="I416">
        <v>5.2631589999999999E-2</v>
      </c>
      <c r="J416">
        <v>0.51351349999999996</v>
      </c>
    </row>
    <row r="417" spans="1:10" x14ac:dyDescent="0.3">
      <c r="A417">
        <v>415</v>
      </c>
      <c r="B417">
        <v>6626</v>
      </c>
      <c r="C417" t="b">
        <v>1</v>
      </c>
      <c r="D417">
        <v>8048</v>
      </c>
      <c r="E417">
        <v>8117</v>
      </c>
      <c r="F417">
        <v>7.2</v>
      </c>
      <c r="G417">
        <v>7.2</v>
      </c>
      <c r="H417">
        <v>1</v>
      </c>
      <c r="I417">
        <v>0</v>
      </c>
      <c r="J417">
        <v>0.5</v>
      </c>
    </row>
    <row r="418" spans="1:10" x14ac:dyDescent="0.3">
      <c r="A418">
        <v>416</v>
      </c>
      <c r="B418">
        <v>6642</v>
      </c>
      <c r="C418" t="b">
        <v>1</v>
      </c>
      <c r="D418">
        <v>8042</v>
      </c>
      <c r="E418">
        <v>8117</v>
      </c>
      <c r="F418">
        <v>6.8</v>
      </c>
      <c r="G418">
        <v>6.8</v>
      </c>
      <c r="H418">
        <v>1</v>
      </c>
      <c r="I418">
        <v>0</v>
      </c>
      <c r="J418">
        <v>0.5</v>
      </c>
    </row>
    <row r="419" spans="1:10" x14ac:dyDescent="0.3">
      <c r="A419">
        <v>417</v>
      </c>
      <c r="B419">
        <v>6658</v>
      </c>
      <c r="C419" t="b">
        <v>1</v>
      </c>
      <c r="D419">
        <v>8048</v>
      </c>
      <c r="E419">
        <v>8117</v>
      </c>
      <c r="F419">
        <v>6.4</v>
      </c>
      <c r="G419">
        <v>6.4</v>
      </c>
      <c r="H419">
        <v>1</v>
      </c>
      <c r="I419">
        <v>0</v>
      </c>
      <c r="J419">
        <v>0.5</v>
      </c>
    </row>
    <row r="420" spans="1:10" x14ac:dyDescent="0.3">
      <c r="A420">
        <v>418</v>
      </c>
      <c r="B420">
        <v>6674</v>
      </c>
      <c r="C420" t="b">
        <v>1</v>
      </c>
      <c r="D420">
        <v>8048</v>
      </c>
      <c r="E420">
        <v>8117</v>
      </c>
      <c r="F420">
        <v>6.4</v>
      </c>
      <c r="G420">
        <v>6</v>
      </c>
      <c r="H420">
        <v>1.0666667000000001</v>
      </c>
      <c r="I420">
        <v>-6.6666685000000003E-2</v>
      </c>
      <c r="J420">
        <v>0.48387098000000001</v>
      </c>
    </row>
    <row r="421" spans="1:10" x14ac:dyDescent="0.3">
      <c r="A421">
        <v>419</v>
      </c>
      <c r="B421">
        <v>6689</v>
      </c>
      <c r="C421" t="b">
        <v>1</v>
      </c>
      <c r="D421">
        <v>8054</v>
      </c>
      <c r="E421">
        <v>8123</v>
      </c>
      <c r="F421">
        <v>6.4</v>
      </c>
      <c r="G421">
        <v>5.6</v>
      </c>
      <c r="H421">
        <v>1.1428571999999999</v>
      </c>
      <c r="I421">
        <v>-0.14285718</v>
      </c>
      <c r="J421">
        <v>0.46666667000000001</v>
      </c>
    </row>
    <row r="422" spans="1:10" x14ac:dyDescent="0.3">
      <c r="A422">
        <v>420</v>
      </c>
      <c r="B422">
        <v>6705</v>
      </c>
      <c r="C422" t="b">
        <v>1</v>
      </c>
      <c r="D422">
        <v>8048</v>
      </c>
      <c r="E422">
        <v>8123</v>
      </c>
      <c r="F422">
        <v>6.4</v>
      </c>
      <c r="G422">
        <v>5.2</v>
      </c>
      <c r="H422">
        <v>1.2307693</v>
      </c>
      <c r="I422">
        <v>-0.23076928999999999</v>
      </c>
      <c r="J422">
        <v>0.44827582999999999</v>
      </c>
    </row>
    <row r="423" spans="1:10" x14ac:dyDescent="0.3">
      <c r="A423">
        <v>421</v>
      </c>
      <c r="B423">
        <v>6721</v>
      </c>
      <c r="C423" t="b">
        <v>1</v>
      </c>
      <c r="D423">
        <v>8048</v>
      </c>
      <c r="E423">
        <v>8129</v>
      </c>
      <c r="F423">
        <v>6.4</v>
      </c>
      <c r="G423">
        <v>5.2</v>
      </c>
      <c r="H423">
        <v>1.2307693</v>
      </c>
      <c r="I423">
        <v>-0.23076928999999999</v>
      </c>
      <c r="J423">
        <v>0.44827582999999999</v>
      </c>
    </row>
    <row r="424" spans="1:10" x14ac:dyDescent="0.3">
      <c r="A424">
        <v>422</v>
      </c>
      <c r="B424">
        <v>6737</v>
      </c>
      <c r="C424" t="b">
        <v>1</v>
      </c>
      <c r="D424">
        <v>8048</v>
      </c>
      <c r="E424">
        <v>8129</v>
      </c>
      <c r="F424">
        <v>6.4</v>
      </c>
      <c r="G424">
        <v>5.2</v>
      </c>
      <c r="H424">
        <v>1.2307693</v>
      </c>
      <c r="I424">
        <v>-0.23076928999999999</v>
      </c>
      <c r="J424">
        <v>0.44827582999999999</v>
      </c>
    </row>
    <row r="425" spans="1:10" x14ac:dyDescent="0.3">
      <c r="A425">
        <v>423</v>
      </c>
      <c r="B425">
        <v>6753</v>
      </c>
      <c r="C425" t="b">
        <v>1</v>
      </c>
      <c r="D425">
        <v>8048</v>
      </c>
      <c r="E425">
        <v>8129</v>
      </c>
      <c r="F425">
        <v>6.4</v>
      </c>
      <c r="G425">
        <v>5.6</v>
      </c>
      <c r="H425">
        <v>1.1428571999999999</v>
      </c>
      <c r="I425">
        <v>-0.14285718</v>
      </c>
      <c r="J425">
        <v>0.46666667000000001</v>
      </c>
    </row>
    <row r="426" spans="1:10" x14ac:dyDescent="0.3">
      <c r="A426">
        <v>424</v>
      </c>
      <c r="B426">
        <v>6768</v>
      </c>
      <c r="C426" t="b">
        <v>1</v>
      </c>
      <c r="D426">
        <v>8048</v>
      </c>
      <c r="E426">
        <v>8129</v>
      </c>
      <c r="F426">
        <v>6.4</v>
      </c>
      <c r="G426">
        <v>6</v>
      </c>
      <c r="H426">
        <v>1.0666667000000001</v>
      </c>
      <c r="I426">
        <v>-6.6666685000000003E-2</v>
      </c>
      <c r="J426">
        <v>0.48387098000000001</v>
      </c>
    </row>
    <row r="427" spans="1:10" x14ac:dyDescent="0.3">
      <c r="A427">
        <v>425</v>
      </c>
      <c r="B427">
        <v>6784</v>
      </c>
      <c r="C427" t="b">
        <v>1</v>
      </c>
      <c r="D427">
        <v>8048</v>
      </c>
      <c r="E427">
        <v>8123</v>
      </c>
      <c r="F427">
        <v>6.4</v>
      </c>
      <c r="G427">
        <v>6.4</v>
      </c>
      <c r="H427">
        <v>1</v>
      </c>
      <c r="I427">
        <v>0</v>
      </c>
      <c r="J427">
        <v>0.5</v>
      </c>
    </row>
    <row r="428" spans="1:10" x14ac:dyDescent="0.3">
      <c r="A428">
        <v>426</v>
      </c>
      <c r="B428">
        <v>6800</v>
      </c>
      <c r="C428" t="b">
        <v>1</v>
      </c>
      <c r="D428">
        <v>8054</v>
      </c>
      <c r="E428">
        <v>8123</v>
      </c>
      <c r="F428">
        <v>6.4</v>
      </c>
      <c r="G428">
        <v>6.8</v>
      </c>
      <c r="H428">
        <v>0.94117649999999997</v>
      </c>
      <c r="I428">
        <v>5.8823540000000001E-2</v>
      </c>
      <c r="J428">
        <v>0.51515149999999998</v>
      </c>
    </row>
    <row r="429" spans="1:10" x14ac:dyDescent="0.3">
      <c r="A429">
        <v>427</v>
      </c>
      <c r="B429">
        <v>6816</v>
      </c>
      <c r="C429" t="b">
        <v>1</v>
      </c>
      <c r="D429">
        <v>8054</v>
      </c>
      <c r="E429">
        <v>8123</v>
      </c>
      <c r="F429">
        <v>6.4</v>
      </c>
      <c r="G429">
        <v>6.8</v>
      </c>
      <c r="H429">
        <v>0.94117649999999997</v>
      </c>
      <c r="I429">
        <v>5.8823540000000001E-2</v>
      </c>
      <c r="J429">
        <v>0.51515149999999998</v>
      </c>
    </row>
    <row r="430" spans="1:10" x14ac:dyDescent="0.3">
      <c r="A430">
        <v>428</v>
      </c>
      <c r="B430">
        <v>6832</v>
      </c>
      <c r="C430" t="b">
        <v>1</v>
      </c>
      <c r="D430">
        <v>8054</v>
      </c>
      <c r="E430">
        <v>8123</v>
      </c>
      <c r="F430">
        <v>6.8</v>
      </c>
      <c r="G430">
        <v>6.8</v>
      </c>
      <c r="H430">
        <v>1</v>
      </c>
      <c r="I430">
        <v>0</v>
      </c>
      <c r="J430">
        <v>0.5</v>
      </c>
    </row>
    <row r="431" spans="1:10" x14ac:dyDescent="0.3">
      <c r="A431">
        <v>429</v>
      </c>
      <c r="B431">
        <v>6848</v>
      </c>
      <c r="C431" t="b">
        <v>1</v>
      </c>
      <c r="D431">
        <v>8054</v>
      </c>
      <c r="E431">
        <v>8123</v>
      </c>
      <c r="F431">
        <v>7.6</v>
      </c>
      <c r="G431">
        <v>7.2</v>
      </c>
      <c r="H431">
        <v>1.0555555999999999</v>
      </c>
      <c r="I431">
        <v>-5.5555569999999999E-2</v>
      </c>
      <c r="J431">
        <v>0.48648649999999999</v>
      </c>
    </row>
    <row r="432" spans="1:10" x14ac:dyDescent="0.3">
      <c r="A432">
        <v>430</v>
      </c>
      <c r="B432">
        <v>6864</v>
      </c>
      <c r="C432" t="b">
        <v>1</v>
      </c>
      <c r="D432">
        <v>8048</v>
      </c>
      <c r="E432">
        <v>8117</v>
      </c>
      <c r="F432">
        <v>8.4</v>
      </c>
      <c r="G432">
        <v>7.6</v>
      </c>
      <c r="H432">
        <v>1.1052630999999999</v>
      </c>
      <c r="I432">
        <v>-0.10526312</v>
      </c>
      <c r="J432">
        <v>0.47499999999999998</v>
      </c>
    </row>
    <row r="433" spans="1:10" x14ac:dyDescent="0.3">
      <c r="A433">
        <v>431</v>
      </c>
      <c r="B433">
        <v>6879</v>
      </c>
      <c r="C433" t="b">
        <v>1</v>
      </c>
      <c r="D433">
        <v>8048</v>
      </c>
      <c r="E433">
        <v>8123</v>
      </c>
      <c r="F433">
        <v>9.1999999999999993</v>
      </c>
      <c r="G433">
        <v>8</v>
      </c>
      <c r="H433">
        <v>1.1499999999999999</v>
      </c>
      <c r="I433">
        <v>-0.14999998</v>
      </c>
      <c r="J433">
        <v>0.46511626</v>
      </c>
    </row>
    <row r="434" spans="1:10" x14ac:dyDescent="0.3">
      <c r="A434">
        <v>432</v>
      </c>
      <c r="B434">
        <v>6895</v>
      </c>
      <c r="C434" t="b">
        <v>1</v>
      </c>
      <c r="D434">
        <v>8048</v>
      </c>
      <c r="E434">
        <v>8123</v>
      </c>
      <c r="F434">
        <v>9.6</v>
      </c>
      <c r="G434">
        <v>8.4</v>
      </c>
      <c r="H434">
        <v>1.1428571999999999</v>
      </c>
      <c r="I434">
        <v>-0.14285724</v>
      </c>
      <c r="J434">
        <v>0.46666664000000002</v>
      </c>
    </row>
    <row r="435" spans="1:10" x14ac:dyDescent="0.3">
      <c r="A435">
        <v>433</v>
      </c>
      <c r="B435">
        <v>6911</v>
      </c>
      <c r="C435" t="b">
        <v>1</v>
      </c>
      <c r="D435">
        <v>8048</v>
      </c>
      <c r="E435">
        <v>8129</v>
      </c>
      <c r="F435">
        <v>9.6</v>
      </c>
      <c r="G435">
        <v>8.8000000000000007</v>
      </c>
      <c r="H435">
        <v>1.0909091</v>
      </c>
      <c r="I435">
        <v>-9.0909110000000001E-2</v>
      </c>
      <c r="J435">
        <v>0.47826084000000002</v>
      </c>
    </row>
    <row r="436" spans="1:10" x14ac:dyDescent="0.3">
      <c r="A436">
        <v>434</v>
      </c>
      <c r="B436">
        <v>6927</v>
      </c>
      <c r="C436" t="b">
        <v>1</v>
      </c>
      <c r="D436">
        <v>8048</v>
      </c>
      <c r="E436">
        <v>8129</v>
      </c>
      <c r="F436">
        <v>9.6</v>
      </c>
      <c r="G436">
        <v>9.1999999999999993</v>
      </c>
      <c r="H436">
        <v>1.0434783999999999</v>
      </c>
      <c r="I436">
        <v>-4.3478324999999998E-2</v>
      </c>
      <c r="J436">
        <v>0.48936170000000001</v>
      </c>
    </row>
    <row r="437" spans="1:10" x14ac:dyDescent="0.3">
      <c r="A437">
        <v>435</v>
      </c>
      <c r="B437">
        <v>6943</v>
      </c>
      <c r="C437" t="b">
        <v>1</v>
      </c>
      <c r="D437">
        <v>8042</v>
      </c>
      <c r="E437">
        <v>8129</v>
      </c>
      <c r="F437">
        <v>9.6</v>
      </c>
      <c r="G437">
        <v>10</v>
      </c>
      <c r="H437">
        <v>0.96000004000000005</v>
      </c>
      <c r="I437">
        <v>3.9999960000000001E-2</v>
      </c>
      <c r="J437">
        <v>0.51020410000000005</v>
      </c>
    </row>
    <row r="438" spans="1:10" x14ac:dyDescent="0.3">
      <c r="A438">
        <v>436</v>
      </c>
      <c r="B438">
        <v>6959</v>
      </c>
      <c r="C438" t="b">
        <v>1</v>
      </c>
      <c r="D438">
        <v>8048</v>
      </c>
      <c r="E438">
        <v>8129</v>
      </c>
      <c r="F438">
        <v>9.6</v>
      </c>
      <c r="G438">
        <v>10.4</v>
      </c>
      <c r="H438">
        <v>0.92307700000000004</v>
      </c>
      <c r="I438">
        <v>7.6923005000000003E-2</v>
      </c>
      <c r="J438">
        <v>0.52</v>
      </c>
    </row>
    <row r="439" spans="1:10" x14ac:dyDescent="0.3">
      <c r="A439">
        <v>437</v>
      </c>
      <c r="B439">
        <v>6975</v>
      </c>
      <c r="C439" t="b">
        <v>1</v>
      </c>
      <c r="D439">
        <v>8048</v>
      </c>
      <c r="E439">
        <v>8129</v>
      </c>
      <c r="F439">
        <v>9.6</v>
      </c>
      <c r="G439">
        <v>10.8</v>
      </c>
      <c r="H439">
        <v>0.88888889999999998</v>
      </c>
      <c r="I439">
        <v>0.11111109</v>
      </c>
      <c r="J439">
        <v>0.52941172999999997</v>
      </c>
    </row>
    <row r="440" spans="1:10" x14ac:dyDescent="0.3">
      <c r="A440">
        <v>438</v>
      </c>
      <c r="B440">
        <v>6991</v>
      </c>
      <c r="C440" t="b">
        <v>1</v>
      </c>
      <c r="D440">
        <v>8048</v>
      </c>
      <c r="E440">
        <v>8117</v>
      </c>
      <c r="F440">
        <v>9.6</v>
      </c>
      <c r="G440">
        <v>10.8</v>
      </c>
      <c r="H440">
        <v>0.88888889999999998</v>
      </c>
      <c r="I440">
        <v>0.11111109</v>
      </c>
      <c r="J440">
        <v>0.52941172999999997</v>
      </c>
    </row>
    <row r="441" spans="1:10" x14ac:dyDescent="0.3">
      <c r="A441">
        <v>439</v>
      </c>
      <c r="B441">
        <v>7006</v>
      </c>
      <c r="C441" t="b">
        <v>1</v>
      </c>
      <c r="D441">
        <v>8048</v>
      </c>
      <c r="E441">
        <v>8123</v>
      </c>
      <c r="F441">
        <v>9.6</v>
      </c>
      <c r="G441">
        <v>10.8</v>
      </c>
      <c r="H441">
        <v>0.88888889999999998</v>
      </c>
      <c r="I441">
        <v>0.11111109</v>
      </c>
      <c r="J441">
        <v>0.52941172999999997</v>
      </c>
    </row>
    <row r="442" spans="1:10" x14ac:dyDescent="0.3">
      <c r="A442">
        <v>440</v>
      </c>
      <c r="B442">
        <v>7022</v>
      </c>
      <c r="C442" t="b">
        <v>1</v>
      </c>
      <c r="D442">
        <v>8054</v>
      </c>
      <c r="E442">
        <v>8117</v>
      </c>
      <c r="F442">
        <v>9.6</v>
      </c>
      <c r="G442">
        <v>10.4</v>
      </c>
      <c r="H442">
        <v>0.92307700000000004</v>
      </c>
      <c r="I442">
        <v>7.6923005000000003E-2</v>
      </c>
      <c r="J442">
        <v>0.52</v>
      </c>
    </row>
    <row r="443" spans="1:10" x14ac:dyDescent="0.3">
      <c r="A443">
        <v>441</v>
      </c>
      <c r="B443">
        <v>7038</v>
      </c>
      <c r="C443" t="b">
        <v>1</v>
      </c>
      <c r="D443">
        <v>8054</v>
      </c>
      <c r="E443">
        <v>8123</v>
      </c>
      <c r="F443">
        <v>9.6</v>
      </c>
      <c r="G443">
        <v>10</v>
      </c>
      <c r="H443">
        <v>0.96000004000000005</v>
      </c>
      <c r="I443">
        <v>3.9999960000000001E-2</v>
      </c>
      <c r="J443">
        <v>0.51020410000000005</v>
      </c>
    </row>
    <row r="444" spans="1:10" x14ac:dyDescent="0.3">
      <c r="A444">
        <v>442</v>
      </c>
      <c r="B444">
        <v>7054</v>
      </c>
      <c r="C444" t="b">
        <v>1</v>
      </c>
      <c r="D444">
        <v>8048</v>
      </c>
      <c r="E444">
        <v>8123</v>
      </c>
      <c r="F444">
        <v>9.6</v>
      </c>
      <c r="G444">
        <v>10</v>
      </c>
      <c r="H444">
        <v>0.96000004000000005</v>
      </c>
      <c r="I444">
        <v>3.9999960000000001E-2</v>
      </c>
      <c r="J444">
        <v>0.51020410000000005</v>
      </c>
    </row>
    <row r="445" spans="1:10" x14ac:dyDescent="0.3">
      <c r="A445">
        <v>443</v>
      </c>
      <c r="B445">
        <v>7070</v>
      </c>
      <c r="C445" t="b">
        <v>1</v>
      </c>
      <c r="D445">
        <v>8048</v>
      </c>
      <c r="E445">
        <v>8123</v>
      </c>
      <c r="F445">
        <v>9.1999999999999993</v>
      </c>
      <c r="G445">
        <v>10</v>
      </c>
      <c r="H445">
        <v>0.91999995999999995</v>
      </c>
      <c r="I445">
        <v>8.0000020000000005E-2</v>
      </c>
      <c r="J445">
        <v>0.52083330000000005</v>
      </c>
    </row>
    <row r="446" spans="1:10" x14ac:dyDescent="0.3">
      <c r="A446">
        <v>444</v>
      </c>
      <c r="B446">
        <v>7086</v>
      </c>
      <c r="C446" t="b">
        <v>1</v>
      </c>
      <c r="D446">
        <v>8048</v>
      </c>
      <c r="E446">
        <v>8123</v>
      </c>
      <c r="F446">
        <v>8.8000000000000007</v>
      </c>
      <c r="G446">
        <v>10</v>
      </c>
      <c r="H446">
        <v>0.88</v>
      </c>
      <c r="I446">
        <v>0.11999998000000001</v>
      </c>
      <c r="J446">
        <v>0.53191489999999997</v>
      </c>
    </row>
    <row r="447" spans="1:10" x14ac:dyDescent="0.3">
      <c r="A447">
        <v>445</v>
      </c>
      <c r="B447">
        <v>7102</v>
      </c>
      <c r="C447" t="b">
        <v>1</v>
      </c>
      <c r="D447">
        <v>8048</v>
      </c>
      <c r="E447">
        <v>8117</v>
      </c>
      <c r="F447">
        <v>8.4</v>
      </c>
      <c r="G447">
        <v>10</v>
      </c>
      <c r="H447">
        <v>0.84</v>
      </c>
      <c r="I447">
        <v>0.16000004000000001</v>
      </c>
      <c r="J447">
        <v>0.54347825000000005</v>
      </c>
    </row>
    <row r="448" spans="1:10" x14ac:dyDescent="0.3">
      <c r="A448">
        <v>446</v>
      </c>
      <c r="B448">
        <v>7117</v>
      </c>
      <c r="C448" t="b">
        <v>1</v>
      </c>
      <c r="D448">
        <v>8048</v>
      </c>
      <c r="E448">
        <v>8123</v>
      </c>
      <c r="F448">
        <v>8</v>
      </c>
      <c r="G448">
        <v>10</v>
      </c>
      <c r="H448">
        <v>0.8</v>
      </c>
      <c r="I448">
        <v>0.2</v>
      </c>
      <c r="J448">
        <v>0.55555560000000004</v>
      </c>
    </row>
    <row r="449" spans="1:10" x14ac:dyDescent="0.3">
      <c r="A449">
        <v>447</v>
      </c>
      <c r="B449">
        <v>7133</v>
      </c>
      <c r="C449" t="b">
        <v>1</v>
      </c>
      <c r="D449">
        <v>8048</v>
      </c>
      <c r="E449">
        <v>8129</v>
      </c>
      <c r="F449">
        <v>8</v>
      </c>
      <c r="G449">
        <v>10</v>
      </c>
      <c r="H449">
        <v>0.8</v>
      </c>
      <c r="I449">
        <v>0.2</v>
      </c>
      <c r="J449">
        <v>0.55555560000000004</v>
      </c>
    </row>
    <row r="450" spans="1:10" x14ac:dyDescent="0.3">
      <c r="A450">
        <v>448</v>
      </c>
      <c r="B450">
        <v>7149</v>
      </c>
      <c r="C450" t="b">
        <v>1</v>
      </c>
      <c r="D450">
        <v>8048</v>
      </c>
      <c r="E450">
        <v>8123</v>
      </c>
      <c r="F450">
        <v>8</v>
      </c>
      <c r="G450">
        <v>10</v>
      </c>
      <c r="H450">
        <v>0.8</v>
      </c>
      <c r="I450">
        <v>0.2</v>
      </c>
      <c r="J450">
        <v>0.55555560000000004</v>
      </c>
    </row>
    <row r="451" spans="1:10" x14ac:dyDescent="0.3">
      <c r="A451">
        <v>449</v>
      </c>
      <c r="B451">
        <v>7165</v>
      </c>
      <c r="C451" t="b">
        <v>1</v>
      </c>
      <c r="D451">
        <v>8042</v>
      </c>
      <c r="E451">
        <v>8123</v>
      </c>
      <c r="F451">
        <v>8</v>
      </c>
      <c r="G451">
        <v>10</v>
      </c>
      <c r="H451">
        <v>0.8</v>
      </c>
      <c r="I451">
        <v>0.2</v>
      </c>
      <c r="J451">
        <v>0.55555560000000004</v>
      </c>
    </row>
    <row r="452" spans="1:10" x14ac:dyDescent="0.3">
      <c r="A452">
        <v>450</v>
      </c>
      <c r="B452">
        <v>7181</v>
      </c>
      <c r="C452" t="b">
        <v>1</v>
      </c>
      <c r="D452">
        <v>8042</v>
      </c>
      <c r="E452">
        <v>8123</v>
      </c>
      <c r="F452">
        <v>8</v>
      </c>
      <c r="G452">
        <v>9.6</v>
      </c>
      <c r="H452">
        <v>0.83333330000000005</v>
      </c>
      <c r="I452">
        <v>0.1666667</v>
      </c>
      <c r="J452">
        <v>0.54545456000000003</v>
      </c>
    </row>
    <row r="453" spans="1:10" x14ac:dyDescent="0.3">
      <c r="A453">
        <v>451</v>
      </c>
      <c r="B453">
        <v>7197</v>
      </c>
      <c r="C453" t="b">
        <v>1</v>
      </c>
      <c r="D453">
        <v>8042</v>
      </c>
      <c r="E453">
        <v>8123</v>
      </c>
      <c r="F453">
        <v>7.6</v>
      </c>
      <c r="G453">
        <v>9.1999999999999993</v>
      </c>
      <c r="H453">
        <v>0.82608694000000005</v>
      </c>
      <c r="I453">
        <v>0.17391303</v>
      </c>
      <c r="J453">
        <v>0.54761903999999995</v>
      </c>
    </row>
    <row r="454" spans="1:10" x14ac:dyDescent="0.3">
      <c r="A454">
        <v>452</v>
      </c>
      <c r="B454">
        <v>7212</v>
      </c>
      <c r="C454" t="b">
        <v>1</v>
      </c>
      <c r="D454">
        <v>8042</v>
      </c>
      <c r="E454">
        <v>8117</v>
      </c>
      <c r="F454">
        <v>7.2</v>
      </c>
      <c r="G454">
        <v>8.8000000000000007</v>
      </c>
      <c r="H454">
        <v>0.81818175000000004</v>
      </c>
      <c r="I454">
        <v>0.18181822</v>
      </c>
      <c r="J454">
        <v>0.55000000000000004</v>
      </c>
    </row>
    <row r="455" spans="1:10" x14ac:dyDescent="0.3">
      <c r="A455">
        <v>453</v>
      </c>
      <c r="B455">
        <v>7228</v>
      </c>
      <c r="C455" t="b">
        <v>1</v>
      </c>
      <c r="D455">
        <v>8042</v>
      </c>
      <c r="E455">
        <v>8123</v>
      </c>
      <c r="F455">
        <v>6.8</v>
      </c>
      <c r="G455">
        <v>8.4</v>
      </c>
      <c r="H455">
        <v>0.80952389999999996</v>
      </c>
      <c r="I455">
        <v>0.19047612999999999</v>
      </c>
      <c r="J455">
        <v>0.55263156000000002</v>
      </c>
    </row>
    <row r="456" spans="1:10" x14ac:dyDescent="0.3">
      <c r="A456">
        <v>454</v>
      </c>
      <c r="B456">
        <v>7244</v>
      </c>
      <c r="C456" t="b">
        <v>1</v>
      </c>
      <c r="D456">
        <v>8042</v>
      </c>
      <c r="E456">
        <v>8123</v>
      </c>
      <c r="F456">
        <v>6.4</v>
      </c>
      <c r="G456">
        <v>8</v>
      </c>
      <c r="H456">
        <v>0.8</v>
      </c>
      <c r="I456">
        <v>0.19999998999999999</v>
      </c>
      <c r="J456">
        <v>0.55555560000000004</v>
      </c>
    </row>
    <row r="457" spans="1:10" x14ac:dyDescent="0.3">
      <c r="A457">
        <v>455</v>
      </c>
      <c r="B457">
        <v>7260</v>
      </c>
      <c r="C457" t="b">
        <v>1</v>
      </c>
      <c r="D457">
        <v>8042</v>
      </c>
      <c r="E457">
        <v>8117</v>
      </c>
      <c r="F457">
        <v>6</v>
      </c>
      <c r="G457">
        <v>8</v>
      </c>
      <c r="H457">
        <v>0.75</v>
      </c>
      <c r="I457">
        <v>0.25</v>
      </c>
      <c r="J457">
        <v>0.57142859999999995</v>
      </c>
    </row>
    <row r="458" spans="1:10" x14ac:dyDescent="0.3">
      <c r="A458">
        <v>456</v>
      </c>
      <c r="B458">
        <v>7276</v>
      </c>
      <c r="C458" t="b">
        <v>1</v>
      </c>
      <c r="D458">
        <v>8042</v>
      </c>
      <c r="E458">
        <v>8123</v>
      </c>
      <c r="F458">
        <v>5.6</v>
      </c>
      <c r="G458">
        <v>8</v>
      </c>
      <c r="H458">
        <v>0.7</v>
      </c>
      <c r="I458">
        <v>0.3</v>
      </c>
      <c r="J458">
        <v>0.58823526000000004</v>
      </c>
    </row>
    <row r="459" spans="1:10" x14ac:dyDescent="0.3">
      <c r="A459">
        <v>457</v>
      </c>
      <c r="B459">
        <v>7292</v>
      </c>
      <c r="C459" t="b">
        <v>1</v>
      </c>
      <c r="D459">
        <v>8048</v>
      </c>
      <c r="E459">
        <v>8117</v>
      </c>
      <c r="F459">
        <v>5.2</v>
      </c>
      <c r="G459">
        <v>8</v>
      </c>
      <c r="H459">
        <v>0.65</v>
      </c>
      <c r="I459">
        <v>0.35000002000000002</v>
      </c>
      <c r="J459">
        <v>0.60606059999999995</v>
      </c>
    </row>
    <row r="460" spans="1:10" x14ac:dyDescent="0.3">
      <c r="A460">
        <v>458</v>
      </c>
      <c r="B460">
        <v>7307</v>
      </c>
      <c r="C460" t="b">
        <v>1</v>
      </c>
      <c r="D460">
        <v>8042</v>
      </c>
      <c r="E460">
        <v>8111</v>
      </c>
      <c r="F460">
        <v>4.8</v>
      </c>
      <c r="G460">
        <v>7.6</v>
      </c>
      <c r="H460">
        <v>0.631579</v>
      </c>
      <c r="I460">
        <v>0.36842101999999999</v>
      </c>
      <c r="J460">
        <v>0.61290323999999996</v>
      </c>
    </row>
    <row r="461" spans="1:10" x14ac:dyDescent="0.3">
      <c r="A461">
        <v>459</v>
      </c>
      <c r="B461">
        <v>7323</v>
      </c>
      <c r="C461" t="b">
        <v>1</v>
      </c>
      <c r="D461">
        <v>8048</v>
      </c>
      <c r="E461">
        <v>8117</v>
      </c>
      <c r="F461">
        <v>4.4000000000000004</v>
      </c>
      <c r="G461">
        <v>7.2</v>
      </c>
      <c r="H461">
        <v>0.61111115999999999</v>
      </c>
      <c r="I461">
        <v>0.38888887</v>
      </c>
      <c r="J461">
        <v>0.62068962999999999</v>
      </c>
    </row>
    <row r="462" spans="1:10" x14ac:dyDescent="0.3">
      <c r="A462">
        <v>460</v>
      </c>
      <c r="B462">
        <v>7339</v>
      </c>
      <c r="C462" t="b">
        <v>1</v>
      </c>
      <c r="D462">
        <v>8048</v>
      </c>
      <c r="E462">
        <v>8111</v>
      </c>
      <c r="F462">
        <v>4.4000000000000004</v>
      </c>
      <c r="G462">
        <v>6.8</v>
      </c>
      <c r="H462">
        <v>0.64705884000000002</v>
      </c>
      <c r="I462">
        <v>0.35294120000000001</v>
      </c>
      <c r="J462">
        <v>0.60714279999999998</v>
      </c>
    </row>
    <row r="463" spans="1:10" x14ac:dyDescent="0.3">
      <c r="A463">
        <v>461</v>
      </c>
      <c r="B463">
        <v>7355</v>
      </c>
      <c r="C463" t="b">
        <v>1</v>
      </c>
      <c r="D463">
        <v>8048</v>
      </c>
      <c r="E463">
        <v>8117</v>
      </c>
      <c r="F463">
        <v>4.4000000000000004</v>
      </c>
      <c r="G463">
        <v>6.4</v>
      </c>
      <c r="H463">
        <v>0.6875</v>
      </c>
      <c r="I463">
        <v>0.3125</v>
      </c>
      <c r="J463">
        <v>0.59259260000000002</v>
      </c>
    </row>
    <row r="464" spans="1:10" x14ac:dyDescent="0.3">
      <c r="A464">
        <v>462</v>
      </c>
      <c r="B464">
        <v>7371</v>
      </c>
      <c r="C464" t="b">
        <v>1</v>
      </c>
      <c r="D464">
        <v>8048</v>
      </c>
      <c r="E464">
        <v>8117</v>
      </c>
      <c r="F464">
        <v>4.4000000000000004</v>
      </c>
      <c r="G464">
        <v>6</v>
      </c>
      <c r="H464">
        <v>0.73333334999999999</v>
      </c>
      <c r="I464">
        <v>0.26666665000000001</v>
      </c>
      <c r="J464">
        <v>0.57692310000000002</v>
      </c>
    </row>
    <row r="465" spans="1:10" x14ac:dyDescent="0.3">
      <c r="A465">
        <v>463</v>
      </c>
      <c r="B465">
        <v>7386</v>
      </c>
      <c r="C465" t="b">
        <v>1</v>
      </c>
      <c r="D465">
        <v>8048</v>
      </c>
      <c r="E465">
        <v>8129</v>
      </c>
      <c r="F465">
        <v>4.4000000000000004</v>
      </c>
      <c r="G465">
        <v>5.6</v>
      </c>
      <c r="H465">
        <v>0.78571429999999998</v>
      </c>
      <c r="I465">
        <v>0.21428569</v>
      </c>
      <c r="J465">
        <v>0.56000000000000005</v>
      </c>
    </row>
    <row r="466" spans="1:10" x14ac:dyDescent="0.3">
      <c r="A466">
        <v>464</v>
      </c>
      <c r="B466">
        <v>7403</v>
      </c>
      <c r="C466" t="b">
        <v>1</v>
      </c>
      <c r="D466">
        <v>8054</v>
      </c>
      <c r="E466">
        <v>8129</v>
      </c>
      <c r="F466">
        <v>4.4000000000000004</v>
      </c>
      <c r="G466">
        <v>5.2</v>
      </c>
      <c r="H466">
        <v>0.84615390000000001</v>
      </c>
      <c r="I466">
        <v>0.15384610000000001</v>
      </c>
      <c r="J466">
        <v>0.5416666</v>
      </c>
    </row>
    <row r="467" spans="1:10" x14ac:dyDescent="0.3">
      <c r="A467">
        <v>465</v>
      </c>
      <c r="B467">
        <v>7418</v>
      </c>
      <c r="C467" t="b">
        <v>1</v>
      </c>
      <c r="D467">
        <v>8048</v>
      </c>
      <c r="E467">
        <v>8129</v>
      </c>
      <c r="F467">
        <v>4.4000000000000004</v>
      </c>
      <c r="G467">
        <v>5.6</v>
      </c>
      <c r="H467">
        <v>0.78571429999999998</v>
      </c>
      <c r="I467">
        <v>0.21428569</v>
      </c>
      <c r="J467">
        <v>0.56000000000000005</v>
      </c>
    </row>
    <row r="468" spans="1:10" x14ac:dyDescent="0.3">
      <c r="A468">
        <v>466</v>
      </c>
      <c r="B468">
        <v>7434</v>
      </c>
      <c r="C468" t="b">
        <v>1</v>
      </c>
      <c r="D468">
        <v>8048</v>
      </c>
      <c r="E468">
        <v>8123</v>
      </c>
      <c r="F468">
        <v>4.8</v>
      </c>
      <c r="G468">
        <v>6</v>
      </c>
      <c r="H468">
        <v>0.8</v>
      </c>
      <c r="I468">
        <v>0.19999997</v>
      </c>
      <c r="J468">
        <v>0.55555549999999998</v>
      </c>
    </row>
    <row r="469" spans="1:10" x14ac:dyDescent="0.3">
      <c r="A469">
        <v>467</v>
      </c>
      <c r="B469">
        <v>7450</v>
      </c>
      <c r="C469" t="b">
        <v>1</v>
      </c>
      <c r="D469">
        <v>8054</v>
      </c>
      <c r="E469">
        <v>8129</v>
      </c>
      <c r="F469">
        <v>5.2</v>
      </c>
      <c r="G469">
        <v>6.4</v>
      </c>
      <c r="H469">
        <v>0.81249994000000003</v>
      </c>
      <c r="I469">
        <v>0.18750004000000001</v>
      </c>
      <c r="J469">
        <v>0.55172414000000003</v>
      </c>
    </row>
    <row r="470" spans="1:10" x14ac:dyDescent="0.3">
      <c r="A470">
        <v>468</v>
      </c>
      <c r="B470">
        <v>7466</v>
      </c>
      <c r="C470" t="b">
        <v>1</v>
      </c>
      <c r="D470">
        <v>8048</v>
      </c>
      <c r="E470">
        <v>8129</v>
      </c>
      <c r="F470">
        <v>5.6</v>
      </c>
      <c r="G470">
        <v>6.8</v>
      </c>
      <c r="H470">
        <v>0.82352935999999999</v>
      </c>
      <c r="I470">
        <v>0.17647061999999999</v>
      </c>
      <c r="J470">
        <v>0.54838710000000002</v>
      </c>
    </row>
    <row r="471" spans="1:10" x14ac:dyDescent="0.3">
      <c r="A471">
        <v>469</v>
      </c>
      <c r="B471">
        <v>7481</v>
      </c>
      <c r="C471" t="b">
        <v>1</v>
      </c>
      <c r="D471">
        <v>8048</v>
      </c>
      <c r="E471">
        <v>8123</v>
      </c>
      <c r="F471">
        <v>6</v>
      </c>
      <c r="G471">
        <v>7.2</v>
      </c>
      <c r="H471">
        <v>0.8333334</v>
      </c>
      <c r="I471">
        <v>0.16666664</v>
      </c>
      <c r="J471">
        <v>0.54545456000000003</v>
      </c>
    </row>
    <row r="472" spans="1:10" x14ac:dyDescent="0.3">
      <c r="A472">
        <v>470</v>
      </c>
      <c r="B472">
        <v>7497</v>
      </c>
      <c r="C472" t="b">
        <v>1</v>
      </c>
      <c r="D472">
        <v>8048</v>
      </c>
      <c r="E472">
        <v>8123</v>
      </c>
      <c r="F472">
        <v>6.4</v>
      </c>
      <c r="G472">
        <v>7.2</v>
      </c>
      <c r="H472">
        <v>0.88888895999999995</v>
      </c>
      <c r="I472">
        <v>0.111111075</v>
      </c>
      <c r="J472">
        <v>0.52941172999999997</v>
      </c>
    </row>
    <row r="473" spans="1:10" x14ac:dyDescent="0.3">
      <c r="A473">
        <v>471</v>
      </c>
      <c r="B473">
        <v>7513</v>
      </c>
      <c r="C473" t="b">
        <v>1</v>
      </c>
      <c r="D473">
        <v>8048</v>
      </c>
      <c r="E473">
        <v>8117</v>
      </c>
      <c r="F473">
        <v>6.8</v>
      </c>
      <c r="G473">
        <v>7.2</v>
      </c>
      <c r="H473">
        <v>0.94444450000000002</v>
      </c>
      <c r="I473">
        <v>5.5555503999999999E-2</v>
      </c>
      <c r="J473">
        <v>0.51428569999999996</v>
      </c>
    </row>
    <row r="474" spans="1:10" x14ac:dyDescent="0.3">
      <c r="A474">
        <v>472</v>
      </c>
      <c r="B474">
        <v>7529</v>
      </c>
      <c r="C474" t="b">
        <v>1</v>
      </c>
      <c r="D474">
        <v>8054</v>
      </c>
      <c r="E474">
        <v>8129</v>
      </c>
      <c r="F474">
        <v>7.2</v>
      </c>
      <c r="G474">
        <v>7.2</v>
      </c>
      <c r="H474">
        <v>1</v>
      </c>
      <c r="I474">
        <v>0</v>
      </c>
      <c r="J474">
        <v>0.5</v>
      </c>
    </row>
    <row r="475" spans="1:10" x14ac:dyDescent="0.3">
      <c r="A475">
        <v>473</v>
      </c>
      <c r="B475">
        <v>7545</v>
      </c>
      <c r="C475" t="b">
        <v>1</v>
      </c>
      <c r="D475">
        <v>8048</v>
      </c>
      <c r="E475">
        <v>8123</v>
      </c>
      <c r="F475">
        <v>7.6</v>
      </c>
      <c r="G475">
        <v>7.6</v>
      </c>
      <c r="H475">
        <v>1</v>
      </c>
      <c r="I475">
        <v>0</v>
      </c>
      <c r="J475">
        <v>0.5</v>
      </c>
    </row>
    <row r="476" spans="1:10" x14ac:dyDescent="0.3">
      <c r="A476">
        <v>474</v>
      </c>
      <c r="B476">
        <v>7561</v>
      </c>
      <c r="C476" t="b">
        <v>1</v>
      </c>
      <c r="D476">
        <v>8048</v>
      </c>
      <c r="E476">
        <v>8117</v>
      </c>
      <c r="F476">
        <v>8</v>
      </c>
      <c r="G476">
        <v>8</v>
      </c>
      <c r="H476">
        <v>1</v>
      </c>
      <c r="I476">
        <v>0</v>
      </c>
      <c r="J476">
        <v>0.5</v>
      </c>
    </row>
    <row r="477" spans="1:10" x14ac:dyDescent="0.3">
      <c r="A477">
        <v>475</v>
      </c>
      <c r="B477">
        <v>7577</v>
      </c>
      <c r="C477" t="b">
        <v>1</v>
      </c>
      <c r="D477">
        <v>8048</v>
      </c>
      <c r="E477">
        <v>8123</v>
      </c>
      <c r="F477">
        <v>8</v>
      </c>
      <c r="G477">
        <v>8.4</v>
      </c>
      <c r="H477">
        <v>0.95238100000000003</v>
      </c>
      <c r="I477">
        <v>4.7619003999999999E-2</v>
      </c>
      <c r="J477">
        <v>0.51219510000000001</v>
      </c>
    </row>
    <row r="478" spans="1:10" x14ac:dyDescent="0.3">
      <c r="A478">
        <v>476</v>
      </c>
      <c r="B478">
        <v>7593</v>
      </c>
      <c r="C478" t="b">
        <v>1</v>
      </c>
      <c r="D478">
        <v>8048</v>
      </c>
      <c r="E478">
        <v>8123</v>
      </c>
      <c r="F478">
        <v>8</v>
      </c>
      <c r="G478">
        <v>8.8000000000000007</v>
      </c>
      <c r="H478">
        <v>0.90909090000000004</v>
      </c>
      <c r="I478">
        <v>9.0909110000000001E-2</v>
      </c>
      <c r="J478">
        <v>0.52380954999999996</v>
      </c>
    </row>
    <row r="479" spans="1:10" x14ac:dyDescent="0.3">
      <c r="A479">
        <v>477</v>
      </c>
      <c r="B479">
        <v>7609</v>
      </c>
      <c r="C479" t="b">
        <v>1</v>
      </c>
      <c r="D479">
        <v>8048</v>
      </c>
      <c r="E479">
        <v>8123</v>
      </c>
      <c r="F479">
        <v>8</v>
      </c>
      <c r="G479">
        <v>9.1999999999999993</v>
      </c>
      <c r="H479">
        <v>0.86956524999999996</v>
      </c>
      <c r="I479">
        <v>0.13043477000000001</v>
      </c>
      <c r="J479">
        <v>0.53488369999999996</v>
      </c>
    </row>
    <row r="480" spans="1:10" x14ac:dyDescent="0.3">
      <c r="A480">
        <v>478</v>
      </c>
      <c r="B480">
        <v>7625</v>
      </c>
      <c r="C480" t="b">
        <v>1</v>
      </c>
      <c r="D480">
        <v>8048</v>
      </c>
      <c r="E480">
        <v>8123</v>
      </c>
      <c r="F480">
        <v>8</v>
      </c>
      <c r="G480">
        <v>9.6</v>
      </c>
      <c r="H480">
        <v>0.83333330000000005</v>
      </c>
      <c r="I480">
        <v>0.1666667</v>
      </c>
      <c r="J480">
        <v>0.54545456000000003</v>
      </c>
    </row>
    <row r="481" spans="1:10" x14ac:dyDescent="0.3">
      <c r="A481">
        <v>479</v>
      </c>
      <c r="B481">
        <v>7641</v>
      </c>
      <c r="C481" t="b">
        <v>1</v>
      </c>
      <c r="D481">
        <v>8048</v>
      </c>
      <c r="E481">
        <v>8117</v>
      </c>
      <c r="F481">
        <v>8</v>
      </c>
      <c r="G481">
        <v>10</v>
      </c>
      <c r="H481">
        <v>0.8</v>
      </c>
      <c r="I481">
        <v>0.2</v>
      </c>
      <c r="J481">
        <v>0.55555560000000004</v>
      </c>
    </row>
    <row r="482" spans="1:10" x14ac:dyDescent="0.3">
      <c r="A482">
        <v>480</v>
      </c>
      <c r="B482">
        <v>7657</v>
      </c>
      <c r="C482" t="b">
        <v>1</v>
      </c>
      <c r="D482">
        <v>8054</v>
      </c>
      <c r="E482">
        <v>8123</v>
      </c>
      <c r="F482">
        <v>8</v>
      </c>
      <c r="G482">
        <v>9.6</v>
      </c>
      <c r="H482">
        <v>0.83333330000000005</v>
      </c>
      <c r="I482">
        <v>0.1666667</v>
      </c>
      <c r="J482">
        <v>0.54545456000000003</v>
      </c>
    </row>
    <row r="483" spans="1:10" x14ac:dyDescent="0.3">
      <c r="A483">
        <v>481</v>
      </c>
      <c r="B483">
        <v>7673</v>
      </c>
      <c r="C483" t="b">
        <v>1</v>
      </c>
      <c r="D483">
        <v>8048</v>
      </c>
      <c r="E483">
        <v>8123</v>
      </c>
      <c r="F483">
        <v>8</v>
      </c>
      <c r="G483">
        <v>9.1999999999999993</v>
      </c>
      <c r="H483">
        <v>0.86956524999999996</v>
      </c>
      <c r="I483">
        <v>0.13043477000000001</v>
      </c>
      <c r="J483">
        <v>0.53488369999999996</v>
      </c>
    </row>
    <row r="484" spans="1:10" x14ac:dyDescent="0.3">
      <c r="A484">
        <v>482</v>
      </c>
      <c r="B484">
        <v>7689</v>
      </c>
      <c r="C484" t="b">
        <v>1</v>
      </c>
      <c r="D484">
        <v>8048</v>
      </c>
      <c r="E484">
        <v>8123</v>
      </c>
      <c r="F484">
        <v>8</v>
      </c>
      <c r="G484">
        <v>8.8000000000000007</v>
      </c>
      <c r="H484">
        <v>0.90909090000000004</v>
      </c>
      <c r="I484">
        <v>9.0909110000000001E-2</v>
      </c>
      <c r="J484">
        <v>0.52380954999999996</v>
      </c>
    </row>
    <row r="485" spans="1:10" x14ac:dyDescent="0.3">
      <c r="A485">
        <v>483</v>
      </c>
      <c r="B485">
        <v>7704</v>
      </c>
      <c r="C485" t="b">
        <v>1</v>
      </c>
      <c r="D485">
        <v>8054</v>
      </c>
      <c r="E485">
        <v>8123</v>
      </c>
      <c r="F485">
        <v>8</v>
      </c>
      <c r="G485">
        <v>8.4</v>
      </c>
      <c r="H485">
        <v>0.95238100000000003</v>
      </c>
      <c r="I485">
        <v>4.7619003999999999E-2</v>
      </c>
      <c r="J485">
        <v>0.51219510000000001</v>
      </c>
    </row>
    <row r="486" spans="1:10" x14ac:dyDescent="0.3">
      <c r="A486">
        <v>484</v>
      </c>
      <c r="B486">
        <v>7720</v>
      </c>
      <c r="C486" t="b">
        <v>1</v>
      </c>
      <c r="D486">
        <v>8048</v>
      </c>
      <c r="E486">
        <v>8123</v>
      </c>
      <c r="F486">
        <v>8</v>
      </c>
      <c r="G486">
        <v>8</v>
      </c>
      <c r="H486">
        <v>1</v>
      </c>
      <c r="I486">
        <v>0</v>
      </c>
      <c r="J486">
        <v>0.5</v>
      </c>
    </row>
    <row r="487" spans="1:10" x14ac:dyDescent="0.3">
      <c r="A487">
        <v>485</v>
      </c>
      <c r="B487">
        <v>7736</v>
      </c>
      <c r="C487" t="b">
        <v>1</v>
      </c>
      <c r="D487">
        <v>8048</v>
      </c>
      <c r="E487">
        <v>8123</v>
      </c>
      <c r="F487">
        <v>8</v>
      </c>
      <c r="G487">
        <v>8</v>
      </c>
      <c r="H487">
        <v>1</v>
      </c>
      <c r="I487">
        <v>0</v>
      </c>
      <c r="J487">
        <v>0.5</v>
      </c>
    </row>
    <row r="488" spans="1:10" x14ac:dyDescent="0.3">
      <c r="A488">
        <v>486</v>
      </c>
      <c r="B488">
        <v>7752</v>
      </c>
      <c r="C488" t="b">
        <v>1</v>
      </c>
      <c r="D488">
        <v>8048</v>
      </c>
      <c r="E488">
        <v>8123</v>
      </c>
      <c r="F488">
        <v>8</v>
      </c>
      <c r="G488">
        <v>8</v>
      </c>
      <c r="H488">
        <v>1</v>
      </c>
      <c r="I488">
        <v>0</v>
      </c>
      <c r="J488">
        <v>0.5</v>
      </c>
    </row>
    <row r="489" spans="1:10" x14ac:dyDescent="0.3">
      <c r="A489">
        <v>487</v>
      </c>
      <c r="B489">
        <v>7768</v>
      </c>
      <c r="C489" t="b">
        <v>1</v>
      </c>
      <c r="D489">
        <v>8048</v>
      </c>
      <c r="E489">
        <v>8117</v>
      </c>
      <c r="F489">
        <v>8</v>
      </c>
      <c r="G489">
        <v>8</v>
      </c>
      <c r="H489">
        <v>1</v>
      </c>
      <c r="I489">
        <v>0</v>
      </c>
      <c r="J489">
        <v>0.5</v>
      </c>
    </row>
    <row r="490" spans="1:10" x14ac:dyDescent="0.3">
      <c r="A490">
        <v>488</v>
      </c>
      <c r="B490">
        <v>7784</v>
      </c>
      <c r="C490" t="b">
        <v>1</v>
      </c>
      <c r="D490">
        <v>8048</v>
      </c>
      <c r="E490">
        <v>8123</v>
      </c>
      <c r="F490">
        <v>8</v>
      </c>
      <c r="G490">
        <v>8</v>
      </c>
      <c r="H490">
        <v>1</v>
      </c>
      <c r="I490">
        <v>0</v>
      </c>
      <c r="J490">
        <v>0.5</v>
      </c>
    </row>
    <row r="491" spans="1:10" x14ac:dyDescent="0.3">
      <c r="A491">
        <v>489</v>
      </c>
      <c r="B491">
        <v>7800</v>
      </c>
      <c r="C491" t="b">
        <v>1</v>
      </c>
      <c r="D491">
        <v>8048</v>
      </c>
      <c r="E491">
        <v>8117</v>
      </c>
      <c r="F491">
        <v>8</v>
      </c>
      <c r="G491">
        <v>8</v>
      </c>
      <c r="H491">
        <v>1</v>
      </c>
      <c r="I491">
        <v>0</v>
      </c>
      <c r="J491">
        <v>0.5</v>
      </c>
    </row>
    <row r="492" spans="1:10" x14ac:dyDescent="0.3">
      <c r="A492">
        <v>490</v>
      </c>
      <c r="B492">
        <v>7816</v>
      </c>
      <c r="C492" t="b">
        <v>1</v>
      </c>
      <c r="D492">
        <v>8048</v>
      </c>
      <c r="E492">
        <v>8117</v>
      </c>
      <c r="F492">
        <v>8</v>
      </c>
      <c r="G492">
        <v>7.6</v>
      </c>
      <c r="H492">
        <v>1.0526316</v>
      </c>
      <c r="I492">
        <v>-5.2631589999999999E-2</v>
      </c>
      <c r="J492">
        <v>0.48717946000000001</v>
      </c>
    </row>
    <row r="493" spans="1:10" x14ac:dyDescent="0.3">
      <c r="A493">
        <v>491</v>
      </c>
      <c r="B493">
        <v>7832</v>
      </c>
      <c r="C493" t="b">
        <v>1</v>
      </c>
      <c r="D493">
        <v>8048</v>
      </c>
      <c r="E493">
        <v>8117</v>
      </c>
      <c r="F493">
        <v>8</v>
      </c>
      <c r="G493">
        <v>7.2</v>
      </c>
      <c r="H493">
        <v>1.1111112000000001</v>
      </c>
      <c r="I493">
        <v>-0.11111114</v>
      </c>
      <c r="J493">
        <v>0.4736842</v>
      </c>
    </row>
    <row r="494" spans="1:10" x14ac:dyDescent="0.3">
      <c r="A494">
        <v>492</v>
      </c>
      <c r="B494">
        <v>7848</v>
      </c>
      <c r="C494" t="b">
        <v>1</v>
      </c>
      <c r="D494">
        <v>8042</v>
      </c>
      <c r="E494">
        <v>8117</v>
      </c>
      <c r="F494">
        <v>8</v>
      </c>
      <c r="G494">
        <v>6.8</v>
      </c>
      <c r="H494">
        <v>1.1764705</v>
      </c>
      <c r="I494">
        <v>-0.17647055</v>
      </c>
      <c r="J494">
        <v>0.45945944999999999</v>
      </c>
    </row>
    <row r="495" spans="1:10" x14ac:dyDescent="0.3">
      <c r="A495">
        <v>493</v>
      </c>
      <c r="B495">
        <v>7864</v>
      </c>
      <c r="C495" t="b">
        <v>1</v>
      </c>
      <c r="D495">
        <v>8048</v>
      </c>
      <c r="E495">
        <v>8117</v>
      </c>
      <c r="F495">
        <v>8</v>
      </c>
      <c r="G495">
        <v>6.4</v>
      </c>
      <c r="H495">
        <v>1.25</v>
      </c>
      <c r="I495">
        <v>-0.24999999000000001</v>
      </c>
      <c r="J495">
        <v>0.44444447999999998</v>
      </c>
    </row>
    <row r="496" spans="1:10" x14ac:dyDescent="0.3">
      <c r="A496">
        <v>494</v>
      </c>
      <c r="B496">
        <v>7880</v>
      </c>
      <c r="C496" t="b">
        <v>1</v>
      </c>
      <c r="D496">
        <v>8048</v>
      </c>
      <c r="E496">
        <v>8129</v>
      </c>
      <c r="F496">
        <v>8</v>
      </c>
      <c r="G496">
        <v>6</v>
      </c>
      <c r="H496">
        <v>1.3333333999999999</v>
      </c>
      <c r="I496">
        <v>-0.33333333999999998</v>
      </c>
      <c r="J496">
        <v>0.42857142999999998</v>
      </c>
    </row>
    <row r="497" spans="1:10" x14ac:dyDescent="0.3">
      <c r="A497">
        <v>495</v>
      </c>
      <c r="B497">
        <v>7895</v>
      </c>
      <c r="C497" t="b">
        <v>1</v>
      </c>
      <c r="D497">
        <v>8048</v>
      </c>
      <c r="E497">
        <v>8129</v>
      </c>
      <c r="F497">
        <v>8</v>
      </c>
      <c r="G497">
        <v>5.6</v>
      </c>
      <c r="H497">
        <v>1.4285715000000001</v>
      </c>
      <c r="I497">
        <v>-0.42857146000000002</v>
      </c>
      <c r="J497">
        <v>0.41176467999999999</v>
      </c>
    </row>
    <row r="498" spans="1:10" x14ac:dyDescent="0.3">
      <c r="A498">
        <v>496</v>
      </c>
      <c r="B498">
        <v>7911</v>
      </c>
      <c r="C498" t="b">
        <v>1</v>
      </c>
      <c r="D498">
        <v>8054</v>
      </c>
      <c r="E498">
        <v>8129</v>
      </c>
      <c r="F498">
        <v>8</v>
      </c>
      <c r="G498">
        <v>6</v>
      </c>
      <c r="H498">
        <v>1.3333333999999999</v>
      </c>
      <c r="I498">
        <v>-0.33333333999999998</v>
      </c>
      <c r="J498">
        <v>0.42857142999999998</v>
      </c>
    </row>
    <row r="499" spans="1:10" x14ac:dyDescent="0.3">
      <c r="A499">
        <v>497</v>
      </c>
      <c r="B499">
        <v>7927</v>
      </c>
      <c r="C499" t="b">
        <v>1</v>
      </c>
      <c r="D499">
        <v>8048</v>
      </c>
      <c r="E499">
        <v>8123</v>
      </c>
      <c r="F499">
        <v>8</v>
      </c>
      <c r="G499">
        <v>6.4</v>
      </c>
      <c r="H499">
        <v>1.25</v>
      </c>
      <c r="I499">
        <v>-0.24999999000000001</v>
      </c>
      <c r="J499">
        <v>0.44444447999999998</v>
      </c>
    </row>
    <row r="500" spans="1:10" x14ac:dyDescent="0.3">
      <c r="A500">
        <v>498</v>
      </c>
      <c r="B500">
        <v>7943</v>
      </c>
      <c r="C500" t="b">
        <v>1</v>
      </c>
      <c r="D500">
        <v>8054</v>
      </c>
      <c r="E500">
        <v>8123</v>
      </c>
      <c r="F500">
        <v>8</v>
      </c>
      <c r="G500">
        <v>6.8</v>
      </c>
      <c r="H500">
        <v>1.1764705</v>
      </c>
      <c r="I500">
        <v>-0.17647055</v>
      </c>
      <c r="J500">
        <v>0.45945944999999999</v>
      </c>
    </row>
    <row r="501" spans="1:10" x14ac:dyDescent="0.3">
      <c r="A501">
        <v>499</v>
      </c>
      <c r="B501">
        <v>7959</v>
      </c>
      <c r="C501" t="b">
        <v>1</v>
      </c>
      <c r="D501">
        <v>8048</v>
      </c>
      <c r="E501">
        <v>8123</v>
      </c>
      <c r="F501">
        <v>8</v>
      </c>
      <c r="G501">
        <v>6.8</v>
      </c>
      <c r="H501">
        <v>1.1764705</v>
      </c>
      <c r="I501">
        <v>-0.17647055</v>
      </c>
      <c r="J501">
        <v>0.45945944999999999</v>
      </c>
    </row>
    <row r="502" spans="1:10" x14ac:dyDescent="0.3">
      <c r="A502">
        <v>500</v>
      </c>
      <c r="B502">
        <v>7975</v>
      </c>
      <c r="C502" t="b">
        <v>1</v>
      </c>
      <c r="D502">
        <v>8054</v>
      </c>
      <c r="E502">
        <v>8123</v>
      </c>
      <c r="F502">
        <v>8.4</v>
      </c>
      <c r="G502">
        <v>6.8</v>
      </c>
      <c r="H502">
        <v>1.2352939999999999</v>
      </c>
      <c r="I502">
        <v>-0.23529402999999999</v>
      </c>
      <c r="J502">
        <v>0.44736843999999998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15360-A12A-4D96-AF3D-B99FEE303019}">
  <dimension ref="A1:J502"/>
  <sheetViews>
    <sheetView workbookViewId="0">
      <selection activeCell="A2" sqref="A2:J502"/>
    </sheetView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10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 t="b">
        <v>1</v>
      </c>
      <c r="D2">
        <v>8071</v>
      </c>
      <c r="E2">
        <v>8134</v>
      </c>
      <c r="F2">
        <v>231</v>
      </c>
      <c r="G2">
        <v>219</v>
      </c>
      <c r="H2">
        <v>1.0547945000000001</v>
      </c>
      <c r="I2">
        <v>-5.4794519999999999E-2</v>
      </c>
      <c r="J2">
        <v>0.48666668000000002</v>
      </c>
    </row>
    <row r="3" spans="1:10" x14ac:dyDescent="0.3">
      <c r="A3">
        <v>1</v>
      </c>
      <c r="B3">
        <v>29</v>
      </c>
      <c r="C3" t="b">
        <v>1</v>
      </c>
      <c r="D3">
        <v>8048</v>
      </c>
      <c r="E3">
        <v>8123</v>
      </c>
      <c r="F3">
        <v>231</v>
      </c>
      <c r="G3">
        <v>219</v>
      </c>
      <c r="H3">
        <v>1.0547945000000001</v>
      </c>
      <c r="I3">
        <v>-5.4794519999999999E-2</v>
      </c>
      <c r="J3">
        <v>0.48666668000000002</v>
      </c>
    </row>
    <row r="4" spans="1:10" x14ac:dyDescent="0.3">
      <c r="A4">
        <v>2</v>
      </c>
      <c r="B4">
        <v>45</v>
      </c>
      <c r="C4" t="b">
        <v>1</v>
      </c>
      <c r="D4">
        <v>8060</v>
      </c>
      <c r="E4">
        <v>8129</v>
      </c>
      <c r="F4">
        <v>227.33332999999999</v>
      </c>
      <c r="G4">
        <v>217.33332999999999</v>
      </c>
      <c r="H4">
        <v>1.0460122999999999</v>
      </c>
      <c r="I4">
        <v>-4.6012270000000001E-2</v>
      </c>
      <c r="J4">
        <v>0.48875560000000001</v>
      </c>
    </row>
    <row r="5" spans="1:10" x14ac:dyDescent="0.3">
      <c r="A5">
        <v>3</v>
      </c>
      <c r="B5">
        <v>61</v>
      </c>
      <c r="C5" t="b">
        <v>1</v>
      </c>
      <c r="D5">
        <v>8071</v>
      </c>
      <c r="E5">
        <v>8176</v>
      </c>
      <c r="F5">
        <v>228.25</v>
      </c>
      <c r="G5">
        <v>217.75</v>
      </c>
      <c r="H5">
        <v>1.0482203999999999</v>
      </c>
      <c r="I5">
        <v>-4.8220436999999998E-2</v>
      </c>
      <c r="J5">
        <v>0.48822870000000002</v>
      </c>
    </row>
    <row r="6" spans="1:10" x14ac:dyDescent="0.3">
      <c r="A6">
        <v>4</v>
      </c>
      <c r="B6">
        <v>77</v>
      </c>
      <c r="C6" t="b">
        <v>1</v>
      </c>
      <c r="D6">
        <v>8077</v>
      </c>
      <c r="E6">
        <v>8146</v>
      </c>
      <c r="F6">
        <v>228.8</v>
      </c>
      <c r="G6">
        <v>218</v>
      </c>
      <c r="H6">
        <v>1.0495414000000001</v>
      </c>
      <c r="I6">
        <v>-4.9541300000000003E-2</v>
      </c>
      <c r="J6">
        <v>0.48791405999999998</v>
      </c>
    </row>
    <row r="7" spans="1:10" x14ac:dyDescent="0.3">
      <c r="A7">
        <v>5</v>
      </c>
      <c r="B7">
        <v>93</v>
      </c>
      <c r="C7" t="b">
        <v>1</v>
      </c>
      <c r="D7">
        <v>8083</v>
      </c>
      <c r="E7">
        <v>8152</v>
      </c>
      <c r="F7">
        <v>229.16667000000001</v>
      </c>
      <c r="G7">
        <v>220.16667000000001</v>
      </c>
      <c r="H7">
        <v>1.0408782000000001</v>
      </c>
      <c r="I7">
        <v>-4.0878119999999997E-2</v>
      </c>
      <c r="J7">
        <v>0.48998517000000003</v>
      </c>
    </row>
    <row r="8" spans="1:10" x14ac:dyDescent="0.3">
      <c r="A8">
        <v>6</v>
      </c>
      <c r="B8">
        <v>108</v>
      </c>
      <c r="C8" t="b">
        <v>1</v>
      </c>
      <c r="D8">
        <v>8083</v>
      </c>
      <c r="E8">
        <v>8129</v>
      </c>
      <c r="F8">
        <v>230.28572</v>
      </c>
      <c r="G8">
        <v>221.71428</v>
      </c>
      <c r="H8">
        <v>1.0386598</v>
      </c>
      <c r="I8">
        <v>-3.8659855999999999E-2</v>
      </c>
      <c r="J8">
        <v>0.49051833</v>
      </c>
    </row>
    <row r="9" spans="1:10" x14ac:dyDescent="0.3">
      <c r="A9">
        <v>7</v>
      </c>
      <c r="B9">
        <v>124</v>
      </c>
      <c r="C9" t="b">
        <v>1</v>
      </c>
      <c r="D9">
        <v>8060</v>
      </c>
      <c r="E9">
        <v>8152</v>
      </c>
      <c r="F9">
        <v>231.125</v>
      </c>
      <c r="G9">
        <v>223.625</v>
      </c>
      <c r="H9">
        <v>1.0335383</v>
      </c>
      <c r="I9">
        <v>-3.3538289999999998E-2</v>
      </c>
      <c r="J9">
        <v>0.49175370000000002</v>
      </c>
    </row>
    <row r="10" spans="1:10" x14ac:dyDescent="0.3">
      <c r="A10">
        <v>8</v>
      </c>
      <c r="B10">
        <v>156</v>
      </c>
      <c r="C10" t="b">
        <v>1</v>
      </c>
      <c r="D10">
        <v>8054</v>
      </c>
      <c r="E10">
        <v>8117</v>
      </c>
      <c r="F10">
        <v>231.77777</v>
      </c>
      <c r="G10">
        <v>224.44443999999999</v>
      </c>
      <c r="H10">
        <v>1.0326732000000001</v>
      </c>
      <c r="I10">
        <v>-3.2673242999999998E-2</v>
      </c>
      <c r="J10">
        <v>0.49196297</v>
      </c>
    </row>
    <row r="11" spans="1:10" x14ac:dyDescent="0.3">
      <c r="A11">
        <v>9</v>
      </c>
      <c r="B11">
        <v>172</v>
      </c>
      <c r="C11" t="b">
        <v>1</v>
      </c>
      <c r="D11">
        <v>8077</v>
      </c>
      <c r="E11">
        <v>8134</v>
      </c>
      <c r="F11">
        <v>232.3</v>
      </c>
      <c r="G11">
        <v>223.9</v>
      </c>
      <c r="H11">
        <v>1.0375167999999999</v>
      </c>
      <c r="I11">
        <v>-3.7516790000000001E-2</v>
      </c>
      <c r="J11">
        <v>0.49079349999999999</v>
      </c>
    </row>
    <row r="12" spans="1:10" x14ac:dyDescent="0.3">
      <c r="A12">
        <v>10</v>
      </c>
      <c r="B12">
        <v>204</v>
      </c>
      <c r="C12" t="b">
        <v>1</v>
      </c>
      <c r="D12">
        <v>8077</v>
      </c>
      <c r="E12">
        <v>8129</v>
      </c>
      <c r="F12">
        <v>232.72728000000001</v>
      </c>
      <c r="G12">
        <v>223</v>
      </c>
      <c r="H12">
        <v>1.0436201000000001</v>
      </c>
      <c r="I12">
        <v>-4.3620087000000002E-2</v>
      </c>
      <c r="J12">
        <v>0.48932773000000002</v>
      </c>
    </row>
    <row r="13" spans="1:10" x14ac:dyDescent="0.3">
      <c r="A13">
        <v>11</v>
      </c>
      <c r="B13">
        <v>235</v>
      </c>
      <c r="C13" t="b">
        <v>1</v>
      </c>
      <c r="D13">
        <v>8083</v>
      </c>
      <c r="E13">
        <v>8134</v>
      </c>
      <c r="F13">
        <v>233.08332999999999</v>
      </c>
      <c r="G13">
        <v>222.66667000000001</v>
      </c>
      <c r="H13">
        <v>1.0467814</v>
      </c>
      <c r="I13">
        <v>-4.6781389999999999E-2</v>
      </c>
      <c r="J13">
        <v>0.48857197000000002</v>
      </c>
    </row>
    <row r="14" spans="1:10" x14ac:dyDescent="0.3">
      <c r="A14">
        <v>12</v>
      </c>
      <c r="B14">
        <v>251</v>
      </c>
      <c r="C14" t="b">
        <v>1</v>
      </c>
      <c r="D14">
        <v>8088</v>
      </c>
      <c r="E14">
        <v>8129</v>
      </c>
      <c r="F14">
        <v>233.38461000000001</v>
      </c>
      <c r="G14">
        <v>222</v>
      </c>
      <c r="H14">
        <v>1.051282</v>
      </c>
      <c r="I14">
        <v>-5.1282040000000001E-2</v>
      </c>
      <c r="J14">
        <v>0.48749999999999999</v>
      </c>
    </row>
    <row r="15" spans="1:10" x14ac:dyDescent="0.3">
      <c r="A15">
        <v>13</v>
      </c>
      <c r="B15">
        <v>266</v>
      </c>
      <c r="C15" t="b">
        <v>1</v>
      </c>
      <c r="D15">
        <v>8077</v>
      </c>
      <c r="E15">
        <v>8140</v>
      </c>
      <c r="F15">
        <v>233.64285000000001</v>
      </c>
      <c r="G15">
        <v>221.78572</v>
      </c>
      <c r="H15">
        <v>1.0534621</v>
      </c>
      <c r="I15">
        <v>-5.3462107000000002E-2</v>
      </c>
      <c r="J15">
        <v>0.48698243000000002</v>
      </c>
    </row>
    <row r="16" spans="1:10" x14ac:dyDescent="0.3">
      <c r="A16">
        <v>14</v>
      </c>
      <c r="B16">
        <v>283</v>
      </c>
      <c r="C16" t="b">
        <v>1</v>
      </c>
      <c r="D16">
        <v>8088</v>
      </c>
      <c r="E16">
        <v>8117</v>
      </c>
      <c r="F16">
        <v>234.26666</v>
      </c>
      <c r="G16">
        <v>221.26666</v>
      </c>
      <c r="H16">
        <v>1.0587527000000001</v>
      </c>
      <c r="I16">
        <v>-5.8752637000000003E-2</v>
      </c>
      <c r="J16">
        <v>0.48573100000000002</v>
      </c>
    </row>
    <row r="17" spans="1:10" x14ac:dyDescent="0.3">
      <c r="A17">
        <v>15</v>
      </c>
      <c r="B17">
        <v>298</v>
      </c>
      <c r="C17" t="b">
        <v>1</v>
      </c>
      <c r="D17">
        <v>8060</v>
      </c>
      <c r="E17">
        <v>8158</v>
      </c>
      <c r="F17">
        <v>235.06666999999999</v>
      </c>
      <c r="G17">
        <v>221.26666</v>
      </c>
      <c r="H17">
        <v>1.0623682000000001</v>
      </c>
      <c r="I17">
        <v>-6.2368199999999999E-2</v>
      </c>
      <c r="J17">
        <v>0.48487950000000002</v>
      </c>
    </row>
    <row r="18" spans="1:10" x14ac:dyDescent="0.3">
      <c r="A18">
        <v>16</v>
      </c>
      <c r="B18">
        <v>330</v>
      </c>
      <c r="C18" t="b">
        <v>1</v>
      </c>
      <c r="D18">
        <v>8088</v>
      </c>
      <c r="E18">
        <v>8093</v>
      </c>
      <c r="F18">
        <v>236.2</v>
      </c>
      <c r="G18">
        <v>220.93333000000001</v>
      </c>
      <c r="H18">
        <v>1.0691006999999999</v>
      </c>
      <c r="I18">
        <v>-6.9100770000000006E-2</v>
      </c>
      <c r="J18">
        <v>0.48330172999999998</v>
      </c>
    </row>
    <row r="19" spans="1:10" x14ac:dyDescent="0.3">
      <c r="A19">
        <v>17</v>
      </c>
      <c r="B19">
        <v>346</v>
      </c>
      <c r="C19" t="b">
        <v>1</v>
      </c>
      <c r="D19">
        <v>8083</v>
      </c>
      <c r="E19">
        <v>8188</v>
      </c>
      <c r="F19">
        <v>237.73334</v>
      </c>
      <c r="G19">
        <v>221.66667000000001</v>
      </c>
      <c r="H19">
        <v>1.0724811999999999</v>
      </c>
      <c r="I19">
        <v>-7.2481199999999996E-2</v>
      </c>
      <c r="J19">
        <v>0.48251339999999998</v>
      </c>
    </row>
    <row r="20" spans="1:10" x14ac:dyDescent="0.3">
      <c r="A20">
        <v>18</v>
      </c>
      <c r="B20">
        <v>361</v>
      </c>
      <c r="C20" t="b">
        <v>1</v>
      </c>
      <c r="D20">
        <v>8088</v>
      </c>
      <c r="E20">
        <v>8129</v>
      </c>
      <c r="F20">
        <v>238.86667</v>
      </c>
      <c r="G20">
        <v>221.33332999999999</v>
      </c>
      <c r="H20">
        <v>1.0792170000000001</v>
      </c>
      <c r="I20">
        <v>-7.9216905000000004E-2</v>
      </c>
      <c r="J20">
        <v>0.4809503</v>
      </c>
    </row>
    <row r="21" spans="1:10" x14ac:dyDescent="0.3">
      <c r="A21">
        <v>19</v>
      </c>
      <c r="B21">
        <v>377</v>
      </c>
      <c r="C21" t="b">
        <v>1</v>
      </c>
      <c r="D21">
        <v>8054</v>
      </c>
      <c r="E21">
        <v>8146</v>
      </c>
      <c r="F21">
        <v>239.66667000000001</v>
      </c>
      <c r="G21">
        <v>222.13333</v>
      </c>
      <c r="H21">
        <v>1.0789316</v>
      </c>
      <c r="I21">
        <v>-7.8931609999999999E-2</v>
      </c>
      <c r="J21">
        <v>0.48101630000000001</v>
      </c>
    </row>
    <row r="22" spans="1:10" x14ac:dyDescent="0.3">
      <c r="A22">
        <v>20</v>
      </c>
      <c r="B22">
        <v>393</v>
      </c>
      <c r="C22" t="b">
        <v>1</v>
      </c>
      <c r="D22">
        <v>8048</v>
      </c>
      <c r="E22">
        <v>8146</v>
      </c>
      <c r="F22">
        <v>240.46665999999999</v>
      </c>
      <c r="G22">
        <v>222.13333</v>
      </c>
      <c r="H22">
        <v>1.082533</v>
      </c>
      <c r="I22">
        <v>-8.2532993999999998E-2</v>
      </c>
      <c r="J22">
        <v>0.48018450000000001</v>
      </c>
    </row>
    <row r="23" spans="1:10" x14ac:dyDescent="0.3">
      <c r="A23">
        <v>21</v>
      </c>
      <c r="B23">
        <v>409</v>
      </c>
      <c r="C23" t="b">
        <v>1</v>
      </c>
      <c r="D23">
        <v>8100</v>
      </c>
      <c r="E23">
        <v>8111</v>
      </c>
      <c r="F23">
        <v>240.86667</v>
      </c>
      <c r="G23">
        <v>222.13333</v>
      </c>
      <c r="H23">
        <v>1.0843338</v>
      </c>
      <c r="I23">
        <v>-8.4333754999999996E-2</v>
      </c>
      <c r="J23">
        <v>0.47976962000000001</v>
      </c>
    </row>
    <row r="24" spans="1:10" x14ac:dyDescent="0.3">
      <c r="A24">
        <v>22</v>
      </c>
      <c r="B24">
        <v>425</v>
      </c>
      <c r="C24" t="b">
        <v>1</v>
      </c>
      <c r="D24">
        <v>8100</v>
      </c>
      <c r="E24">
        <v>8123</v>
      </c>
      <c r="F24">
        <v>241.6</v>
      </c>
      <c r="G24">
        <v>220.6</v>
      </c>
      <c r="H24">
        <v>1.0951949000000001</v>
      </c>
      <c r="I24">
        <v>-9.5194920000000002E-2</v>
      </c>
      <c r="J24">
        <v>0.47728255000000003</v>
      </c>
    </row>
    <row r="25" spans="1:10" x14ac:dyDescent="0.3">
      <c r="A25">
        <v>23</v>
      </c>
      <c r="B25">
        <v>457</v>
      </c>
      <c r="C25" t="b">
        <v>1</v>
      </c>
      <c r="D25">
        <v>8094</v>
      </c>
      <c r="E25">
        <v>8117</v>
      </c>
      <c r="F25">
        <v>242.73334</v>
      </c>
      <c r="G25">
        <v>219.06666999999999</v>
      </c>
      <c r="H25">
        <v>1.1080341</v>
      </c>
      <c r="I25">
        <v>-0.10803410400000001</v>
      </c>
      <c r="J25">
        <v>0.47437563999999999</v>
      </c>
    </row>
    <row r="26" spans="1:10" x14ac:dyDescent="0.3">
      <c r="A26">
        <v>24</v>
      </c>
      <c r="B26">
        <v>472</v>
      </c>
      <c r="C26" t="b">
        <v>1</v>
      </c>
      <c r="D26">
        <v>8071</v>
      </c>
      <c r="E26">
        <v>8123</v>
      </c>
      <c r="F26">
        <v>243.86667</v>
      </c>
      <c r="G26">
        <v>218.33332999999999</v>
      </c>
      <c r="H26">
        <v>1.1169465999999999</v>
      </c>
      <c r="I26">
        <v>-0.1169466</v>
      </c>
      <c r="J26">
        <v>0.47237846</v>
      </c>
    </row>
    <row r="27" spans="1:10" x14ac:dyDescent="0.3">
      <c r="A27">
        <v>25</v>
      </c>
      <c r="B27">
        <v>488</v>
      </c>
      <c r="C27" t="b">
        <v>1</v>
      </c>
      <c r="D27">
        <v>8060</v>
      </c>
      <c r="E27">
        <v>8129</v>
      </c>
      <c r="F27">
        <v>245</v>
      </c>
      <c r="G27">
        <v>217.93333000000001</v>
      </c>
      <c r="H27">
        <v>1.1241969999999999</v>
      </c>
      <c r="I27">
        <v>-0.124197</v>
      </c>
      <c r="J27">
        <v>0.47076613</v>
      </c>
    </row>
    <row r="28" spans="1:10" x14ac:dyDescent="0.3">
      <c r="A28">
        <v>26</v>
      </c>
      <c r="B28">
        <v>504</v>
      </c>
      <c r="C28" t="b">
        <v>1</v>
      </c>
      <c r="D28">
        <v>8048</v>
      </c>
      <c r="E28">
        <v>8146</v>
      </c>
      <c r="F28">
        <v>244.6</v>
      </c>
      <c r="G28">
        <v>217.2</v>
      </c>
      <c r="H28">
        <v>1.1261511</v>
      </c>
      <c r="I28">
        <v>-0.12615106000000001</v>
      </c>
      <c r="J28">
        <v>0.47033350000000002</v>
      </c>
    </row>
    <row r="29" spans="1:10" x14ac:dyDescent="0.3">
      <c r="A29">
        <v>27</v>
      </c>
      <c r="B29">
        <v>536</v>
      </c>
      <c r="C29" t="b">
        <v>1</v>
      </c>
      <c r="D29">
        <v>8048</v>
      </c>
      <c r="E29">
        <v>8134</v>
      </c>
      <c r="F29">
        <v>243.46665999999999</v>
      </c>
      <c r="G29">
        <v>217.2</v>
      </c>
      <c r="H29">
        <v>1.120933</v>
      </c>
      <c r="I29">
        <v>-0.12093307</v>
      </c>
      <c r="J29">
        <v>0.47149059999999998</v>
      </c>
    </row>
    <row r="30" spans="1:10" x14ac:dyDescent="0.3">
      <c r="A30">
        <v>28</v>
      </c>
      <c r="B30">
        <v>568</v>
      </c>
      <c r="C30" t="b">
        <v>1</v>
      </c>
      <c r="D30">
        <v>8054</v>
      </c>
      <c r="E30">
        <v>8152</v>
      </c>
      <c r="F30">
        <v>241.93333000000001</v>
      </c>
      <c r="G30">
        <v>217.2</v>
      </c>
      <c r="H30">
        <v>1.1138736</v>
      </c>
      <c r="I30">
        <v>-0.11387356</v>
      </c>
      <c r="J30">
        <v>0.47306520000000002</v>
      </c>
    </row>
    <row r="31" spans="1:10" x14ac:dyDescent="0.3">
      <c r="A31">
        <v>29</v>
      </c>
      <c r="B31">
        <v>583</v>
      </c>
      <c r="C31" t="b">
        <v>1</v>
      </c>
      <c r="D31">
        <v>8065</v>
      </c>
      <c r="E31">
        <v>8123</v>
      </c>
      <c r="F31">
        <v>240</v>
      </c>
      <c r="G31">
        <v>217.53334000000001</v>
      </c>
      <c r="H31">
        <v>1.1032791</v>
      </c>
      <c r="I31">
        <v>-0.10327915999999999</v>
      </c>
      <c r="J31">
        <v>0.47544807</v>
      </c>
    </row>
    <row r="32" spans="1:10" x14ac:dyDescent="0.3">
      <c r="A32">
        <v>30</v>
      </c>
      <c r="B32">
        <v>599</v>
      </c>
      <c r="C32" t="b">
        <v>1</v>
      </c>
      <c r="D32">
        <v>8023</v>
      </c>
      <c r="E32">
        <v>8140</v>
      </c>
      <c r="F32">
        <v>237.66667000000001</v>
      </c>
      <c r="G32">
        <v>217.93333000000001</v>
      </c>
      <c r="H32">
        <v>1.0905476000000001</v>
      </c>
      <c r="I32">
        <v>-9.0547584E-2</v>
      </c>
      <c r="J32">
        <v>0.47834357999999999</v>
      </c>
    </row>
    <row r="33" spans="1:10" x14ac:dyDescent="0.3">
      <c r="A33">
        <v>31</v>
      </c>
      <c r="B33">
        <v>615</v>
      </c>
      <c r="C33" t="b">
        <v>1</v>
      </c>
      <c r="D33">
        <v>8083</v>
      </c>
      <c r="E33">
        <v>8146</v>
      </c>
      <c r="F33">
        <v>235.4</v>
      </c>
      <c r="G33">
        <v>218.66667000000001</v>
      </c>
      <c r="H33">
        <v>1.0765244</v>
      </c>
      <c r="I33">
        <v>-7.6524339999999996E-2</v>
      </c>
      <c r="J33">
        <v>0.48157393999999998</v>
      </c>
    </row>
    <row r="34" spans="1:10" x14ac:dyDescent="0.3">
      <c r="A34">
        <v>32</v>
      </c>
      <c r="B34">
        <v>631</v>
      </c>
      <c r="C34" t="b">
        <v>1</v>
      </c>
      <c r="D34">
        <v>8123</v>
      </c>
      <c r="E34">
        <v>8134</v>
      </c>
      <c r="F34">
        <v>234.2</v>
      </c>
      <c r="G34">
        <v>218.66667000000001</v>
      </c>
      <c r="H34">
        <v>1.0710366</v>
      </c>
      <c r="I34">
        <v>-7.1036550000000004E-2</v>
      </c>
      <c r="J34">
        <v>0.48285001999999999</v>
      </c>
    </row>
    <row r="35" spans="1:10" x14ac:dyDescent="0.3">
      <c r="A35">
        <v>33</v>
      </c>
      <c r="B35">
        <v>647</v>
      </c>
      <c r="C35" t="b">
        <v>1</v>
      </c>
      <c r="D35">
        <v>8100</v>
      </c>
      <c r="E35">
        <v>8134</v>
      </c>
      <c r="F35">
        <v>233.86667</v>
      </c>
      <c r="G35">
        <v>219</v>
      </c>
      <c r="H35">
        <v>1.0678843</v>
      </c>
      <c r="I35">
        <v>-6.7884330000000007E-2</v>
      </c>
      <c r="J35">
        <v>0.48358603999999999</v>
      </c>
    </row>
    <row r="36" spans="1:10" x14ac:dyDescent="0.3">
      <c r="A36">
        <v>34</v>
      </c>
      <c r="B36">
        <v>663</v>
      </c>
      <c r="C36" t="b">
        <v>1</v>
      </c>
      <c r="D36">
        <v>8060</v>
      </c>
      <c r="E36">
        <v>8152</v>
      </c>
      <c r="F36">
        <v>233.86667</v>
      </c>
      <c r="G36">
        <v>218.6</v>
      </c>
      <c r="H36">
        <v>1.0698383</v>
      </c>
      <c r="I36">
        <v>-6.9838344999999996E-2</v>
      </c>
      <c r="J36">
        <v>0.48312952999999997</v>
      </c>
    </row>
    <row r="37" spans="1:10" x14ac:dyDescent="0.3">
      <c r="A37">
        <v>35</v>
      </c>
      <c r="B37">
        <v>678</v>
      </c>
      <c r="C37" t="b">
        <v>1</v>
      </c>
      <c r="D37">
        <v>8060</v>
      </c>
      <c r="E37">
        <v>8152</v>
      </c>
      <c r="F37">
        <v>233.86667</v>
      </c>
      <c r="G37">
        <v>218.6</v>
      </c>
      <c r="H37">
        <v>1.0698383</v>
      </c>
      <c r="I37">
        <v>-6.9838344999999996E-2</v>
      </c>
      <c r="J37">
        <v>0.48312952999999997</v>
      </c>
    </row>
    <row r="38" spans="1:10" x14ac:dyDescent="0.3">
      <c r="A38">
        <v>36</v>
      </c>
      <c r="B38">
        <v>694</v>
      </c>
      <c r="C38" t="b">
        <v>1</v>
      </c>
      <c r="D38">
        <v>8065</v>
      </c>
      <c r="E38">
        <v>8152</v>
      </c>
      <c r="F38">
        <v>232.66667000000001</v>
      </c>
      <c r="G38">
        <v>219</v>
      </c>
      <c r="H38">
        <v>1.0624049</v>
      </c>
      <c r="I38">
        <v>-6.2404893000000003E-2</v>
      </c>
      <c r="J38">
        <v>0.48487081999999998</v>
      </c>
    </row>
    <row r="39" spans="1:10" x14ac:dyDescent="0.3">
      <c r="A39">
        <v>37</v>
      </c>
      <c r="B39">
        <v>725</v>
      </c>
      <c r="C39" t="b">
        <v>1</v>
      </c>
      <c r="D39">
        <v>8065</v>
      </c>
      <c r="E39">
        <v>8152</v>
      </c>
      <c r="F39">
        <v>231.13333</v>
      </c>
      <c r="G39">
        <v>220.53334000000001</v>
      </c>
      <c r="H39">
        <v>1.0480653</v>
      </c>
      <c r="I39">
        <v>-4.8065253000000002E-2</v>
      </c>
      <c r="J39">
        <v>0.48826565999999999</v>
      </c>
    </row>
    <row r="40" spans="1:10" x14ac:dyDescent="0.3">
      <c r="A40">
        <v>38</v>
      </c>
      <c r="B40">
        <v>741</v>
      </c>
      <c r="C40" t="b">
        <v>1</v>
      </c>
      <c r="D40">
        <v>8065</v>
      </c>
      <c r="E40">
        <v>8134</v>
      </c>
      <c r="F40">
        <v>229.2</v>
      </c>
      <c r="G40">
        <v>222.46665999999999</v>
      </c>
      <c r="H40">
        <v>1.0302667999999999</v>
      </c>
      <c r="I40">
        <v>-3.0266726000000001E-2</v>
      </c>
      <c r="J40">
        <v>0.49254609999999999</v>
      </c>
    </row>
    <row r="41" spans="1:10" x14ac:dyDescent="0.3">
      <c r="A41">
        <v>39</v>
      </c>
      <c r="B41">
        <v>757</v>
      </c>
      <c r="C41" t="b">
        <v>1</v>
      </c>
      <c r="D41">
        <v>8065</v>
      </c>
      <c r="E41">
        <v>8152</v>
      </c>
      <c r="F41">
        <v>227.26666</v>
      </c>
      <c r="G41">
        <v>224.4</v>
      </c>
      <c r="H41">
        <v>1.0127748000000001</v>
      </c>
      <c r="I41">
        <v>-1.2774817000000001E-2</v>
      </c>
      <c r="J41">
        <v>0.49682655999999997</v>
      </c>
    </row>
    <row r="42" spans="1:10" x14ac:dyDescent="0.3">
      <c r="A42">
        <v>40</v>
      </c>
      <c r="B42">
        <v>773</v>
      </c>
      <c r="C42" t="b">
        <v>1</v>
      </c>
      <c r="D42">
        <v>8100</v>
      </c>
      <c r="E42">
        <v>8146</v>
      </c>
      <c r="F42">
        <v>225.33332999999999</v>
      </c>
      <c r="G42">
        <v>226.33332999999999</v>
      </c>
      <c r="H42">
        <v>0.99558175000000004</v>
      </c>
      <c r="I42">
        <v>4.4182622999999997E-3</v>
      </c>
      <c r="J42">
        <v>0.50110703999999995</v>
      </c>
    </row>
    <row r="43" spans="1:10" x14ac:dyDescent="0.3">
      <c r="A43">
        <v>41</v>
      </c>
      <c r="B43">
        <v>790</v>
      </c>
      <c r="C43" t="b">
        <v>1</v>
      </c>
      <c r="D43">
        <v>8100</v>
      </c>
      <c r="E43">
        <v>8140</v>
      </c>
      <c r="F43">
        <v>224.93333000000001</v>
      </c>
      <c r="G43">
        <v>227.86667</v>
      </c>
      <c r="H43">
        <v>0.98712694999999995</v>
      </c>
      <c r="I43">
        <v>1.2873028999999999E-2</v>
      </c>
      <c r="J43">
        <v>0.50323910000000005</v>
      </c>
    </row>
    <row r="44" spans="1:10" x14ac:dyDescent="0.3">
      <c r="A44">
        <v>42</v>
      </c>
      <c r="B44">
        <v>805</v>
      </c>
      <c r="C44" t="b">
        <v>1</v>
      </c>
      <c r="D44">
        <v>8077</v>
      </c>
      <c r="E44">
        <v>8152</v>
      </c>
      <c r="F44">
        <v>226.06666999999999</v>
      </c>
      <c r="G44">
        <v>229</v>
      </c>
      <c r="H44">
        <v>0.98719066</v>
      </c>
      <c r="I44">
        <v>1.2809320000000001E-2</v>
      </c>
      <c r="J44">
        <v>0.50322299999999998</v>
      </c>
    </row>
    <row r="45" spans="1:10" x14ac:dyDescent="0.3">
      <c r="A45">
        <v>43</v>
      </c>
      <c r="B45">
        <v>822</v>
      </c>
      <c r="C45" t="b">
        <v>1</v>
      </c>
      <c r="D45">
        <v>8071</v>
      </c>
      <c r="E45">
        <v>8129</v>
      </c>
      <c r="F45">
        <v>227.6</v>
      </c>
      <c r="G45">
        <v>229.8</v>
      </c>
      <c r="H45">
        <v>0.99042649999999999</v>
      </c>
      <c r="I45">
        <v>9.5735290000000008E-3</v>
      </c>
      <c r="J45">
        <v>0.50240487</v>
      </c>
    </row>
    <row r="46" spans="1:10" x14ac:dyDescent="0.3">
      <c r="A46">
        <v>44</v>
      </c>
      <c r="B46">
        <v>853</v>
      </c>
      <c r="C46" t="b">
        <v>1</v>
      </c>
      <c r="D46">
        <v>8065</v>
      </c>
      <c r="E46">
        <v>8129</v>
      </c>
      <c r="F46">
        <v>229.13333</v>
      </c>
      <c r="G46">
        <v>230.2</v>
      </c>
      <c r="H46">
        <v>0.99536632999999997</v>
      </c>
      <c r="I46">
        <v>4.6336474000000004E-3</v>
      </c>
      <c r="J46">
        <v>0.50116110000000003</v>
      </c>
    </row>
    <row r="47" spans="1:10" x14ac:dyDescent="0.3">
      <c r="A47">
        <v>45</v>
      </c>
      <c r="B47">
        <v>885</v>
      </c>
      <c r="C47" t="b">
        <v>1</v>
      </c>
      <c r="D47">
        <v>8065</v>
      </c>
      <c r="E47">
        <v>8111</v>
      </c>
      <c r="F47">
        <v>230.66667000000001</v>
      </c>
      <c r="G47">
        <v>229.46665999999999</v>
      </c>
      <c r="H47">
        <v>1.0052296000000001</v>
      </c>
      <c r="I47">
        <v>-5.2295709999999997E-3</v>
      </c>
      <c r="J47">
        <v>0.49869603000000001</v>
      </c>
    </row>
    <row r="48" spans="1:10" x14ac:dyDescent="0.3">
      <c r="A48">
        <v>46</v>
      </c>
      <c r="B48">
        <v>918</v>
      </c>
      <c r="C48" t="b">
        <v>1</v>
      </c>
      <c r="D48">
        <v>8065</v>
      </c>
      <c r="E48">
        <v>8134</v>
      </c>
      <c r="F48">
        <v>231.4</v>
      </c>
      <c r="G48">
        <v>228.73334</v>
      </c>
      <c r="H48">
        <v>1.0116582999999999</v>
      </c>
      <c r="I48">
        <v>-1.1658363999999999E-2</v>
      </c>
      <c r="J48">
        <v>0.4971023</v>
      </c>
    </row>
    <row r="49" spans="1:10" x14ac:dyDescent="0.3">
      <c r="A49">
        <v>47</v>
      </c>
      <c r="B49">
        <v>933</v>
      </c>
      <c r="C49" t="b">
        <v>1</v>
      </c>
      <c r="D49">
        <v>8054</v>
      </c>
      <c r="E49">
        <v>8146</v>
      </c>
      <c r="F49">
        <v>231.4</v>
      </c>
      <c r="G49">
        <v>228</v>
      </c>
      <c r="H49">
        <v>1.0149121999999999</v>
      </c>
      <c r="I49">
        <v>-1.4912254E-2</v>
      </c>
      <c r="J49">
        <v>0.49629953999999998</v>
      </c>
    </row>
    <row r="50" spans="1:10" x14ac:dyDescent="0.3">
      <c r="A50">
        <v>48</v>
      </c>
      <c r="B50">
        <v>949</v>
      </c>
      <c r="C50" t="b">
        <v>1</v>
      </c>
      <c r="D50">
        <v>8088</v>
      </c>
      <c r="E50">
        <v>8146</v>
      </c>
      <c r="F50">
        <v>230.2</v>
      </c>
      <c r="G50">
        <v>228</v>
      </c>
      <c r="H50">
        <v>1.0096491999999999</v>
      </c>
      <c r="I50">
        <v>-9.6491089999999995E-3</v>
      </c>
      <c r="J50">
        <v>0.49759926999999998</v>
      </c>
    </row>
    <row r="51" spans="1:10" x14ac:dyDescent="0.3">
      <c r="A51">
        <v>49</v>
      </c>
      <c r="B51">
        <v>965</v>
      </c>
      <c r="C51" t="b">
        <v>1</v>
      </c>
      <c r="D51">
        <v>8060</v>
      </c>
      <c r="E51">
        <v>8170</v>
      </c>
      <c r="F51">
        <v>229</v>
      </c>
      <c r="G51">
        <v>228.4</v>
      </c>
      <c r="H51">
        <v>1.0026269999999999</v>
      </c>
      <c r="I51">
        <v>-2.6269969999999998E-3</v>
      </c>
      <c r="J51">
        <v>0.49934410000000001</v>
      </c>
    </row>
    <row r="52" spans="1:10" x14ac:dyDescent="0.3">
      <c r="A52">
        <v>50</v>
      </c>
      <c r="B52">
        <v>981</v>
      </c>
      <c r="C52" t="b">
        <v>1</v>
      </c>
      <c r="D52">
        <v>8071</v>
      </c>
      <c r="E52">
        <v>8129</v>
      </c>
      <c r="F52">
        <v>227.8</v>
      </c>
      <c r="G52">
        <v>228.4</v>
      </c>
      <c r="H52">
        <v>0.99737304000000004</v>
      </c>
      <c r="I52">
        <v>2.6269301E-3</v>
      </c>
      <c r="J52">
        <v>0.50065755999999995</v>
      </c>
    </row>
    <row r="53" spans="1:10" x14ac:dyDescent="0.3">
      <c r="A53">
        <v>51</v>
      </c>
      <c r="B53">
        <v>997</v>
      </c>
      <c r="C53" t="b">
        <v>1</v>
      </c>
      <c r="D53">
        <v>8060</v>
      </c>
      <c r="E53">
        <v>8111</v>
      </c>
      <c r="F53">
        <v>227.46665999999999</v>
      </c>
      <c r="G53">
        <v>228</v>
      </c>
      <c r="H53">
        <v>0.99766080000000001</v>
      </c>
      <c r="I53">
        <v>2.3392125E-3</v>
      </c>
      <c r="J53">
        <v>0.50058550000000002</v>
      </c>
    </row>
    <row r="54" spans="1:10" x14ac:dyDescent="0.3">
      <c r="A54">
        <v>52</v>
      </c>
      <c r="B54">
        <v>1028</v>
      </c>
      <c r="C54" t="b">
        <v>1</v>
      </c>
      <c r="D54">
        <v>8060</v>
      </c>
      <c r="E54">
        <v>8134</v>
      </c>
      <c r="F54">
        <v>227.13333</v>
      </c>
      <c r="G54">
        <v>226.8</v>
      </c>
      <c r="H54">
        <v>1.0014696999999999</v>
      </c>
      <c r="I54">
        <v>-1.4697013E-3</v>
      </c>
      <c r="J54">
        <v>0.49963284000000002</v>
      </c>
    </row>
    <row r="55" spans="1:10" x14ac:dyDescent="0.3">
      <c r="A55">
        <v>53</v>
      </c>
      <c r="B55">
        <v>1059</v>
      </c>
      <c r="C55" t="b">
        <v>1</v>
      </c>
      <c r="D55">
        <v>8083</v>
      </c>
      <c r="E55">
        <v>8134</v>
      </c>
      <c r="F55">
        <v>226.8</v>
      </c>
      <c r="G55">
        <v>225.6</v>
      </c>
      <c r="H55">
        <v>1.0053190999999999</v>
      </c>
      <c r="I55">
        <v>-5.3191352999999997E-3</v>
      </c>
      <c r="J55">
        <v>0.49867373999999998</v>
      </c>
    </row>
    <row r="56" spans="1:10" x14ac:dyDescent="0.3">
      <c r="A56">
        <v>54</v>
      </c>
      <c r="B56">
        <v>1075</v>
      </c>
      <c r="C56" t="b">
        <v>1</v>
      </c>
      <c r="D56">
        <v>8088</v>
      </c>
      <c r="E56">
        <v>8129</v>
      </c>
      <c r="F56">
        <v>227.2</v>
      </c>
      <c r="G56">
        <v>224.06666999999999</v>
      </c>
      <c r="H56">
        <v>1.013984</v>
      </c>
      <c r="I56">
        <v>-1.3983924E-2</v>
      </c>
      <c r="J56">
        <v>0.49652829999999998</v>
      </c>
    </row>
    <row r="57" spans="1:10" x14ac:dyDescent="0.3">
      <c r="A57">
        <v>55</v>
      </c>
      <c r="B57">
        <v>1091</v>
      </c>
      <c r="C57" t="b">
        <v>1</v>
      </c>
      <c r="D57">
        <v>8042</v>
      </c>
      <c r="E57">
        <v>8188</v>
      </c>
      <c r="F57">
        <v>226.86667</v>
      </c>
      <c r="G57">
        <v>222.86667</v>
      </c>
      <c r="H57">
        <v>1.0179479</v>
      </c>
      <c r="I57">
        <v>-1.7947951E-2</v>
      </c>
      <c r="J57">
        <v>0.49555293</v>
      </c>
    </row>
    <row r="58" spans="1:10" x14ac:dyDescent="0.3">
      <c r="A58">
        <v>56</v>
      </c>
      <c r="B58">
        <v>1123</v>
      </c>
      <c r="C58" t="b">
        <v>1</v>
      </c>
      <c r="D58">
        <v>8060</v>
      </c>
      <c r="E58">
        <v>8140</v>
      </c>
      <c r="F58">
        <v>226.53334000000001</v>
      </c>
      <c r="G58">
        <v>222.06666999999999</v>
      </c>
      <c r="H58">
        <v>1.0201141</v>
      </c>
      <c r="I58">
        <v>-2.0114116000000001E-2</v>
      </c>
      <c r="J58">
        <v>0.49502154999999998</v>
      </c>
    </row>
    <row r="59" spans="1:10" x14ac:dyDescent="0.3">
      <c r="A59">
        <v>57</v>
      </c>
      <c r="B59">
        <v>1154</v>
      </c>
      <c r="C59" t="b">
        <v>1</v>
      </c>
      <c r="D59">
        <v>8077</v>
      </c>
      <c r="E59">
        <v>8140</v>
      </c>
      <c r="F59">
        <v>226.53334000000001</v>
      </c>
      <c r="G59">
        <v>221.66667000000001</v>
      </c>
      <c r="H59">
        <v>1.0219549000000001</v>
      </c>
      <c r="I59">
        <v>-2.1954896000000002E-2</v>
      </c>
      <c r="J59">
        <v>0.49457087999999999</v>
      </c>
    </row>
    <row r="60" spans="1:10" x14ac:dyDescent="0.3">
      <c r="A60">
        <v>58</v>
      </c>
      <c r="B60">
        <v>1186</v>
      </c>
      <c r="C60" t="b">
        <v>1</v>
      </c>
      <c r="D60">
        <v>8071</v>
      </c>
      <c r="E60">
        <v>8129</v>
      </c>
      <c r="F60">
        <v>226.13333</v>
      </c>
      <c r="G60">
        <v>221.26666</v>
      </c>
      <c r="H60">
        <v>1.0219946</v>
      </c>
      <c r="I60">
        <v>-2.1994586999999999E-2</v>
      </c>
      <c r="J60">
        <v>0.49456116999999999</v>
      </c>
    </row>
    <row r="61" spans="1:10" x14ac:dyDescent="0.3">
      <c r="A61">
        <v>59</v>
      </c>
      <c r="B61">
        <v>1218</v>
      </c>
      <c r="C61" t="b">
        <v>1</v>
      </c>
      <c r="D61">
        <v>8106</v>
      </c>
      <c r="E61">
        <v>8129</v>
      </c>
      <c r="F61">
        <v>225.73334</v>
      </c>
      <c r="G61">
        <v>221.26666</v>
      </c>
      <c r="H61">
        <v>1.0201868000000001</v>
      </c>
      <c r="I61">
        <v>-2.0186840000000001E-2</v>
      </c>
      <c r="J61">
        <v>0.49500372999999998</v>
      </c>
    </row>
    <row r="62" spans="1:10" x14ac:dyDescent="0.3">
      <c r="A62">
        <v>60</v>
      </c>
      <c r="B62">
        <v>1234</v>
      </c>
      <c r="C62" t="b">
        <v>1</v>
      </c>
      <c r="D62">
        <v>8077</v>
      </c>
      <c r="E62">
        <v>8140</v>
      </c>
      <c r="F62">
        <v>226.13333</v>
      </c>
      <c r="G62">
        <v>222</v>
      </c>
      <c r="H62">
        <v>1.0186185999999999</v>
      </c>
      <c r="I62">
        <v>-1.8618610000000001E-2</v>
      </c>
      <c r="J62">
        <v>0.49538827000000002</v>
      </c>
    </row>
    <row r="63" spans="1:10" x14ac:dyDescent="0.3">
      <c r="A63">
        <v>61</v>
      </c>
      <c r="B63">
        <v>1250</v>
      </c>
      <c r="C63" t="b">
        <v>1</v>
      </c>
      <c r="D63">
        <v>8048</v>
      </c>
      <c r="E63">
        <v>8164</v>
      </c>
      <c r="F63">
        <v>226.93333000000001</v>
      </c>
      <c r="G63">
        <v>222.73334</v>
      </c>
      <c r="H63">
        <v>1.0188565999999999</v>
      </c>
      <c r="I63">
        <v>-1.8856615E-2</v>
      </c>
      <c r="J63">
        <v>0.49532986000000001</v>
      </c>
    </row>
    <row r="64" spans="1:10" x14ac:dyDescent="0.3">
      <c r="A64">
        <v>62</v>
      </c>
      <c r="B64">
        <v>1265</v>
      </c>
      <c r="C64" t="b">
        <v>1</v>
      </c>
      <c r="D64">
        <v>8054</v>
      </c>
      <c r="E64">
        <v>8134</v>
      </c>
      <c r="F64">
        <v>227.33332999999999</v>
      </c>
      <c r="G64">
        <v>223.06666999999999</v>
      </c>
      <c r="H64">
        <v>1.0191272</v>
      </c>
      <c r="I64">
        <v>-1.9127298000000001E-2</v>
      </c>
      <c r="J64">
        <v>0.49526350000000002</v>
      </c>
    </row>
    <row r="65" spans="1:10" x14ac:dyDescent="0.3">
      <c r="A65">
        <v>63</v>
      </c>
      <c r="B65">
        <v>1281</v>
      </c>
      <c r="C65" t="b">
        <v>1</v>
      </c>
      <c r="D65">
        <v>8077</v>
      </c>
      <c r="E65">
        <v>8140</v>
      </c>
      <c r="F65">
        <v>228.13333</v>
      </c>
      <c r="G65">
        <v>223.46665999999999</v>
      </c>
      <c r="H65">
        <v>1.0208831</v>
      </c>
      <c r="I65">
        <v>-2.0883077999999999E-2</v>
      </c>
      <c r="J65">
        <v>0.49483319999999997</v>
      </c>
    </row>
    <row r="66" spans="1:10" x14ac:dyDescent="0.3">
      <c r="A66">
        <v>64</v>
      </c>
      <c r="B66">
        <v>1297</v>
      </c>
      <c r="C66" t="b">
        <v>1</v>
      </c>
      <c r="D66">
        <v>8071</v>
      </c>
      <c r="E66">
        <v>8176</v>
      </c>
      <c r="F66">
        <v>228.53334000000001</v>
      </c>
      <c r="G66">
        <v>223.06666999999999</v>
      </c>
      <c r="H66">
        <v>1.0245069</v>
      </c>
      <c r="I66">
        <v>-2.450691E-2</v>
      </c>
      <c r="J66">
        <v>0.49394745000000001</v>
      </c>
    </row>
    <row r="67" spans="1:10" x14ac:dyDescent="0.3">
      <c r="A67">
        <v>65</v>
      </c>
      <c r="B67">
        <v>1313</v>
      </c>
      <c r="C67" t="b">
        <v>1</v>
      </c>
      <c r="D67">
        <v>8071</v>
      </c>
      <c r="E67">
        <v>8117</v>
      </c>
      <c r="F67">
        <v>228.93333000000001</v>
      </c>
      <c r="G67">
        <v>222.66667000000001</v>
      </c>
      <c r="H67">
        <v>1.0281435999999999</v>
      </c>
      <c r="I67">
        <v>-2.8143693000000001E-2</v>
      </c>
      <c r="J67">
        <v>0.49306171999999998</v>
      </c>
    </row>
    <row r="68" spans="1:10" x14ac:dyDescent="0.3">
      <c r="A68">
        <v>66</v>
      </c>
      <c r="B68">
        <v>1328</v>
      </c>
      <c r="C68" t="b">
        <v>1</v>
      </c>
      <c r="D68">
        <v>8077</v>
      </c>
      <c r="E68">
        <v>8152</v>
      </c>
      <c r="F68">
        <v>229.66667000000001</v>
      </c>
      <c r="G68">
        <v>222.26666</v>
      </c>
      <c r="H68">
        <v>1.0332934</v>
      </c>
      <c r="I68">
        <v>-3.3293379999999997E-2</v>
      </c>
      <c r="J68">
        <v>0.4918129</v>
      </c>
    </row>
    <row r="69" spans="1:10" x14ac:dyDescent="0.3">
      <c r="A69">
        <v>67</v>
      </c>
      <c r="B69">
        <v>1344</v>
      </c>
      <c r="C69" t="b">
        <v>1</v>
      </c>
      <c r="D69">
        <v>8054</v>
      </c>
      <c r="E69">
        <v>8134</v>
      </c>
      <c r="F69">
        <v>230.4</v>
      </c>
      <c r="G69">
        <v>222.66667000000001</v>
      </c>
      <c r="H69">
        <v>1.0347303999999999</v>
      </c>
      <c r="I69">
        <v>-3.4730486999999997E-2</v>
      </c>
      <c r="J69">
        <v>0.4914656</v>
      </c>
    </row>
    <row r="70" spans="1:10" x14ac:dyDescent="0.3">
      <c r="A70">
        <v>68</v>
      </c>
      <c r="B70">
        <v>1360</v>
      </c>
      <c r="C70" t="b">
        <v>1</v>
      </c>
      <c r="D70">
        <v>8060</v>
      </c>
      <c r="E70">
        <v>8164</v>
      </c>
      <c r="F70">
        <v>231.13333</v>
      </c>
      <c r="G70">
        <v>223.86667</v>
      </c>
      <c r="H70">
        <v>1.0324597</v>
      </c>
      <c r="I70">
        <v>-3.2459780000000001E-2</v>
      </c>
      <c r="J70">
        <v>0.49201465</v>
      </c>
    </row>
    <row r="71" spans="1:10" x14ac:dyDescent="0.3">
      <c r="A71">
        <v>69</v>
      </c>
      <c r="B71">
        <v>1376</v>
      </c>
      <c r="C71" t="b">
        <v>1</v>
      </c>
      <c r="D71">
        <v>8065</v>
      </c>
      <c r="E71">
        <v>8129</v>
      </c>
      <c r="F71">
        <v>230.73334</v>
      </c>
      <c r="G71">
        <v>224.2</v>
      </c>
      <c r="H71">
        <v>1.0291406999999999</v>
      </c>
      <c r="I71">
        <v>-2.9140681000000002E-2</v>
      </c>
      <c r="J71">
        <v>0.49281943</v>
      </c>
    </row>
    <row r="72" spans="1:10" x14ac:dyDescent="0.3">
      <c r="A72">
        <v>70</v>
      </c>
      <c r="B72">
        <v>1392</v>
      </c>
      <c r="C72" t="b">
        <v>1</v>
      </c>
      <c r="D72">
        <v>8077</v>
      </c>
      <c r="E72">
        <v>8146</v>
      </c>
      <c r="F72">
        <v>231.06666999999999</v>
      </c>
      <c r="G72">
        <v>225</v>
      </c>
      <c r="H72">
        <v>1.0269630000000001</v>
      </c>
      <c r="I72">
        <v>-2.6962957999999999E-2</v>
      </c>
      <c r="J72">
        <v>0.49334896</v>
      </c>
    </row>
    <row r="73" spans="1:10" x14ac:dyDescent="0.3">
      <c r="A73">
        <v>71</v>
      </c>
      <c r="B73">
        <v>1408</v>
      </c>
      <c r="C73" t="b">
        <v>1</v>
      </c>
      <c r="D73">
        <v>8077</v>
      </c>
      <c r="E73">
        <v>8140</v>
      </c>
      <c r="F73">
        <v>231.4</v>
      </c>
      <c r="G73">
        <v>225.4</v>
      </c>
      <c r="H73">
        <v>1.0266192999999999</v>
      </c>
      <c r="I73">
        <v>-2.6619344999999999E-2</v>
      </c>
      <c r="J73">
        <v>0.49343258000000001</v>
      </c>
    </row>
    <row r="74" spans="1:10" x14ac:dyDescent="0.3">
      <c r="A74">
        <v>72</v>
      </c>
      <c r="B74">
        <v>1424</v>
      </c>
      <c r="C74" t="b">
        <v>1</v>
      </c>
      <c r="D74">
        <v>8083</v>
      </c>
      <c r="E74">
        <v>8158</v>
      </c>
      <c r="F74">
        <v>231.4</v>
      </c>
      <c r="G74">
        <v>225.8</v>
      </c>
      <c r="H74">
        <v>1.0248006999999999</v>
      </c>
      <c r="I74">
        <v>-2.4800668000000001E-2</v>
      </c>
      <c r="J74">
        <v>0.49387576999999999</v>
      </c>
    </row>
    <row r="75" spans="1:10" x14ac:dyDescent="0.3">
      <c r="A75">
        <v>73</v>
      </c>
      <c r="B75">
        <v>1440</v>
      </c>
      <c r="C75" t="b">
        <v>1</v>
      </c>
      <c r="D75">
        <v>8071</v>
      </c>
      <c r="E75">
        <v>8111</v>
      </c>
      <c r="F75">
        <v>231.8</v>
      </c>
      <c r="G75">
        <v>225.8</v>
      </c>
      <c r="H75">
        <v>1.0265721999999999</v>
      </c>
      <c r="I75">
        <v>-2.6572186000000001E-2</v>
      </c>
      <c r="J75">
        <v>0.49344406000000002</v>
      </c>
    </row>
    <row r="76" spans="1:10" x14ac:dyDescent="0.3">
      <c r="A76">
        <v>74</v>
      </c>
      <c r="B76">
        <v>1456</v>
      </c>
      <c r="C76" t="b">
        <v>1</v>
      </c>
      <c r="D76">
        <v>8060</v>
      </c>
      <c r="E76">
        <v>8134</v>
      </c>
      <c r="F76">
        <v>232.2</v>
      </c>
      <c r="G76">
        <v>225.8</v>
      </c>
      <c r="H76">
        <v>1.0283437</v>
      </c>
      <c r="I76">
        <v>-2.834364E-2</v>
      </c>
      <c r="J76">
        <v>0.49301309999999998</v>
      </c>
    </row>
    <row r="77" spans="1:10" x14ac:dyDescent="0.3">
      <c r="A77">
        <v>75</v>
      </c>
      <c r="B77">
        <v>1472</v>
      </c>
      <c r="C77" t="b">
        <v>1</v>
      </c>
      <c r="D77">
        <v>8071</v>
      </c>
      <c r="E77">
        <v>8152</v>
      </c>
      <c r="F77">
        <v>231.8</v>
      </c>
      <c r="G77">
        <v>225.8</v>
      </c>
      <c r="H77">
        <v>1.0265721999999999</v>
      </c>
      <c r="I77">
        <v>-2.6572186000000001E-2</v>
      </c>
      <c r="J77">
        <v>0.49344406000000002</v>
      </c>
    </row>
    <row r="78" spans="1:10" x14ac:dyDescent="0.3">
      <c r="A78">
        <v>76</v>
      </c>
      <c r="B78">
        <v>1488</v>
      </c>
      <c r="C78" t="b">
        <v>1</v>
      </c>
      <c r="D78">
        <v>8083</v>
      </c>
      <c r="E78">
        <v>8182</v>
      </c>
      <c r="F78">
        <v>231.4</v>
      </c>
      <c r="G78">
        <v>226.6</v>
      </c>
      <c r="H78">
        <v>1.0211827</v>
      </c>
      <c r="I78">
        <v>-2.1182646999999999E-2</v>
      </c>
      <c r="J78">
        <v>0.49475983000000001</v>
      </c>
    </row>
    <row r="79" spans="1:10" x14ac:dyDescent="0.3">
      <c r="A79">
        <v>77</v>
      </c>
      <c r="B79">
        <v>1520</v>
      </c>
      <c r="C79" t="b">
        <v>1</v>
      </c>
      <c r="D79">
        <v>8042</v>
      </c>
      <c r="E79">
        <v>8134</v>
      </c>
      <c r="F79">
        <v>231.4</v>
      </c>
      <c r="G79">
        <v>226.6</v>
      </c>
      <c r="H79">
        <v>1.0211827</v>
      </c>
      <c r="I79">
        <v>-2.1182646999999999E-2</v>
      </c>
      <c r="J79">
        <v>0.49475983000000001</v>
      </c>
    </row>
    <row r="80" spans="1:10" x14ac:dyDescent="0.3">
      <c r="A80">
        <v>78</v>
      </c>
      <c r="B80">
        <v>1551</v>
      </c>
      <c r="C80" t="b">
        <v>1</v>
      </c>
      <c r="D80">
        <v>8083</v>
      </c>
      <c r="E80">
        <v>8111</v>
      </c>
      <c r="F80">
        <v>231</v>
      </c>
      <c r="G80">
        <v>226.2</v>
      </c>
      <c r="H80">
        <v>1.0212201999999999</v>
      </c>
      <c r="I80">
        <v>-2.1220174000000001E-2</v>
      </c>
      <c r="J80">
        <v>0.49475065000000001</v>
      </c>
    </row>
    <row r="81" spans="1:10" x14ac:dyDescent="0.3">
      <c r="A81">
        <v>79</v>
      </c>
      <c r="B81">
        <v>1567</v>
      </c>
      <c r="C81" t="b">
        <v>1</v>
      </c>
      <c r="D81">
        <v>8048</v>
      </c>
      <c r="E81">
        <v>8123</v>
      </c>
      <c r="F81">
        <v>231</v>
      </c>
      <c r="G81">
        <v>225.8</v>
      </c>
      <c r="H81">
        <v>1.0230292000000001</v>
      </c>
      <c r="I81">
        <v>-2.3029216000000002E-2</v>
      </c>
      <c r="J81">
        <v>0.49430826</v>
      </c>
    </row>
    <row r="82" spans="1:10" x14ac:dyDescent="0.3">
      <c r="A82">
        <v>80</v>
      </c>
      <c r="B82">
        <v>1583</v>
      </c>
      <c r="C82" t="b">
        <v>1</v>
      </c>
      <c r="D82">
        <v>8094</v>
      </c>
      <c r="E82">
        <v>8134</v>
      </c>
      <c r="F82">
        <v>231.8</v>
      </c>
      <c r="G82">
        <v>225.4</v>
      </c>
      <c r="H82">
        <v>1.028394</v>
      </c>
      <c r="I82">
        <v>-2.8394007999999998E-2</v>
      </c>
      <c r="J82">
        <v>0.49300084</v>
      </c>
    </row>
    <row r="83" spans="1:10" x14ac:dyDescent="0.3">
      <c r="A83">
        <v>81</v>
      </c>
      <c r="B83">
        <v>1599</v>
      </c>
      <c r="C83" t="b">
        <v>1</v>
      </c>
      <c r="D83">
        <v>8088</v>
      </c>
      <c r="E83">
        <v>8134</v>
      </c>
      <c r="F83">
        <v>232.6</v>
      </c>
      <c r="G83">
        <v>225</v>
      </c>
      <c r="H83">
        <v>1.0337778</v>
      </c>
      <c r="I83">
        <v>-3.3777803000000002E-2</v>
      </c>
      <c r="J83">
        <v>0.49169580000000002</v>
      </c>
    </row>
    <row r="84" spans="1:10" x14ac:dyDescent="0.3">
      <c r="A84">
        <v>82</v>
      </c>
      <c r="B84">
        <v>1615</v>
      </c>
      <c r="C84" t="b">
        <v>1</v>
      </c>
      <c r="D84">
        <v>8048</v>
      </c>
      <c r="E84">
        <v>8129</v>
      </c>
      <c r="F84">
        <v>233.4</v>
      </c>
      <c r="G84">
        <v>224.26666</v>
      </c>
      <c r="H84">
        <v>1.0407253999999999</v>
      </c>
      <c r="I84">
        <v>-4.0725316999999997E-2</v>
      </c>
      <c r="J84">
        <v>0.49002184999999998</v>
      </c>
    </row>
    <row r="85" spans="1:10" x14ac:dyDescent="0.3">
      <c r="A85">
        <v>83</v>
      </c>
      <c r="B85">
        <v>1630</v>
      </c>
      <c r="C85" t="b">
        <v>1</v>
      </c>
      <c r="D85">
        <v>8088</v>
      </c>
      <c r="E85">
        <v>8123</v>
      </c>
      <c r="F85">
        <v>234.53334000000001</v>
      </c>
      <c r="G85">
        <v>222.73334</v>
      </c>
      <c r="H85">
        <v>1.0529782000000001</v>
      </c>
      <c r="I85">
        <v>-5.2978160000000003E-2</v>
      </c>
      <c r="J85">
        <v>0.48709725999999998</v>
      </c>
    </row>
    <row r="86" spans="1:10" x14ac:dyDescent="0.3">
      <c r="A86">
        <v>84</v>
      </c>
      <c r="B86">
        <v>1646</v>
      </c>
      <c r="C86" t="b">
        <v>1</v>
      </c>
      <c r="D86">
        <v>8060</v>
      </c>
      <c r="E86">
        <v>8134</v>
      </c>
      <c r="F86">
        <v>236.06666999999999</v>
      </c>
      <c r="G86">
        <v>222.73334</v>
      </c>
      <c r="H86">
        <v>1.0598623</v>
      </c>
      <c r="I86">
        <v>-5.9862292999999997E-2</v>
      </c>
      <c r="J86">
        <v>0.48546937000000001</v>
      </c>
    </row>
    <row r="87" spans="1:10" x14ac:dyDescent="0.3">
      <c r="A87">
        <v>85</v>
      </c>
      <c r="B87">
        <v>1662</v>
      </c>
      <c r="C87" t="b">
        <v>1</v>
      </c>
      <c r="D87">
        <v>8065</v>
      </c>
      <c r="E87">
        <v>8146</v>
      </c>
      <c r="F87">
        <v>236.06666999999999</v>
      </c>
      <c r="G87">
        <v>221.93333000000001</v>
      </c>
      <c r="H87">
        <v>1.0636828</v>
      </c>
      <c r="I87">
        <v>-6.3682779999999994E-2</v>
      </c>
      <c r="J87">
        <v>0.48457060000000002</v>
      </c>
    </row>
    <row r="88" spans="1:10" x14ac:dyDescent="0.3">
      <c r="A88">
        <v>86</v>
      </c>
      <c r="B88">
        <v>1678</v>
      </c>
      <c r="C88" t="b">
        <v>1</v>
      </c>
      <c r="D88">
        <v>8071</v>
      </c>
      <c r="E88">
        <v>8146</v>
      </c>
      <c r="F88">
        <v>236.06666999999999</v>
      </c>
      <c r="G88">
        <v>221.53334000000001</v>
      </c>
      <c r="H88">
        <v>1.0656034000000001</v>
      </c>
      <c r="I88">
        <v>-6.5603330000000001E-2</v>
      </c>
      <c r="J88">
        <v>0.48412003999999997</v>
      </c>
    </row>
    <row r="89" spans="1:10" x14ac:dyDescent="0.3">
      <c r="A89">
        <v>87</v>
      </c>
      <c r="B89">
        <v>1693</v>
      </c>
      <c r="C89" t="b">
        <v>1</v>
      </c>
      <c r="D89">
        <v>8077</v>
      </c>
      <c r="E89">
        <v>8152</v>
      </c>
      <c r="F89">
        <v>235.66667000000001</v>
      </c>
      <c r="G89">
        <v>221.53334000000001</v>
      </c>
      <c r="H89">
        <v>1.0637977000000001</v>
      </c>
      <c r="I89">
        <v>-6.3797764000000007E-2</v>
      </c>
      <c r="J89">
        <v>0.48454360000000002</v>
      </c>
    </row>
    <row r="90" spans="1:10" x14ac:dyDescent="0.3">
      <c r="A90">
        <v>88</v>
      </c>
      <c r="B90">
        <v>1709</v>
      </c>
      <c r="C90" t="b">
        <v>1</v>
      </c>
      <c r="D90">
        <v>8077</v>
      </c>
      <c r="E90">
        <v>8152</v>
      </c>
      <c r="F90">
        <v>235.26666</v>
      </c>
      <c r="G90">
        <v>221.93333000000001</v>
      </c>
      <c r="H90">
        <v>1.0600780000000001</v>
      </c>
      <c r="I90">
        <v>-6.0078077000000001E-2</v>
      </c>
      <c r="J90">
        <v>0.48541846999999999</v>
      </c>
    </row>
    <row r="91" spans="1:10" x14ac:dyDescent="0.3">
      <c r="A91">
        <v>89</v>
      </c>
      <c r="B91">
        <v>1725</v>
      </c>
      <c r="C91" t="b">
        <v>1</v>
      </c>
      <c r="D91">
        <v>8083</v>
      </c>
      <c r="E91">
        <v>8117</v>
      </c>
      <c r="F91">
        <v>235.26666</v>
      </c>
      <c r="G91">
        <v>222.33332999999999</v>
      </c>
      <c r="H91">
        <v>1.0581708999999999</v>
      </c>
      <c r="I91">
        <v>-5.8170922E-2</v>
      </c>
      <c r="J91">
        <v>0.48586829999999998</v>
      </c>
    </row>
    <row r="92" spans="1:10" x14ac:dyDescent="0.3">
      <c r="A92">
        <v>90</v>
      </c>
      <c r="B92">
        <v>1741</v>
      </c>
      <c r="C92" t="b">
        <v>1</v>
      </c>
      <c r="D92">
        <v>8077</v>
      </c>
      <c r="E92">
        <v>8129</v>
      </c>
      <c r="F92">
        <v>235.66667000000001</v>
      </c>
      <c r="G92">
        <v>222.73334</v>
      </c>
      <c r="H92">
        <v>1.0580665</v>
      </c>
      <c r="I92">
        <v>-5.8066449999999999E-2</v>
      </c>
      <c r="J92">
        <v>0.48589294999999999</v>
      </c>
    </row>
    <row r="93" spans="1:10" x14ac:dyDescent="0.3">
      <c r="A93">
        <v>91</v>
      </c>
      <c r="B93">
        <v>1773</v>
      </c>
      <c r="C93" t="b">
        <v>1</v>
      </c>
      <c r="D93">
        <v>8048</v>
      </c>
      <c r="E93">
        <v>8134</v>
      </c>
      <c r="F93">
        <v>236.06666999999999</v>
      </c>
      <c r="G93">
        <v>221.53334000000001</v>
      </c>
      <c r="H93">
        <v>1.0656034000000001</v>
      </c>
      <c r="I93">
        <v>-6.5603330000000001E-2</v>
      </c>
      <c r="J93">
        <v>0.48412003999999997</v>
      </c>
    </row>
    <row r="94" spans="1:10" x14ac:dyDescent="0.3">
      <c r="A94">
        <v>92</v>
      </c>
      <c r="B94">
        <v>1804</v>
      </c>
      <c r="C94" t="b">
        <v>1</v>
      </c>
      <c r="D94">
        <v>8060</v>
      </c>
      <c r="E94">
        <v>8134</v>
      </c>
      <c r="F94">
        <v>236.46665999999999</v>
      </c>
      <c r="G94">
        <v>221.53334000000001</v>
      </c>
      <c r="H94">
        <v>1.0674089</v>
      </c>
      <c r="I94">
        <v>-6.7408904000000006E-2</v>
      </c>
      <c r="J94">
        <v>0.48369723999999997</v>
      </c>
    </row>
    <row r="95" spans="1:10" x14ac:dyDescent="0.3">
      <c r="A95">
        <v>93</v>
      </c>
      <c r="B95">
        <v>1835</v>
      </c>
      <c r="C95" t="b">
        <v>1</v>
      </c>
      <c r="D95">
        <v>8054</v>
      </c>
      <c r="E95">
        <v>8129</v>
      </c>
      <c r="F95">
        <v>235.73334</v>
      </c>
      <c r="G95">
        <v>221.2</v>
      </c>
      <c r="H95">
        <v>1.0657023000000001</v>
      </c>
      <c r="I95">
        <v>-6.5702269999999993E-2</v>
      </c>
      <c r="J95">
        <v>0.48409685000000002</v>
      </c>
    </row>
    <row r="96" spans="1:10" x14ac:dyDescent="0.3">
      <c r="A96">
        <v>94</v>
      </c>
      <c r="B96">
        <v>1867</v>
      </c>
      <c r="C96" t="b">
        <v>1</v>
      </c>
      <c r="D96">
        <v>8077</v>
      </c>
      <c r="E96">
        <v>8158</v>
      </c>
      <c r="F96">
        <v>235</v>
      </c>
      <c r="G96">
        <v>221.2</v>
      </c>
      <c r="H96">
        <v>1.062387</v>
      </c>
      <c r="I96">
        <v>-6.2386993000000002E-2</v>
      </c>
      <c r="J96">
        <v>0.48487501999999999</v>
      </c>
    </row>
    <row r="97" spans="1:10" x14ac:dyDescent="0.3">
      <c r="A97">
        <v>95</v>
      </c>
      <c r="B97">
        <v>1883</v>
      </c>
      <c r="C97" t="b">
        <v>1</v>
      </c>
      <c r="D97">
        <v>8060</v>
      </c>
      <c r="E97">
        <v>8158</v>
      </c>
      <c r="F97">
        <v>233.46665999999999</v>
      </c>
      <c r="G97">
        <v>221.2</v>
      </c>
      <c r="H97">
        <v>1.0554551000000001</v>
      </c>
      <c r="I97">
        <v>-5.5455076999999998E-2</v>
      </c>
      <c r="J97">
        <v>0.48651028000000002</v>
      </c>
    </row>
    <row r="98" spans="1:10" x14ac:dyDescent="0.3">
      <c r="A98">
        <v>96</v>
      </c>
      <c r="B98">
        <v>1899</v>
      </c>
      <c r="C98" t="b">
        <v>1</v>
      </c>
      <c r="D98">
        <v>8065</v>
      </c>
      <c r="E98">
        <v>8123</v>
      </c>
      <c r="F98">
        <v>231.93333000000001</v>
      </c>
      <c r="G98">
        <v>221.2</v>
      </c>
      <c r="H98">
        <v>1.0485232</v>
      </c>
      <c r="I98">
        <v>-4.8523225000000003E-2</v>
      </c>
      <c r="J98">
        <v>0.48815652999999998</v>
      </c>
    </row>
    <row r="99" spans="1:10" x14ac:dyDescent="0.3">
      <c r="A99">
        <v>97</v>
      </c>
      <c r="B99">
        <v>1915</v>
      </c>
      <c r="C99" t="b">
        <v>1</v>
      </c>
      <c r="D99">
        <v>8048</v>
      </c>
      <c r="E99">
        <v>8140</v>
      </c>
      <c r="F99">
        <v>230.4</v>
      </c>
      <c r="G99">
        <v>221.93333000000001</v>
      </c>
      <c r="H99">
        <v>1.0381495999999999</v>
      </c>
      <c r="I99">
        <v>-3.8149559999999999E-2</v>
      </c>
      <c r="J99">
        <v>0.49064115000000003</v>
      </c>
    </row>
    <row r="100" spans="1:10" x14ac:dyDescent="0.3">
      <c r="A100">
        <v>98</v>
      </c>
      <c r="B100">
        <v>1930</v>
      </c>
      <c r="C100" t="b">
        <v>1</v>
      </c>
      <c r="D100">
        <v>8083</v>
      </c>
      <c r="E100">
        <v>8140</v>
      </c>
      <c r="F100">
        <v>228.86667</v>
      </c>
      <c r="G100">
        <v>222.66667000000001</v>
      </c>
      <c r="H100">
        <v>1.0278442999999999</v>
      </c>
      <c r="I100">
        <v>-2.7844297E-2</v>
      </c>
      <c r="J100">
        <v>0.49313453000000002</v>
      </c>
    </row>
    <row r="101" spans="1:10" x14ac:dyDescent="0.3">
      <c r="A101">
        <v>99</v>
      </c>
      <c r="B101">
        <v>1946</v>
      </c>
      <c r="C101" t="b">
        <v>1</v>
      </c>
      <c r="D101">
        <v>8083</v>
      </c>
      <c r="E101">
        <v>8123</v>
      </c>
      <c r="F101">
        <v>227.33332999999999</v>
      </c>
      <c r="G101">
        <v>223.06666999999999</v>
      </c>
      <c r="H101">
        <v>1.0191272</v>
      </c>
      <c r="I101">
        <v>-1.9127298000000001E-2</v>
      </c>
      <c r="J101">
        <v>0.49526350000000002</v>
      </c>
    </row>
    <row r="102" spans="1:10" x14ac:dyDescent="0.3">
      <c r="A102">
        <v>100</v>
      </c>
      <c r="B102">
        <v>1963</v>
      </c>
      <c r="C102" t="b">
        <v>1</v>
      </c>
      <c r="D102">
        <v>8077</v>
      </c>
      <c r="E102">
        <v>8111</v>
      </c>
      <c r="F102">
        <v>228.13333</v>
      </c>
      <c r="G102">
        <v>222.33332999999999</v>
      </c>
      <c r="H102">
        <v>1.0260868999999999</v>
      </c>
      <c r="I102">
        <v>-2.6086971E-2</v>
      </c>
      <c r="J102">
        <v>0.49356222</v>
      </c>
    </row>
    <row r="103" spans="1:10" x14ac:dyDescent="0.3">
      <c r="A103">
        <v>101</v>
      </c>
      <c r="B103">
        <v>1978</v>
      </c>
      <c r="C103" t="b">
        <v>1</v>
      </c>
      <c r="D103">
        <v>8065</v>
      </c>
      <c r="E103">
        <v>8099</v>
      </c>
      <c r="F103">
        <v>228.93333000000001</v>
      </c>
      <c r="G103">
        <v>221.6</v>
      </c>
      <c r="H103">
        <v>1.0330926</v>
      </c>
      <c r="I103">
        <v>-3.3092637000000001E-2</v>
      </c>
      <c r="J103">
        <v>0.49186152</v>
      </c>
    </row>
    <row r="104" spans="1:10" x14ac:dyDescent="0.3">
      <c r="A104">
        <v>102</v>
      </c>
      <c r="B104">
        <v>1994</v>
      </c>
      <c r="C104" t="b">
        <v>1</v>
      </c>
      <c r="D104">
        <v>8060</v>
      </c>
      <c r="E104">
        <v>8105</v>
      </c>
      <c r="F104">
        <v>229.33332999999999</v>
      </c>
      <c r="G104">
        <v>219.26666</v>
      </c>
      <c r="H104">
        <v>1.0459106</v>
      </c>
      <c r="I104">
        <v>-4.5910607999999999E-2</v>
      </c>
      <c r="J104">
        <v>0.48877992999999997</v>
      </c>
    </row>
    <row r="105" spans="1:10" x14ac:dyDescent="0.3">
      <c r="A105">
        <v>103</v>
      </c>
      <c r="B105">
        <v>2010</v>
      </c>
      <c r="C105" t="b">
        <v>1</v>
      </c>
      <c r="D105">
        <v>8000</v>
      </c>
      <c r="E105">
        <v>8140</v>
      </c>
      <c r="F105">
        <v>228.93333000000001</v>
      </c>
      <c r="G105">
        <v>216.93333000000001</v>
      </c>
      <c r="H105">
        <v>1.0553166</v>
      </c>
      <c r="I105">
        <v>-5.5316534000000001E-2</v>
      </c>
      <c r="J105">
        <v>0.48654306000000003</v>
      </c>
    </row>
    <row r="106" spans="1:10" x14ac:dyDescent="0.3">
      <c r="A106">
        <v>104</v>
      </c>
      <c r="B106">
        <v>2026</v>
      </c>
      <c r="C106" t="b">
        <v>1</v>
      </c>
      <c r="D106">
        <v>8060</v>
      </c>
      <c r="E106">
        <v>8129</v>
      </c>
      <c r="F106">
        <v>227.8</v>
      </c>
      <c r="G106">
        <v>214.6</v>
      </c>
      <c r="H106">
        <v>1.0615097</v>
      </c>
      <c r="I106">
        <v>-6.1509769999999998E-2</v>
      </c>
      <c r="J106">
        <v>0.48508137000000001</v>
      </c>
    </row>
    <row r="107" spans="1:10" x14ac:dyDescent="0.3">
      <c r="A107">
        <v>105</v>
      </c>
      <c r="B107">
        <v>2042</v>
      </c>
      <c r="C107" t="b">
        <v>1</v>
      </c>
      <c r="D107">
        <v>8054</v>
      </c>
      <c r="E107">
        <v>8117</v>
      </c>
      <c r="F107">
        <v>226.66667000000001</v>
      </c>
      <c r="G107">
        <v>212.66667000000001</v>
      </c>
      <c r="H107">
        <v>1.0658307</v>
      </c>
      <c r="I107">
        <v>-6.5830719999999995E-2</v>
      </c>
      <c r="J107">
        <v>0.48406674999999999</v>
      </c>
    </row>
    <row r="108" spans="1:10" x14ac:dyDescent="0.3">
      <c r="A108">
        <v>106</v>
      </c>
      <c r="B108">
        <v>2057</v>
      </c>
      <c r="C108" t="b">
        <v>1</v>
      </c>
      <c r="D108">
        <v>8083</v>
      </c>
      <c r="E108">
        <v>8140</v>
      </c>
      <c r="F108">
        <v>225.53334000000001</v>
      </c>
      <c r="G108">
        <v>212.33332999999999</v>
      </c>
      <c r="H108">
        <v>1.0621665</v>
      </c>
      <c r="I108">
        <v>-6.2166463999999998E-2</v>
      </c>
      <c r="J108">
        <v>0.48492689999999999</v>
      </c>
    </row>
    <row r="109" spans="1:10" x14ac:dyDescent="0.3">
      <c r="A109">
        <v>107</v>
      </c>
      <c r="B109">
        <v>2090</v>
      </c>
      <c r="C109" t="b">
        <v>1</v>
      </c>
      <c r="D109">
        <v>8065</v>
      </c>
      <c r="E109">
        <v>8152</v>
      </c>
      <c r="F109">
        <v>224.4</v>
      </c>
      <c r="G109">
        <v>212.73334</v>
      </c>
      <c r="H109">
        <v>1.0548416</v>
      </c>
      <c r="I109">
        <v>-5.4841692999999997E-2</v>
      </c>
      <c r="J109">
        <v>0.48665550000000002</v>
      </c>
    </row>
    <row r="110" spans="1:10" x14ac:dyDescent="0.3">
      <c r="A110">
        <v>108</v>
      </c>
      <c r="B110">
        <v>2121</v>
      </c>
      <c r="C110" t="b">
        <v>1</v>
      </c>
      <c r="D110">
        <v>8083</v>
      </c>
      <c r="E110">
        <v>8152</v>
      </c>
      <c r="F110">
        <v>224.73334</v>
      </c>
      <c r="G110">
        <v>213.46665999999999</v>
      </c>
      <c r="H110">
        <v>1.0527796</v>
      </c>
      <c r="I110">
        <v>-5.2779566E-2</v>
      </c>
      <c r="J110">
        <v>0.48714435</v>
      </c>
    </row>
    <row r="111" spans="1:10" x14ac:dyDescent="0.3">
      <c r="A111">
        <v>109</v>
      </c>
      <c r="B111">
        <v>2153</v>
      </c>
      <c r="C111" t="b">
        <v>1</v>
      </c>
      <c r="D111">
        <v>8077</v>
      </c>
      <c r="E111">
        <v>8111</v>
      </c>
      <c r="F111">
        <v>225.86667</v>
      </c>
      <c r="G111">
        <v>213.86667</v>
      </c>
      <c r="H111">
        <v>1.0561096999999999</v>
      </c>
      <c r="I111">
        <v>-5.6109725999999999E-2</v>
      </c>
      <c r="J111">
        <v>0.48635536000000001</v>
      </c>
    </row>
    <row r="112" spans="1:10" x14ac:dyDescent="0.3">
      <c r="A112">
        <v>110</v>
      </c>
      <c r="B112">
        <v>2184</v>
      </c>
      <c r="C112" t="b">
        <v>1</v>
      </c>
      <c r="D112">
        <v>8065</v>
      </c>
      <c r="E112">
        <v>8129</v>
      </c>
      <c r="F112">
        <v>227</v>
      </c>
      <c r="G112">
        <v>214.26666</v>
      </c>
      <c r="H112">
        <v>1.0594275</v>
      </c>
      <c r="I112">
        <v>-5.9427526000000001E-2</v>
      </c>
      <c r="J112">
        <v>0.48557182999999998</v>
      </c>
    </row>
    <row r="113" spans="1:10" x14ac:dyDescent="0.3">
      <c r="A113">
        <v>111</v>
      </c>
      <c r="B113">
        <v>2200</v>
      </c>
      <c r="C113" t="b">
        <v>1</v>
      </c>
      <c r="D113">
        <v>8077</v>
      </c>
      <c r="E113">
        <v>8146</v>
      </c>
      <c r="F113">
        <v>228.13333</v>
      </c>
      <c r="G113">
        <v>215.06666999999999</v>
      </c>
      <c r="H113">
        <v>1.0607563</v>
      </c>
      <c r="I113">
        <v>-6.0756350000000001E-2</v>
      </c>
      <c r="J113">
        <v>0.48525869999999999</v>
      </c>
    </row>
    <row r="114" spans="1:10" x14ac:dyDescent="0.3">
      <c r="A114">
        <v>112</v>
      </c>
      <c r="B114">
        <v>2216</v>
      </c>
      <c r="C114" t="b">
        <v>1</v>
      </c>
      <c r="D114">
        <v>8094</v>
      </c>
      <c r="E114">
        <v>8129</v>
      </c>
      <c r="F114">
        <v>229.26666</v>
      </c>
      <c r="G114">
        <v>214.33332999999999</v>
      </c>
      <c r="H114">
        <v>1.0696734000000001</v>
      </c>
      <c r="I114">
        <v>-6.9673410000000005E-2</v>
      </c>
      <c r="J114">
        <v>0.48316804000000002</v>
      </c>
    </row>
    <row r="115" spans="1:10" x14ac:dyDescent="0.3">
      <c r="A115">
        <v>113</v>
      </c>
      <c r="B115">
        <v>2248</v>
      </c>
      <c r="C115" t="b">
        <v>1</v>
      </c>
      <c r="D115">
        <v>8054</v>
      </c>
      <c r="E115">
        <v>8111</v>
      </c>
      <c r="F115">
        <v>230.06666999999999</v>
      </c>
      <c r="G115">
        <v>213.6</v>
      </c>
      <c r="H115">
        <v>1.0770911000000001</v>
      </c>
      <c r="I115">
        <v>-7.7091099999999996E-2</v>
      </c>
      <c r="J115">
        <v>0.4814425</v>
      </c>
    </row>
    <row r="116" spans="1:10" x14ac:dyDescent="0.3">
      <c r="A116">
        <v>114</v>
      </c>
      <c r="B116">
        <v>2280</v>
      </c>
      <c r="C116" t="b">
        <v>1</v>
      </c>
      <c r="D116">
        <v>8065</v>
      </c>
      <c r="E116">
        <v>8123</v>
      </c>
      <c r="F116">
        <v>230.06666999999999</v>
      </c>
      <c r="G116">
        <v>212.86667</v>
      </c>
      <c r="H116">
        <v>1.0808017000000001</v>
      </c>
      <c r="I116">
        <v>-8.0801739999999997E-2</v>
      </c>
      <c r="J116">
        <v>0.48058397000000003</v>
      </c>
    </row>
    <row r="117" spans="1:10" x14ac:dyDescent="0.3">
      <c r="A117">
        <v>115</v>
      </c>
      <c r="B117">
        <v>2296</v>
      </c>
      <c r="C117" t="b">
        <v>1</v>
      </c>
      <c r="D117">
        <v>8077</v>
      </c>
      <c r="E117">
        <v>8146</v>
      </c>
      <c r="F117">
        <v>230.06666999999999</v>
      </c>
      <c r="G117">
        <v>213.26666</v>
      </c>
      <c r="H117">
        <v>1.0787747000000001</v>
      </c>
      <c r="I117">
        <v>-7.8774629999999998E-2</v>
      </c>
      <c r="J117">
        <v>0.48105263999999998</v>
      </c>
    </row>
    <row r="118" spans="1:10" x14ac:dyDescent="0.3">
      <c r="A118">
        <v>116</v>
      </c>
      <c r="B118">
        <v>2312</v>
      </c>
      <c r="C118" t="b">
        <v>1</v>
      </c>
      <c r="D118">
        <v>8077</v>
      </c>
      <c r="E118">
        <v>8099</v>
      </c>
      <c r="F118">
        <v>230.06666999999999</v>
      </c>
      <c r="G118">
        <v>213.26666</v>
      </c>
      <c r="H118">
        <v>1.0787747000000001</v>
      </c>
      <c r="I118">
        <v>-7.8774629999999998E-2</v>
      </c>
      <c r="J118">
        <v>0.48105263999999998</v>
      </c>
    </row>
    <row r="119" spans="1:10" x14ac:dyDescent="0.3">
      <c r="A119">
        <v>117</v>
      </c>
      <c r="B119">
        <v>2327</v>
      </c>
      <c r="C119" t="b">
        <v>1</v>
      </c>
      <c r="D119">
        <v>8054</v>
      </c>
      <c r="E119">
        <v>8134</v>
      </c>
      <c r="F119">
        <v>229.26666</v>
      </c>
      <c r="G119">
        <v>214.06666999999999</v>
      </c>
      <c r="H119">
        <v>1.0710059999999999</v>
      </c>
      <c r="I119">
        <v>-7.1005899999999997E-2</v>
      </c>
      <c r="J119">
        <v>0.48285717</v>
      </c>
    </row>
    <row r="120" spans="1:10" x14ac:dyDescent="0.3">
      <c r="A120">
        <v>118</v>
      </c>
      <c r="B120">
        <v>2359</v>
      </c>
      <c r="C120" t="b">
        <v>1</v>
      </c>
      <c r="D120">
        <v>8065</v>
      </c>
      <c r="E120">
        <v>8111</v>
      </c>
      <c r="F120">
        <v>229.26666</v>
      </c>
      <c r="G120">
        <v>214.86667</v>
      </c>
      <c r="H120">
        <v>1.0670183</v>
      </c>
      <c r="I120">
        <v>-6.701828E-2</v>
      </c>
      <c r="J120">
        <v>0.48378866999999998</v>
      </c>
    </row>
    <row r="121" spans="1:10" x14ac:dyDescent="0.3">
      <c r="A121">
        <v>119</v>
      </c>
      <c r="B121">
        <v>2375</v>
      </c>
      <c r="C121" t="b">
        <v>1</v>
      </c>
      <c r="D121">
        <v>8071</v>
      </c>
      <c r="E121">
        <v>8152</v>
      </c>
      <c r="F121">
        <v>230</v>
      </c>
      <c r="G121">
        <v>216.4</v>
      </c>
      <c r="H121">
        <v>1.0628466999999999</v>
      </c>
      <c r="I121">
        <v>-6.2846609999999997E-2</v>
      </c>
      <c r="J121">
        <v>0.48476701999999999</v>
      </c>
    </row>
    <row r="122" spans="1:10" x14ac:dyDescent="0.3">
      <c r="A122">
        <v>120</v>
      </c>
      <c r="B122">
        <v>2390</v>
      </c>
      <c r="C122" t="b">
        <v>1</v>
      </c>
      <c r="D122">
        <v>8077</v>
      </c>
      <c r="E122">
        <v>8117</v>
      </c>
      <c r="F122">
        <v>230.73334</v>
      </c>
      <c r="G122">
        <v>216.4</v>
      </c>
      <c r="H122">
        <v>1.0662354000000001</v>
      </c>
      <c r="I122">
        <v>-6.6235416000000005E-2</v>
      </c>
      <c r="J122">
        <v>0.48397194999999998</v>
      </c>
    </row>
    <row r="123" spans="1:10" x14ac:dyDescent="0.3">
      <c r="A123">
        <v>121</v>
      </c>
      <c r="B123">
        <v>2406</v>
      </c>
      <c r="C123" t="b">
        <v>1</v>
      </c>
      <c r="D123">
        <v>8077</v>
      </c>
      <c r="E123">
        <v>8134</v>
      </c>
      <c r="F123">
        <v>231.46665999999999</v>
      </c>
      <c r="G123">
        <v>216.73334</v>
      </c>
      <c r="H123">
        <v>1.067979</v>
      </c>
      <c r="I123">
        <v>-6.7979029999999996E-2</v>
      </c>
      <c r="J123">
        <v>0.48356387000000001</v>
      </c>
    </row>
    <row r="124" spans="1:10" x14ac:dyDescent="0.3">
      <c r="A124">
        <v>122</v>
      </c>
      <c r="B124">
        <v>2422</v>
      </c>
      <c r="C124" t="b">
        <v>1</v>
      </c>
      <c r="D124">
        <v>8077</v>
      </c>
      <c r="E124">
        <v>8129</v>
      </c>
      <c r="F124">
        <v>232.6</v>
      </c>
      <c r="G124">
        <v>216</v>
      </c>
      <c r="H124">
        <v>1.0768518</v>
      </c>
      <c r="I124">
        <v>-7.6851879999999997E-2</v>
      </c>
      <c r="J124">
        <v>0.48149797</v>
      </c>
    </row>
    <row r="125" spans="1:10" x14ac:dyDescent="0.3">
      <c r="A125">
        <v>123</v>
      </c>
      <c r="B125">
        <v>2438</v>
      </c>
      <c r="C125" t="b">
        <v>1</v>
      </c>
      <c r="D125">
        <v>8094</v>
      </c>
      <c r="E125">
        <v>8123</v>
      </c>
      <c r="F125">
        <v>233.4</v>
      </c>
      <c r="G125">
        <v>215.26666</v>
      </c>
      <c r="H125">
        <v>1.0842366000000001</v>
      </c>
      <c r="I125">
        <v>-8.4236599999999995E-2</v>
      </c>
      <c r="J125">
        <v>0.47979197000000001</v>
      </c>
    </row>
    <row r="126" spans="1:10" x14ac:dyDescent="0.3">
      <c r="A126">
        <v>124</v>
      </c>
      <c r="B126">
        <v>2470</v>
      </c>
      <c r="C126" t="b">
        <v>1</v>
      </c>
      <c r="D126">
        <v>8048</v>
      </c>
      <c r="E126">
        <v>8146</v>
      </c>
      <c r="F126">
        <v>233.4</v>
      </c>
      <c r="G126">
        <v>214.53334000000001</v>
      </c>
      <c r="H126">
        <v>1.0879426999999999</v>
      </c>
      <c r="I126">
        <v>-8.7942759999999995E-2</v>
      </c>
      <c r="J126">
        <v>0.47894029999999999</v>
      </c>
    </row>
    <row r="127" spans="1:10" x14ac:dyDescent="0.3">
      <c r="A127">
        <v>125</v>
      </c>
      <c r="B127">
        <v>2502</v>
      </c>
      <c r="C127" t="b">
        <v>1</v>
      </c>
      <c r="D127">
        <v>8077</v>
      </c>
      <c r="E127">
        <v>8129</v>
      </c>
      <c r="F127">
        <v>233.4</v>
      </c>
      <c r="G127">
        <v>213.8</v>
      </c>
      <c r="H127">
        <v>1.0916744</v>
      </c>
      <c r="I127">
        <v>-9.1674420000000006E-2</v>
      </c>
      <c r="J127">
        <v>0.47808588000000002</v>
      </c>
    </row>
    <row r="128" spans="1:10" x14ac:dyDescent="0.3">
      <c r="A128">
        <v>126</v>
      </c>
      <c r="B128">
        <v>2534</v>
      </c>
      <c r="C128" t="b">
        <v>1</v>
      </c>
      <c r="D128">
        <v>8088</v>
      </c>
      <c r="E128">
        <v>8140</v>
      </c>
      <c r="F128">
        <v>233.4</v>
      </c>
      <c r="G128">
        <v>212.66667000000001</v>
      </c>
      <c r="H128">
        <v>1.0974921</v>
      </c>
      <c r="I128">
        <v>-9.7492105999999995E-2</v>
      </c>
      <c r="J128">
        <v>0.47675984999999999</v>
      </c>
    </row>
    <row r="129" spans="1:10" x14ac:dyDescent="0.3">
      <c r="A129">
        <v>127</v>
      </c>
      <c r="B129">
        <v>2549</v>
      </c>
      <c r="C129" t="b">
        <v>1</v>
      </c>
      <c r="D129">
        <v>8106</v>
      </c>
      <c r="E129">
        <v>8146</v>
      </c>
      <c r="F129">
        <v>234.13333</v>
      </c>
      <c r="G129">
        <v>213.4</v>
      </c>
      <c r="H129">
        <v>1.0971571</v>
      </c>
      <c r="I129">
        <v>-9.7157160000000006E-2</v>
      </c>
      <c r="J129">
        <v>0.47683599999999998</v>
      </c>
    </row>
    <row r="130" spans="1:10" x14ac:dyDescent="0.3">
      <c r="A130">
        <v>128</v>
      </c>
      <c r="B130">
        <v>2565</v>
      </c>
      <c r="C130" t="b">
        <v>1</v>
      </c>
      <c r="D130">
        <v>8077</v>
      </c>
      <c r="E130">
        <v>8146</v>
      </c>
      <c r="F130">
        <v>234.13333</v>
      </c>
      <c r="G130">
        <v>214.53334000000001</v>
      </c>
      <c r="H130">
        <v>1.091361</v>
      </c>
      <c r="I130">
        <v>-9.1361046000000001E-2</v>
      </c>
      <c r="J130">
        <v>0.47815750000000001</v>
      </c>
    </row>
    <row r="131" spans="1:10" x14ac:dyDescent="0.3">
      <c r="A131">
        <v>129</v>
      </c>
      <c r="B131">
        <v>2581</v>
      </c>
      <c r="C131" t="b">
        <v>1</v>
      </c>
      <c r="D131">
        <v>8060</v>
      </c>
      <c r="E131">
        <v>8111</v>
      </c>
      <c r="F131">
        <v>234.93333000000001</v>
      </c>
      <c r="G131">
        <v>215.26666</v>
      </c>
      <c r="H131">
        <v>1.0913596000000001</v>
      </c>
      <c r="I131">
        <v>-9.1359579999999996E-2</v>
      </c>
      <c r="J131">
        <v>0.47815785</v>
      </c>
    </row>
    <row r="132" spans="1:10" x14ac:dyDescent="0.3">
      <c r="A132">
        <v>130</v>
      </c>
      <c r="B132">
        <v>2597</v>
      </c>
      <c r="C132" t="b">
        <v>1</v>
      </c>
      <c r="D132">
        <v>8037</v>
      </c>
      <c r="E132">
        <v>8134</v>
      </c>
      <c r="F132">
        <v>234.93333000000001</v>
      </c>
      <c r="G132">
        <v>216</v>
      </c>
      <c r="H132">
        <v>1.0876543999999999</v>
      </c>
      <c r="I132">
        <v>-8.7654319999999994E-2</v>
      </c>
      <c r="J132">
        <v>0.4790065</v>
      </c>
    </row>
    <row r="133" spans="1:10" x14ac:dyDescent="0.3">
      <c r="A133">
        <v>131</v>
      </c>
      <c r="B133">
        <v>2613</v>
      </c>
      <c r="C133" t="b">
        <v>1</v>
      </c>
      <c r="D133">
        <v>8088</v>
      </c>
      <c r="E133">
        <v>8152</v>
      </c>
      <c r="F133">
        <v>234.93333000000001</v>
      </c>
      <c r="G133">
        <v>217.53334000000001</v>
      </c>
      <c r="H133">
        <v>1.0799878000000001</v>
      </c>
      <c r="I133">
        <v>-7.9987710000000004E-2</v>
      </c>
      <c r="J133">
        <v>0.48077207999999999</v>
      </c>
    </row>
    <row r="134" spans="1:10" x14ac:dyDescent="0.3">
      <c r="A134">
        <v>132</v>
      </c>
      <c r="B134">
        <v>2629</v>
      </c>
      <c r="C134" t="b">
        <v>1</v>
      </c>
      <c r="D134">
        <v>8060</v>
      </c>
      <c r="E134">
        <v>8117</v>
      </c>
      <c r="F134">
        <v>234.6</v>
      </c>
      <c r="G134">
        <v>218.26666</v>
      </c>
      <c r="H134">
        <v>1.0748321000000001</v>
      </c>
      <c r="I134">
        <v>-7.4832060000000006E-2</v>
      </c>
      <c r="J134">
        <v>0.48196673000000001</v>
      </c>
    </row>
    <row r="135" spans="1:10" x14ac:dyDescent="0.3">
      <c r="A135">
        <v>133</v>
      </c>
      <c r="B135">
        <v>2645</v>
      </c>
      <c r="C135" t="b">
        <v>1</v>
      </c>
      <c r="D135">
        <v>8071</v>
      </c>
      <c r="E135">
        <v>8129</v>
      </c>
      <c r="F135">
        <v>234.26666</v>
      </c>
      <c r="G135">
        <v>218.66667000000001</v>
      </c>
      <c r="H135">
        <v>1.0713414000000001</v>
      </c>
      <c r="I135">
        <v>-7.1341420000000003E-2</v>
      </c>
      <c r="J135">
        <v>0.48277890000000001</v>
      </c>
    </row>
    <row r="136" spans="1:10" x14ac:dyDescent="0.3">
      <c r="A136">
        <v>134</v>
      </c>
      <c r="B136">
        <v>2661</v>
      </c>
      <c r="C136" t="b">
        <v>1</v>
      </c>
      <c r="D136">
        <v>8060</v>
      </c>
      <c r="E136">
        <v>8105</v>
      </c>
      <c r="F136">
        <v>233.53334000000001</v>
      </c>
      <c r="G136">
        <v>218.33332999999999</v>
      </c>
      <c r="H136">
        <v>1.0696182999999999</v>
      </c>
      <c r="I136">
        <v>-6.9618379999999994E-2</v>
      </c>
      <c r="J136">
        <v>0.48318087999999998</v>
      </c>
    </row>
    <row r="137" spans="1:10" x14ac:dyDescent="0.3">
      <c r="A137">
        <v>135</v>
      </c>
      <c r="B137">
        <v>2677</v>
      </c>
      <c r="C137" t="b">
        <v>1</v>
      </c>
      <c r="D137">
        <v>8054</v>
      </c>
      <c r="E137">
        <v>8152</v>
      </c>
      <c r="F137">
        <v>232.8</v>
      </c>
      <c r="G137">
        <v>219.13333</v>
      </c>
      <c r="H137">
        <v>1.0623670000000001</v>
      </c>
      <c r="I137">
        <v>-6.2366924999999997E-2</v>
      </c>
      <c r="J137">
        <v>0.48487975999999999</v>
      </c>
    </row>
    <row r="138" spans="1:10" x14ac:dyDescent="0.3">
      <c r="A138">
        <v>136</v>
      </c>
      <c r="B138">
        <v>2693</v>
      </c>
      <c r="C138" t="b">
        <v>1</v>
      </c>
      <c r="D138">
        <v>8060</v>
      </c>
      <c r="E138">
        <v>8158</v>
      </c>
      <c r="F138">
        <v>232.06666999999999</v>
      </c>
      <c r="G138">
        <v>218.8</v>
      </c>
      <c r="H138">
        <v>1.0606338</v>
      </c>
      <c r="I138">
        <v>-6.0633739999999998E-2</v>
      </c>
      <c r="J138">
        <v>0.48528759999999999</v>
      </c>
    </row>
    <row r="139" spans="1:10" x14ac:dyDescent="0.3">
      <c r="A139">
        <v>137</v>
      </c>
      <c r="B139">
        <v>2709</v>
      </c>
      <c r="C139" t="b">
        <v>1</v>
      </c>
      <c r="D139">
        <v>8060</v>
      </c>
      <c r="E139">
        <v>8134</v>
      </c>
      <c r="F139">
        <v>230.93333000000001</v>
      </c>
      <c r="G139">
        <v>219.13333</v>
      </c>
      <c r="H139">
        <v>1.0538485</v>
      </c>
      <c r="I139">
        <v>-5.3848510000000002E-2</v>
      </c>
      <c r="J139">
        <v>0.48689084999999999</v>
      </c>
    </row>
    <row r="140" spans="1:10" x14ac:dyDescent="0.3">
      <c r="A140">
        <v>138</v>
      </c>
      <c r="B140">
        <v>2740</v>
      </c>
      <c r="C140" t="b">
        <v>1</v>
      </c>
      <c r="D140">
        <v>8106</v>
      </c>
      <c r="E140">
        <v>8134</v>
      </c>
      <c r="F140">
        <v>229.8</v>
      </c>
      <c r="G140">
        <v>219.46665999999999</v>
      </c>
      <c r="H140">
        <v>1.0470839000000001</v>
      </c>
      <c r="I140">
        <v>-4.7083890000000003E-2</v>
      </c>
      <c r="J140">
        <v>0.48849976000000001</v>
      </c>
    </row>
    <row r="141" spans="1:10" x14ac:dyDescent="0.3">
      <c r="A141">
        <v>139</v>
      </c>
      <c r="B141">
        <v>2757</v>
      </c>
      <c r="C141" t="b">
        <v>1</v>
      </c>
      <c r="D141">
        <v>8083</v>
      </c>
      <c r="E141">
        <v>8146</v>
      </c>
      <c r="F141">
        <v>228.66667000000001</v>
      </c>
      <c r="G141">
        <v>220.6</v>
      </c>
      <c r="H141">
        <v>1.036567</v>
      </c>
      <c r="I141">
        <v>-3.6566929999999997E-2</v>
      </c>
      <c r="J141">
        <v>0.49102244</v>
      </c>
    </row>
    <row r="142" spans="1:10" x14ac:dyDescent="0.3">
      <c r="A142">
        <v>140</v>
      </c>
      <c r="B142">
        <v>2789</v>
      </c>
      <c r="C142" t="b">
        <v>1</v>
      </c>
      <c r="D142">
        <v>8065</v>
      </c>
      <c r="E142">
        <v>8117</v>
      </c>
      <c r="F142">
        <v>227.86667</v>
      </c>
      <c r="G142">
        <v>220.93333000000001</v>
      </c>
      <c r="H142">
        <v>1.031382</v>
      </c>
      <c r="I142">
        <v>-3.1382019999999997E-2</v>
      </c>
      <c r="J142">
        <v>0.49227569999999998</v>
      </c>
    </row>
    <row r="143" spans="1:10" x14ac:dyDescent="0.3">
      <c r="A143">
        <v>141</v>
      </c>
      <c r="B143">
        <v>2805</v>
      </c>
      <c r="C143" t="b">
        <v>1</v>
      </c>
      <c r="D143">
        <v>8054</v>
      </c>
      <c r="E143">
        <v>8146</v>
      </c>
      <c r="F143">
        <v>227.06666999999999</v>
      </c>
      <c r="G143">
        <v>221.26666</v>
      </c>
      <c r="H143">
        <v>1.0262127000000001</v>
      </c>
      <c r="I143">
        <v>-2.621273E-2</v>
      </c>
      <c r="J143">
        <v>0.49353160000000001</v>
      </c>
    </row>
    <row r="144" spans="1:10" x14ac:dyDescent="0.3">
      <c r="A144">
        <v>142</v>
      </c>
      <c r="B144">
        <v>2836</v>
      </c>
      <c r="C144" t="b">
        <v>1</v>
      </c>
      <c r="D144">
        <v>8037</v>
      </c>
      <c r="E144">
        <v>8129</v>
      </c>
      <c r="F144">
        <v>225.53334000000001</v>
      </c>
      <c r="G144">
        <v>220.86667</v>
      </c>
      <c r="H144">
        <v>1.0211288999999999</v>
      </c>
      <c r="I144">
        <v>-2.1128910000000001E-2</v>
      </c>
      <c r="J144">
        <v>0.49477296999999998</v>
      </c>
    </row>
    <row r="145" spans="1:10" x14ac:dyDescent="0.3">
      <c r="A145">
        <v>143</v>
      </c>
      <c r="B145">
        <v>2852</v>
      </c>
      <c r="C145" t="b">
        <v>1</v>
      </c>
      <c r="D145">
        <v>8106</v>
      </c>
      <c r="E145">
        <v>8158</v>
      </c>
      <c r="F145">
        <v>224.73334</v>
      </c>
      <c r="G145">
        <v>220.86667</v>
      </c>
      <c r="H145">
        <v>1.0175068</v>
      </c>
      <c r="I145">
        <v>-1.7506799999999999E-2</v>
      </c>
      <c r="J145">
        <v>0.49566130000000003</v>
      </c>
    </row>
    <row r="146" spans="1:10" x14ac:dyDescent="0.3">
      <c r="A146">
        <v>144</v>
      </c>
      <c r="B146">
        <v>2869</v>
      </c>
      <c r="C146" t="b">
        <v>1</v>
      </c>
      <c r="D146">
        <v>8077</v>
      </c>
      <c r="E146">
        <v>8146</v>
      </c>
      <c r="F146">
        <v>223.93333000000001</v>
      </c>
      <c r="G146">
        <v>221.26666</v>
      </c>
      <c r="H146">
        <v>1.0120518000000001</v>
      </c>
      <c r="I146">
        <v>-1.2051846E-2</v>
      </c>
      <c r="J146">
        <v>0.49700507999999999</v>
      </c>
    </row>
    <row r="147" spans="1:10" x14ac:dyDescent="0.3">
      <c r="A147">
        <v>145</v>
      </c>
      <c r="B147">
        <v>2884</v>
      </c>
      <c r="C147" t="b">
        <v>1</v>
      </c>
      <c r="D147">
        <v>8071</v>
      </c>
      <c r="E147">
        <v>8129</v>
      </c>
      <c r="F147">
        <v>223.53334000000001</v>
      </c>
      <c r="G147">
        <v>221.66667000000001</v>
      </c>
      <c r="H147">
        <v>1.0084211000000001</v>
      </c>
      <c r="I147">
        <v>-8.421062E-3</v>
      </c>
      <c r="J147">
        <v>0.49790356000000002</v>
      </c>
    </row>
    <row r="148" spans="1:10" x14ac:dyDescent="0.3">
      <c r="A148">
        <v>146</v>
      </c>
      <c r="B148">
        <v>2916</v>
      </c>
      <c r="C148" t="b">
        <v>1</v>
      </c>
      <c r="D148">
        <v>8083</v>
      </c>
      <c r="E148">
        <v>8158</v>
      </c>
      <c r="F148">
        <v>223.53334000000001</v>
      </c>
      <c r="G148">
        <v>221.66667000000001</v>
      </c>
      <c r="H148">
        <v>1.0084211000000001</v>
      </c>
      <c r="I148">
        <v>-8.421062E-3</v>
      </c>
      <c r="J148">
        <v>0.49790356000000002</v>
      </c>
    </row>
    <row r="149" spans="1:10" x14ac:dyDescent="0.3">
      <c r="A149">
        <v>147</v>
      </c>
      <c r="B149">
        <v>2932</v>
      </c>
      <c r="C149" t="b">
        <v>1</v>
      </c>
      <c r="D149">
        <v>8065</v>
      </c>
      <c r="E149">
        <v>8158</v>
      </c>
      <c r="F149">
        <v>224.66667000000001</v>
      </c>
      <c r="G149">
        <v>223.26666</v>
      </c>
      <c r="H149">
        <v>1.0062705000000001</v>
      </c>
      <c r="I149">
        <v>-6.2705696999999999E-3</v>
      </c>
      <c r="J149">
        <v>0.49843723000000001</v>
      </c>
    </row>
    <row r="150" spans="1:10" x14ac:dyDescent="0.3">
      <c r="A150">
        <v>148</v>
      </c>
      <c r="B150">
        <v>2948</v>
      </c>
      <c r="C150" t="b">
        <v>1</v>
      </c>
      <c r="D150">
        <v>8037</v>
      </c>
      <c r="E150">
        <v>8140</v>
      </c>
      <c r="F150">
        <v>225.4</v>
      </c>
      <c r="G150">
        <v>224.4</v>
      </c>
      <c r="H150">
        <v>1.0044563</v>
      </c>
      <c r="I150">
        <v>-4.4563279999999999E-3</v>
      </c>
      <c r="J150">
        <v>0.49888840000000001</v>
      </c>
    </row>
    <row r="151" spans="1:10" x14ac:dyDescent="0.3">
      <c r="A151">
        <v>149</v>
      </c>
      <c r="B151">
        <v>2964</v>
      </c>
      <c r="C151" t="b">
        <v>1</v>
      </c>
      <c r="D151">
        <v>8071</v>
      </c>
      <c r="E151">
        <v>8140</v>
      </c>
      <c r="F151">
        <v>226.13333</v>
      </c>
      <c r="G151">
        <v>225.13333</v>
      </c>
      <c r="H151">
        <v>1.0044419</v>
      </c>
      <c r="I151">
        <v>-4.4418119999999998E-3</v>
      </c>
      <c r="J151">
        <v>0.498892</v>
      </c>
    </row>
    <row r="152" spans="1:10" x14ac:dyDescent="0.3">
      <c r="A152">
        <v>150</v>
      </c>
      <c r="B152">
        <v>2979</v>
      </c>
      <c r="C152" t="b">
        <v>1</v>
      </c>
      <c r="D152">
        <v>8083</v>
      </c>
      <c r="E152">
        <v>8140</v>
      </c>
      <c r="F152">
        <v>226.86667</v>
      </c>
      <c r="G152">
        <v>225.86667</v>
      </c>
      <c r="H152">
        <v>1.0044274</v>
      </c>
      <c r="I152">
        <v>-4.4273906E-3</v>
      </c>
      <c r="J152">
        <v>0.49889559999999999</v>
      </c>
    </row>
    <row r="153" spans="1:10" x14ac:dyDescent="0.3">
      <c r="A153">
        <v>151</v>
      </c>
      <c r="B153">
        <v>2995</v>
      </c>
      <c r="C153" t="b">
        <v>1</v>
      </c>
      <c r="D153">
        <v>8060</v>
      </c>
      <c r="E153">
        <v>8140</v>
      </c>
      <c r="F153">
        <v>227.2</v>
      </c>
      <c r="G153">
        <v>226.6</v>
      </c>
      <c r="H153">
        <v>1.0026478000000001</v>
      </c>
      <c r="I153">
        <v>-2.6477969999999999E-3</v>
      </c>
      <c r="J153">
        <v>0.49933895</v>
      </c>
    </row>
    <row r="154" spans="1:10" x14ac:dyDescent="0.3">
      <c r="A154">
        <v>152</v>
      </c>
      <c r="B154">
        <v>3011</v>
      </c>
      <c r="C154" t="b">
        <v>1</v>
      </c>
      <c r="D154">
        <v>8077</v>
      </c>
      <c r="E154">
        <v>8129</v>
      </c>
      <c r="F154">
        <v>227.93333000000001</v>
      </c>
      <c r="G154">
        <v>227</v>
      </c>
      <c r="H154">
        <v>1.0041116000000001</v>
      </c>
      <c r="I154">
        <v>-4.1116049999999999E-3</v>
      </c>
      <c r="J154">
        <v>0.49897419999999998</v>
      </c>
    </row>
    <row r="155" spans="1:10" x14ac:dyDescent="0.3">
      <c r="A155">
        <v>153</v>
      </c>
      <c r="B155">
        <v>3027</v>
      </c>
      <c r="C155" t="b">
        <v>1</v>
      </c>
      <c r="D155">
        <v>8000</v>
      </c>
      <c r="E155">
        <v>8152</v>
      </c>
      <c r="F155">
        <v>228.66667000000001</v>
      </c>
      <c r="G155">
        <v>227.4</v>
      </c>
      <c r="H155">
        <v>1.0055703</v>
      </c>
      <c r="I155">
        <v>-5.5702636E-3</v>
      </c>
      <c r="J155">
        <v>0.49861133000000002</v>
      </c>
    </row>
    <row r="156" spans="1:10" x14ac:dyDescent="0.3">
      <c r="A156">
        <v>154</v>
      </c>
      <c r="B156">
        <v>3043</v>
      </c>
      <c r="C156" t="b">
        <v>1</v>
      </c>
      <c r="D156">
        <v>8094</v>
      </c>
      <c r="E156">
        <v>8129</v>
      </c>
      <c r="F156">
        <v>229.8</v>
      </c>
      <c r="G156">
        <v>227</v>
      </c>
      <c r="H156">
        <v>1.0123348000000001</v>
      </c>
      <c r="I156">
        <v>-1.2334815000000001E-2</v>
      </c>
      <c r="J156">
        <v>0.49693522000000001</v>
      </c>
    </row>
    <row r="157" spans="1:10" x14ac:dyDescent="0.3">
      <c r="A157">
        <v>155</v>
      </c>
      <c r="B157">
        <v>3058</v>
      </c>
      <c r="C157" t="b">
        <v>1</v>
      </c>
      <c r="D157">
        <v>8094</v>
      </c>
      <c r="E157">
        <v>8134</v>
      </c>
      <c r="F157">
        <v>230.6</v>
      </c>
      <c r="G157">
        <v>227</v>
      </c>
      <c r="H157">
        <v>1.0158590000000001</v>
      </c>
      <c r="I157">
        <v>-1.5859057999999999E-2</v>
      </c>
      <c r="J157">
        <v>0.49606642000000001</v>
      </c>
    </row>
    <row r="158" spans="1:10" x14ac:dyDescent="0.3">
      <c r="A158">
        <v>156</v>
      </c>
      <c r="B158">
        <v>3074</v>
      </c>
      <c r="C158" t="b">
        <v>1</v>
      </c>
      <c r="D158">
        <v>8100</v>
      </c>
      <c r="E158">
        <v>8105</v>
      </c>
      <c r="F158">
        <v>232.53334000000001</v>
      </c>
      <c r="G158">
        <v>226.66667000000001</v>
      </c>
      <c r="H158">
        <v>1.0258824</v>
      </c>
      <c r="I158">
        <v>-2.5882361E-2</v>
      </c>
      <c r="J158">
        <v>0.49361208000000001</v>
      </c>
    </row>
    <row r="159" spans="1:10" x14ac:dyDescent="0.3">
      <c r="A159">
        <v>157</v>
      </c>
      <c r="B159">
        <v>3090</v>
      </c>
      <c r="C159" t="b">
        <v>1</v>
      </c>
      <c r="D159">
        <v>8054</v>
      </c>
      <c r="E159">
        <v>8134</v>
      </c>
      <c r="F159">
        <v>234.46665999999999</v>
      </c>
      <c r="G159">
        <v>226.66667000000001</v>
      </c>
      <c r="H159">
        <v>1.0344116999999999</v>
      </c>
      <c r="I159">
        <v>-3.4411709999999998E-2</v>
      </c>
      <c r="J159">
        <v>0.49154258000000001</v>
      </c>
    </row>
    <row r="160" spans="1:10" x14ac:dyDescent="0.3">
      <c r="A160">
        <v>158</v>
      </c>
      <c r="B160">
        <v>3122</v>
      </c>
      <c r="C160" t="b">
        <v>1</v>
      </c>
      <c r="D160">
        <v>8083</v>
      </c>
      <c r="E160">
        <v>8140</v>
      </c>
      <c r="F160">
        <v>236.4</v>
      </c>
      <c r="G160">
        <v>225.86667</v>
      </c>
      <c r="H160">
        <v>1.0466352000000001</v>
      </c>
      <c r="I160">
        <v>-4.6635147000000002E-2</v>
      </c>
      <c r="J160">
        <v>0.48860687000000003</v>
      </c>
    </row>
    <row r="161" spans="1:10" x14ac:dyDescent="0.3">
      <c r="A161">
        <v>159</v>
      </c>
      <c r="B161">
        <v>3153</v>
      </c>
      <c r="C161" t="b">
        <v>1</v>
      </c>
      <c r="D161">
        <v>8065</v>
      </c>
      <c r="E161">
        <v>8134</v>
      </c>
      <c r="F161">
        <v>237.6</v>
      </c>
      <c r="G161">
        <v>225.06666999999999</v>
      </c>
      <c r="H161">
        <v>1.0556871999999999</v>
      </c>
      <c r="I161">
        <v>-5.5687238E-2</v>
      </c>
      <c r="J161">
        <v>0.48645532000000002</v>
      </c>
    </row>
    <row r="162" spans="1:10" x14ac:dyDescent="0.3">
      <c r="A162">
        <v>160</v>
      </c>
      <c r="B162">
        <v>3185</v>
      </c>
      <c r="C162" t="b">
        <v>1</v>
      </c>
      <c r="D162">
        <v>8077</v>
      </c>
      <c r="E162">
        <v>8152</v>
      </c>
      <c r="F162">
        <v>238</v>
      </c>
      <c r="G162">
        <v>224.26666</v>
      </c>
      <c r="H162">
        <v>1.0612366</v>
      </c>
      <c r="I162">
        <v>-6.1236642000000001E-2</v>
      </c>
      <c r="J162">
        <v>0.48514565999999998</v>
      </c>
    </row>
    <row r="163" spans="1:10" x14ac:dyDescent="0.3">
      <c r="A163">
        <v>161</v>
      </c>
      <c r="B163">
        <v>3201</v>
      </c>
      <c r="C163" t="b">
        <v>1</v>
      </c>
      <c r="D163">
        <v>8094</v>
      </c>
      <c r="E163">
        <v>8134</v>
      </c>
      <c r="F163">
        <v>238</v>
      </c>
      <c r="G163">
        <v>223.46665999999999</v>
      </c>
      <c r="H163">
        <v>1.0650358</v>
      </c>
      <c r="I163">
        <v>-6.5035835E-2</v>
      </c>
      <c r="J163">
        <v>0.48425308</v>
      </c>
    </row>
    <row r="164" spans="1:10" x14ac:dyDescent="0.3">
      <c r="A164">
        <v>162</v>
      </c>
      <c r="B164">
        <v>3217</v>
      </c>
      <c r="C164" t="b">
        <v>1</v>
      </c>
      <c r="D164">
        <v>8083</v>
      </c>
      <c r="E164">
        <v>8117</v>
      </c>
      <c r="F164">
        <v>238.4</v>
      </c>
      <c r="G164">
        <v>221.86667</v>
      </c>
      <c r="H164">
        <v>1.0745191999999999</v>
      </c>
      <c r="I164">
        <v>-7.4519194999999996E-2</v>
      </c>
      <c r="J164">
        <v>0.48203940000000001</v>
      </c>
    </row>
    <row r="165" spans="1:10" x14ac:dyDescent="0.3">
      <c r="A165">
        <v>163</v>
      </c>
      <c r="B165">
        <v>3233</v>
      </c>
      <c r="C165" t="b">
        <v>1</v>
      </c>
      <c r="D165">
        <v>8088</v>
      </c>
      <c r="E165">
        <v>8170</v>
      </c>
      <c r="F165">
        <v>239.2</v>
      </c>
      <c r="G165">
        <v>221.06666999999999</v>
      </c>
      <c r="H165">
        <v>1.0820265</v>
      </c>
      <c r="I165">
        <v>-8.202653E-2</v>
      </c>
      <c r="J165">
        <v>0.48030129999999999</v>
      </c>
    </row>
    <row r="166" spans="1:10" x14ac:dyDescent="0.3">
      <c r="A166">
        <v>164</v>
      </c>
      <c r="B166">
        <v>3249</v>
      </c>
      <c r="C166" t="b">
        <v>1</v>
      </c>
      <c r="D166">
        <v>8083</v>
      </c>
      <c r="E166">
        <v>8117</v>
      </c>
      <c r="F166">
        <v>240</v>
      </c>
      <c r="G166">
        <v>220.66667000000001</v>
      </c>
      <c r="H166">
        <v>1.0876132000000001</v>
      </c>
      <c r="I166">
        <v>-8.7613269999999993E-2</v>
      </c>
      <c r="J166">
        <v>0.47901591999999998</v>
      </c>
    </row>
    <row r="167" spans="1:10" x14ac:dyDescent="0.3">
      <c r="A167">
        <v>165</v>
      </c>
      <c r="B167">
        <v>3265</v>
      </c>
      <c r="C167" t="b">
        <v>1</v>
      </c>
      <c r="D167">
        <v>8088</v>
      </c>
      <c r="E167">
        <v>8158</v>
      </c>
      <c r="F167">
        <v>241.13333</v>
      </c>
      <c r="G167">
        <v>220.26666</v>
      </c>
      <c r="H167">
        <v>1.0947336999999999</v>
      </c>
      <c r="I167">
        <v>-9.4733670000000006E-2</v>
      </c>
      <c r="J167">
        <v>0.47738766999999999</v>
      </c>
    </row>
    <row r="168" spans="1:10" x14ac:dyDescent="0.3">
      <c r="A168">
        <v>166</v>
      </c>
      <c r="B168">
        <v>3280</v>
      </c>
      <c r="C168" t="b">
        <v>1</v>
      </c>
      <c r="D168">
        <v>8077</v>
      </c>
      <c r="E168">
        <v>8152</v>
      </c>
      <c r="F168">
        <v>242.33332999999999</v>
      </c>
      <c r="G168">
        <v>221.06666999999999</v>
      </c>
      <c r="H168">
        <v>1.0962002</v>
      </c>
      <c r="I168">
        <v>-9.6200220000000003E-2</v>
      </c>
      <c r="J168">
        <v>0.47705366999999999</v>
      </c>
    </row>
    <row r="169" spans="1:10" x14ac:dyDescent="0.3">
      <c r="A169">
        <v>167</v>
      </c>
      <c r="B169">
        <v>3296</v>
      </c>
      <c r="C169" t="b">
        <v>1</v>
      </c>
      <c r="D169">
        <v>8071</v>
      </c>
      <c r="E169">
        <v>8146</v>
      </c>
      <c r="F169">
        <v>243.13333</v>
      </c>
      <c r="G169">
        <v>221.86667</v>
      </c>
      <c r="H169">
        <v>1.0958532999999999</v>
      </c>
      <c r="I169">
        <v>-9.5853339999999995E-2</v>
      </c>
      <c r="J169">
        <v>0.47713262000000001</v>
      </c>
    </row>
    <row r="170" spans="1:10" x14ac:dyDescent="0.3">
      <c r="A170">
        <v>168</v>
      </c>
      <c r="B170">
        <v>3312</v>
      </c>
      <c r="C170" t="b">
        <v>1</v>
      </c>
      <c r="D170">
        <v>8071</v>
      </c>
      <c r="E170">
        <v>8152</v>
      </c>
      <c r="F170">
        <v>243.53334000000001</v>
      </c>
      <c r="G170">
        <v>222.66667000000001</v>
      </c>
      <c r="H170">
        <v>1.0937125999999999</v>
      </c>
      <c r="I170">
        <v>-9.3712580000000004E-2</v>
      </c>
      <c r="J170">
        <v>0.47762048000000001</v>
      </c>
    </row>
    <row r="171" spans="1:10" x14ac:dyDescent="0.3">
      <c r="A171">
        <v>169</v>
      </c>
      <c r="B171">
        <v>3328</v>
      </c>
      <c r="C171" t="b">
        <v>1</v>
      </c>
      <c r="D171">
        <v>8083</v>
      </c>
      <c r="E171">
        <v>8158</v>
      </c>
      <c r="F171">
        <v>243.53334000000001</v>
      </c>
      <c r="G171">
        <v>223.46665999999999</v>
      </c>
      <c r="H171">
        <v>1.0897973000000001</v>
      </c>
      <c r="I171">
        <v>-8.9797206000000004E-2</v>
      </c>
      <c r="J171">
        <v>0.47851533000000002</v>
      </c>
    </row>
    <row r="172" spans="1:10" x14ac:dyDescent="0.3">
      <c r="A172">
        <v>170</v>
      </c>
      <c r="B172">
        <v>3344</v>
      </c>
      <c r="C172" t="b">
        <v>1</v>
      </c>
      <c r="D172">
        <v>8071</v>
      </c>
      <c r="E172">
        <v>8164</v>
      </c>
      <c r="F172">
        <v>243.13333</v>
      </c>
      <c r="G172">
        <v>224.66667000000001</v>
      </c>
      <c r="H172">
        <v>1.0821958</v>
      </c>
      <c r="I172">
        <v>-8.2195809999999994E-2</v>
      </c>
      <c r="J172">
        <v>0.48026225</v>
      </c>
    </row>
    <row r="173" spans="1:10" x14ac:dyDescent="0.3">
      <c r="A173">
        <v>171</v>
      </c>
      <c r="B173">
        <v>3360</v>
      </c>
      <c r="C173" t="b">
        <v>1</v>
      </c>
      <c r="D173">
        <v>8054</v>
      </c>
      <c r="E173">
        <v>8129</v>
      </c>
      <c r="F173">
        <v>241.6</v>
      </c>
      <c r="G173">
        <v>226.2</v>
      </c>
      <c r="H173">
        <v>1.0680814000000001</v>
      </c>
      <c r="I173">
        <v>-6.8081390000000006E-2</v>
      </c>
      <c r="J173">
        <v>0.48353996999999999</v>
      </c>
    </row>
    <row r="174" spans="1:10" x14ac:dyDescent="0.3">
      <c r="A174">
        <v>172</v>
      </c>
      <c r="B174">
        <v>3375</v>
      </c>
      <c r="C174" t="b">
        <v>1</v>
      </c>
      <c r="D174">
        <v>8077</v>
      </c>
      <c r="E174">
        <v>8152</v>
      </c>
      <c r="F174">
        <v>240.06666999999999</v>
      </c>
      <c r="G174">
        <v>227.4</v>
      </c>
      <c r="H174">
        <v>1.0557022</v>
      </c>
      <c r="I174">
        <v>-5.5702164999999998E-2</v>
      </c>
      <c r="J174">
        <v>0.48645177000000001</v>
      </c>
    </row>
    <row r="175" spans="1:10" x14ac:dyDescent="0.3">
      <c r="A175">
        <v>173</v>
      </c>
      <c r="B175">
        <v>3391</v>
      </c>
      <c r="C175" t="b">
        <v>1</v>
      </c>
      <c r="D175">
        <v>8094</v>
      </c>
      <c r="E175">
        <v>8134</v>
      </c>
      <c r="F175">
        <v>238.93333000000001</v>
      </c>
      <c r="G175">
        <v>228.6</v>
      </c>
      <c r="H175">
        <v>1.0452026000000001</v>
      </c>
      <c r="I175">
        <v>-4.5202659999999999E-2</v>
      </c>
      <c r="J175">
        <v>0.48894912000000001</v>
      </c>
    </row>
    <row r="176" spans="1:10" x14ac:dyDescent="0.3">
      <c r="A176">
        <v>174</v>
      </c>
      <c r="B176">
        <v>3407</v>
      </c>
      <c r="C176" t="b">
        <v>1</v>
      </c>
      <c r="D176">
        <v>8065</v>
      </c>
      <c r="E176">
        <v>8105</v>
      </c>
      <c r="F176">
        <v>238.13333</v>
      </c>
      <c r="G176">
        <v>228.6</v>
      </c>
      <c r="H176">
        <v>1.0417031000000001</v>
      </c>
      <c r="I176">
        <v>-4.1703083000000002E-2</v>
      </c>
      <c r="J176">
        <v>0.48978719999999998</v>
      </c>
    </row>
    <row r="177" spans="1:10" x14ac:dyDescent="0.3">
      <c r="A177">
        <v>175</v>
      </c>
      <c r="B177">
        <v>3423</v>
      </c>
      <c r="C177" t="b">
        <v>1</v>
      </c>
      <c r="D177">
        <v>8060</v>
      </c>
      <c r="E177">
        <v>8146</v>
      </c>
      <c r="F177">
        <v>237.33332999999999</v>
      </c>
      <c r="G177">
        <v>228.6</v>
      </c>
      <c r="H177">
        <v>1.0382035000000001</v>
      </c>
      <c r="I177">
        <v>-3.8203507999999997E-2</v>
      </c>
      <c r="J177">
        <v>0.49062812</v>
      </c>
    </row>
    <row r="178" spans="1:10" x14ac:dyDescent="0.3">
      <c r="A178">
        <v>176</v>
      </c>
      <c r="B178">
        <v>3454</v>
      </c>
      <c r="C178" t="b">
        <v>1</v>
      </c>
      <c r="D178">
        <v>8083</v>
      </c>
      <c r="E178">
        <v>8117</v>
      </c>
      <c r="F178">
        <v>237.33332999999999</v>
      </c>
      <c r="G178">
        <v>228.6</v>
      </c>
      <c r="H178">
        <v>1.0382035000000001</v>
      </c>
      <c r="I178">
        <v>-3.8203507999999997E-2</v>
      </c>
      <c r="J178">
        <v>0.49062812</v>
      </c>
    </row>
    <row r="179" spans="1:10" x14ac:dyDescent="0.3">
      <c r="A179">
        <v>177</v>
      </c>
      <c r="B179">
        <v>3470</v>
      </c>
      <c r="C179" t="b">
        <v>1</v>
      </c>
      <c r="D179">
        <v>8048</v>
      </c>
      <c r="E179">
        <v>8134</v>
      </c>
      <c r="F179">
        <v>236.13333</v>
      </c>
      <c r="G179">
        <v>228.6</v>
      </c>
      <c r="H179">
        <v>1.0329542</v>
      </c>
      <c r="I179">
        <v>-3.295418E-2</v>
      </c>
      <c r="J179">
        <v>0.49189500000000003</v>
      </c>
    </row>
    <row r="180" spans="1:10" x14ac:dyDescent="0.3">
      <c r="A180">
        <v>178</v>
      </c>
      <c r="B180">
        <v>3502</v>
      </c>
      <c r="C180" t="b">
        <v>1</v>
      </c>
      <c r="D180">
        <v>8083</v>
      </c>
      <c r="E180">
        <v>8129</v>
      </c>
      <c r="F180">
        <v>234.93333000000001</v>
      </c>
      <c r="G180">
        <v>228.26666</v>
      </c>
      <c r="H180">
        <v>1.0292056999999999</v>
      </c>
      <c r="I180">
        <v>-2.920563E-2</v>
      </c>
      <c r="J180">
        <v>0.49280365999999998</v>
      </c>
    </row>
    <row r="181" spans="1:10" x14ac:dyDescent="0.3">
      <c r="A181">
        <v>179</v>
      </c>
      <c r="B181">
        <v>3534</v>
      </c>
      <c r="C181" t="b">
        <v>1</v>
      </c>
      <c r="D181">
        <v>8065</v>
      </c>
      <c r="E181">
        <v>8129</v>
      </c>
      <c r="F181">
        <v>233.73334</v>
      </c>
      <c r="G181">
        <v>227.93333000000001</v>
      </c>
      <c r="H181">
        <v>1.0254460000000001</v>
      </c>
      <c r="I181">
        <v>-2.5446050000000001E-2</v>
      </c>
      <c r="J181">
        <v>0.4937184</v>
      </c>
    </row>
    <row r="182" spans="1:10" x14ac:dyDescent="0.3">
      <c r="A182">
        <v>180</v>
      </c>
      <c r="B182">
        <v>3549</v>
      </c>
      <c r="C182" t="b">
        <v>1</v>
      </c>
      <c r="D182">
        <v>8048</v>
      </c>
      <c r="E182">
        <v>8134</v>
      </c>
      <c r="F182">
        <v>232.2</v>
      </c>
      <c r="G182">
        <v>227.6</v>
      </c>
      <c r="H182">
        <v>1.0202108999999999</v>
      </c>
      <c r="I182">
        <v>-2.0210855E-2</v>
      </c>
      <c r="J182">
        <v>0.49499786000000001</v>
      </c>
    </row>
    <row r="183" spans="1:10" x14ac:dyDescent="0.3">
      <c r="A183">
        <v>181</v>
      </c>
      <c r="B183">
        <v>3566</v>
      </c>
      <c r="C183" t="b">
        <v>1</v>
      </c>
      <c r="D183">
        <v>8077</v>
      </c>
      <c r="E183">
        <v>8140</v>
      </c>
      <c r="F183">
        <v>231</v>
      </c>
      <c r="G183">
        <v>226.4</v>
      </c>
      <c r="H183">
        <v>1.0203180000000001</v>
      </c>
      <c r="I183">
        <v>-2.0318047999999998E-2</v>
      </c>
      <c r="J183">
        <v>0.49497157000000003</v>
      </c>
    </row>
    <row r="184" spans="1:10" x14ac:dyDescent="0.3">
      <c r="A184">
        <v>182</v>
      </c>
      <c r="B184">
        <v>3581</v>
      </c>
      <c r="C184" t="b">
        <v>1</v>
      </c>
      <c r="D184">
        <v>8071</v>
      </c>
      <c r="E184">
        <v>8099</v>
      </c>
      <c r="F184">
        <v>230.2</v>
      </c>
      <c r="G184">
        <v>224.86667</v>
      </c>
      <c r="H184">
        <v>1.0237178</v>
      </c>
      <c r="I184">
        <v>-2.3717735E-2</v>
      </c>
      <c r="J184">
        <v>0.49414010000000003</v>
      </c>
    </row>
    <row r="185" spans="1:10" x14ac:dyDescent="0.3">
      <c r="A185">
        <v>183</v>
      </c>
      <c r="B185">
        <v>3597</v>
      </c>
      <c r="C185" t="b">
        <v>1</v>
      </c>
      <c r="D185">
        <v>8117</v>
      </c>
      <c r="E185">
        <v>8111</v>
      </c>
      <c r="F185">
        <v>229.8</v>
      </c>
      <c r="G185">
        <v>223.33332999999999</v>
      </c>
      <c r="H185">
        <v>1.0289552</v>
      </c>
      <c r="I185">
        <v>-2.895526E-2</v>
      </c>
      <c r="J185">
        <v>0.49286449999999998</v>
      </c>
    </row>
    <row r="186" spans="1:10" x14ac:dyDescent="0.3">
      <c r="A186">
        <v>184</v>
      </c>
      <c r="B186">
        <v>3613</v>
      </c>
      <c r="C186" t="b">
        <v>1</v>
      </c>
      <c r="D186">
        <v>8065</v>
      </c>
      <c r="E186">
        <v>8129</v>
      </c>
      <c r="F186">
        <v>229.4</v>
      </c>
      <c r="G186">
        <v>221.8</v>
      </c>
      <c r="H186">
        <v>1.034265</v>
      </c>
      <c r="I186">
        <v>-3.4265063999999998E-2</v>
      </c>
      <c r="J186">
        <v>0.49157800000000001</v>
      </c>
    </row>
    <row r="187" spans="1:10" x14ac:dyDescent="0.3">
      <c r="A187">
        <v>185</v>
      </c>
      <c r="B187">
        <v>3629</v>
      </c>
      <c r="C187" t="b">
        <v>1</v>
      </c>
      <c r="D187">
        <v>8071</v>
      </c>
      <c r="E187">
        <v>8117</v>
      </c>
      <c r="F187">
        <v>229.4</v>
      </c>
      <c r="G187">
        <v>219.46665999999999</v>
      </c>
      <c r="H187">
        <v>1.0452612999999999</v>
      </c>
      <c r="I187">
        <v>-4.5261244999999999E-2</v>
      </c>
      <c r="J187">
        <v>0.48893510000000001</v>
      </c>
    </row>
    <row r="188" spans="1:10" x14ac:dyDescent="0.3">
      <c r="A188">
        <v>186</v>
      </c>
      <c r="B188">
        <v>3644</v>
      </c>
      <c r="C188" t="b">
        <v>1</v>
      </c>
      <c r="D188">
        <v>8083</v>
      </c>
      <c r="E188">
        <v>8158</v>
      </c>
      <c r="F188">
        <v>229.4</v>
      </c>
      <c r="G188">
        <v>217.13333</v>
      </c>
      <c r="H188">
        <v>1.0564936</v>
      </c>
      <c r="I188">
        <v>-5.6493689999999999E-2</v>
      </c>
      <c r="J188">
        <v>0.48626456000000001</v>
      </c>
    </row>
    <row r="189" spans="1:10" x14ac:dyDescent="0.3">
      <c r="A189">
        <v>187</v>
      </c>
      <c r="B189">
        <v>3660</v>
      </c>
      <c r="C189" t="b">
        <v>1</v>
      </c>
      <c r="D189">
        <v>8094</v>
      </c>
      <c r="E189">
        <v>8111</v>
      </c>
      <c r="F189">
        <v>230.2</v>
      </c>
      <c r="G189">
        <v>214.8</v>
      </c>
      <c r="H189">
        <v>1.0716946000000001</v>
      </c>
      <c r="I189">
        <v>-7.1694569999999999E-2</v>
      </c>
      <c r="J189">
        <v>0.48269662000000002</v>
      </c>
    </row>
    <row r="190" spans="1:10" x14ac:dyDescent="0.3">
      <c r="A190">
        <v>188</v>
      </c>
      <c r="B190">
        <v>3676</v>
      </c>
      <c r="C190" t="b">
        <v>1</v>
      </c>
      <c r="D190">
        <v>8065</v>
      </c>
      <c r="E190">
        <v>8129</v>
      </c>
      <c r="F190">
        <v>229.8</v>
      </c>
      <c r="G190">
        <v>213.26666</v>
      </c>
      <c r="H190">
        <v>1.0775243000000001</v>
      </c>
      <c r="I190">
        <v>-7.7524259999999998E-2</v>
      </c>
      <c r="J190">
        <v>0.48134217000000001</v>
      </c>
    </row>
    <row r="191" spans="1:10" x14ac:dyDescent="0.3">
      <c r="A191">
        <v>189</v>
      </c>
      <c r="B191">
        <v>3692</v>
      </c>
      <c r="C191" t="b">
        <v>1</v>
      </c>
      <c r="D191">
        <v>8071</v>
      </c>
      <c r="E191">
        <v>8158</v>
      </c>
      <c r="F191">
        <v>229.8</v>
      </c>
      <c r="G191">
        <v>212.93333000000001</v>
      </c>
      <c r="H191">
        <v>1.0792109999999999</v>
      </c>
      <c r="I191">
        <v>-7.9211030000000002E-2</v>
      </c>
      <c r="J191">
        <v>0.48095167</v>
      </c>
    </row>
    <row r="192" spans="1:10" x14ac:dyDescent="0.3">
      <c r="A192">
        <v>190</v>
      </c>
      <c r="B192">
        <v>3707</v>
      </c>
      <c r="C192" t="b">
        <v>1</v>
      </c>
      <c r="D192">
        <v>8077</v>
      </c>
      <c r="E192">
        <v>8158</v>
      </c>
      <c r="F192">
        <v>230.6</v>
      </c>
      <c r="G192">
        <v>214.53334000000001</v>
      </c>
      <c r="H192">
        <v>1.0748911999999999</v>
      </c>
      <c r="I192">
        <v>-7.4891230000000003E-2</v>
      </c>
      <c r="J192">
        <v>0.48195296999999998</v>
      </c>
    </row>
    <row r="193" spans="1:10" x14ac:dyDescent="0.3">
      <c r="A193">
        <v>191</v>
      </c>
      <c r="B193">
        <v>3723</v>
      </c>
      <c r="C193" t="b">
        <v>1</v>
      </c>
      <c r="D193">
        <v>8083</v>
      </c>
      <c r="E193">
        <v>8105</v>
      </c>
      <c r="F193">
        <v>230.6</v>
      </c>
      <c r="G193">
        <v>214.2</v>
      </c>
      <c r="H193">
        <v>1.0765640000000001</v>
      </c>
      <c r="I193">
        <v>-7.6563999999999993E-2</v>
      </c>
      <c r="J193">
        <v>0.48156475999999998</v>
      </c>
    </row>
    <row r="194" spans="1:10" x14ac:dyDescent="0.3">
      <c r="A194">
        <v>192</v>
      </c>
      <c r="B194">
        <v>3739</v>
      </c>
      <c r="C194" t="b">
        <v>1</v>
      </c>
      <c r="D194">
        <v>8088</v>
      </c>
      <c r="E194">
        <v>8129</v>
      </c>
      <c r="F194">
        <v>231.4</v>
      </c>
      <c r="G194">
        <v>213.86667</v>
      </c>
      <c r="H194">
        <v>1.0819825000000001</v>
      </c>
      <c r="I194">
        <v>-8.1982509999999995E-2</v>
      </c>
      <c r="J194">
        <v>0.48031141999999999</v>
      </c>
    </row>
    <row r="195" spans="1:10" x14ac:dyDescent="0.3">
      <c r="A195">
        <v>193</v>
      </c>
      <c r="B195">
        <v>3755</v>
      </c>
      <c r="C195" t="b">
        <v>1</v>
      </c>
      <c r="D195">
        <v>8071</v>
      </c>
      <c r="E195">
        <v>8134</v>
      </c>
      <c r="F195">
        <v>232.2</v>
      </c>
      <c r="G195">
        <v>214.2</v>
      </c>
      <c r="H195">
        <v>1.0840335999999999</v>
      </c>
      <c r="I195">
        <v>-8.4033616000000005E-2</v>
      </c>
      <c r="J195">
        <v>0.47983870000000001</v>
      </c>
    </row>
    <row r="196" spans="1:10" x14ac:dyDescent="0.3">
      <c r="A196">
        <v>194</v>
      </c>
      <c r="B196">
        <v>3771</v>
      </c>
      <c r="C196" t="b">
        <v>1</v>
      </c>
      <c r="D196">
        <v>8077</v>
      </c>
      <c r="E196">
        <v>8117</v>
      </c>
      <c r="F196">
        <v>233</v>
      </c>
      <c r="G196">
        <v>214.2</v>
      </c>
      <c r="H196">
        <v>1.0877684000000001</v>
      </c>
      <c r="I196">
        <v>-8.7768460000000006E-2</v>
      </c>
      <c r="J196">
        <v>0.47898030000000003</v>
      </c>
    </row>
    <row r="197" spans="1:10" x14ac:dyDescent="0.3">
      <c r="A197">
        <v>195</v>
      </c>
      <c r="B197">
        <v>3787</v>
      </c>
      <c r="C197" t="b">
        <v>1</v>
      </c>
      <c r="D197">
        <v>8054</v>
      </c>
      <c r="E197">
        <v>8105</v>
      </c>
      <c r="F197">
        <v>233.8</v>
      </c>
      <c r="G197">
        <v>213.4</v>
      </c>
      <c r="H197">
        <v>1.0955950999999999</v>
      </c>
      <c r="I197">
        <v>-9.5595169999999993E-2</v>
      </c>
      <c r="J197">
        <v>0.47719139999999999</v>
      </c>
    </row>
    <row r="198" spans="1:10" x14ac:dyDescent="0.3">
      <c r="A198">
        <v>196</v>
      </c>
      <c r="B198">
        <v>3803</v>
      </c>
      <c r="C198" t="b">
        <v>1</v>
      </c>
      <c r="D198">
        <v>8088</v>
      </c>
      <c r="E198">
        <v>8134</v>
      </c>
      <c r="F198">
        <v>234.6</v>
      </c>
      <c r="G198">
        <v>213.06666999999999</v>
      </c>
      <c r="H198">
        <v>1.1010637999999999</v>
      </c>
      <c r="I198">
        <v>-0.10106386000000001</v>
      </c>
      <c r="J198">
        <v>0.47594934999999999</v>
      </c>
    </row>
    <row r="199" spans="1:10" x14ac:dyDescent="0.3">
      <c r="A199">
        <v>197</v>
      </c>
      <c r="B199">
        <v>3835</v>
      </c>
      <c r="C199" t="b">
        <v>1</v>
      </c>
      <c r="D199">
        <v>8117</v>
      </c>
      <c r="E199">
        <v>8176</v>
      </c>
      <c r="F199">
        <v>235</v>
      </c>
      <c r="G199">
        <v>213.4</v>
      </c>
      <c r="H199">
        <v>1.1012183</v>
      </c>
      <c r="I199">
        <v>-0.1012184</v>
      </c>
      <c r="J199">
        <v>0.47591435999999998</v>
      </c>
    </row>
    <row r="200" spans="1:10" x14ac:dyDescent="0.3">
      <c r="A200">
        <v>198</v>
      </c>
      <c r="B200">
        <v>3866</v>
      </c>
      <c r="C200" t="b">
        <v>1</v>
      </c>
      <c r="D200">
        <v>8088</v>
      </c>
      <c r="E200">
        <v>8111</v>
      </c>
      <c r="F200">
        <v>236.13333</v>
      </c>
      <c r="G200">
        <v>212.6</v>
      </c>
      <c r="H200">
        <v>1.1106929999999999</v>
      </c>
      <c r="I200">
        <v>-0.11069296000000001</v>
      </c>
      <c r="J200">
        <v>0.47377804000000001</v>
      </c>
    </row>
    <row r="201" spans="1:10" x14ac:dyDescent="0.3">
      <c r="A201">
        <v>199</v>
      </c>
      <c r="B201">
        <v>3882</v>
      </c>
      <c r="C201" t="b">
        <v>1</v>
      </c>
      <c r="D201">
        <v>8071</v>
      </c>
      <c r="E201">
        <v>8123</v>
      </c>
      <c r="F201">
        <v>237.26666</v>
      </c>
      <c r="G201">
        <v>212.2</v>
      </c>
      <c r="H201">
        <v>1.1181276</v>
      </c>
      <c r="I201">
        <v>-0.11812755</v>
      </c>
      <c r="J201">
        <v>0.47211507000000003</v>
      </c>
    </row>
    <row r="202" spans="1:10" x14ac:dyDescent="0.3">
      <c r="A202">
        <v>200</v>
      </c>
      <c r="B202">
        <v>3898</v>
      </c>
      <c r="C202" t="b">
        <v>1</v>
      </c>
      <c r="D202">
        <v>8060</v>
      </c>
      <c r="E202">
        <v>8117</v>
      </c>
      <c r="F202">
        <v>238.4</v>
      </c>
      <c r="G202">
        <v>212.6</v>
      </c>
      <c r="H202">
        <v>1.1213546000000001</v>
      </c>
      <c r="I202">
        <v>-0.121354595</v>
      </c>
      <c r="J202">
        <v>0.47139692</v>
      </c>
    </row>
    <row r="203" spans="1:10" x14ac:dyDescent="0.3">
      <c r="A203">
        <v>201</v>
      </c>
      <c r="B203">
        <v>3914</v>
      </c>
      <c r="C203" t="b">
        <v>1</v>
      </c>
      <c r="D203">
        <v>8065</v>
      </c>
      <c r="E203">
        <v>8152</v>
      </c>
      <c r="F203">
        <v>238.4</v>
      </c>
      <c r="G203">
        <v>213</v>
      </c>
      <c r="H203">
        <v>1.1192487</v>
      </c>
      <c r="I203">
        <v>-0.1192488</v>
      </c>
      <c r="J203">
        <v>0.47186533000000003</v>
      </c>
    </row>
    <row r="204" spans="1:10" x14ac:dyDescent="0.3">
      <c r="A204">
        <v>202</v>
      </c>
      <c r="B204">
        <v>3930</v>
      </c>
      <c r="C204" t="b">
        <v>1</v>
      </c>
      <c r="D204">
        <v>8071</v>
      </c>
      <c r="E204">
        <v>8117</v>
      </c>
      <c r="F204">
        <v>237.6</v>
      </c>
      <c r="G204">
        <v>213</v>
      </c>
      <c r="H204">
        <v>1.1154929</v>
      </c>
      <c r="I204">
        <v>-0.11549298500000001</v>
      </c>
      <c r="J204">
        <v>0.47270307</v>
      </c>
    </row>
    <row r="205" spans="1:10" x14ac:dyDescent="0.3">
      <c r="A205">
        <v>203</v>
      </c>
      <c r="B205">
        <v>3946</v>
      </c>
      <c r="C205" t="b">
        <v>1</v>
      </c>
      <c r="D205">
        <v>8071</v>
      </c>
      <c r="E205">
        <v>8152</v>
      </c>
      <c r="F205">
        <v>237.6</v>
      </c>
      <c r="G205">
        <v>212.6</v>
      </c>
      <c r="H205">
        <v>1.1175917</v>
      </c>
      <c r="I205">
        <v>-0.11759172</v>
      </c>
      <c r="J205">
        <v>0.47223458000000001</v>
      </c>
    </row>
    <row r="206" spans="1:10" x14ac:dyDescent="0.3">
      <c r="A206">
        <v>204</v>
      </c>
      <c r="B206">
        <v>3961</v>
      </c>
      <c r="C206" t="b">
        <v>1</v>
      </c>
      <c r="D206">
        <v>8060</v>
      </c>
      <c r="E206">
        <v>8129</v>
      </c>
      <c r="F206">
        <v>237.2</v>
      </c>
      <c r="G206">
        <v>212.6</v>
      </c>
      <c r="H206">
        <v>1.1157102999999999</v>
      </c>
      <c r="I206">
        <v>-0.11571020999999999</v>
      </c>
      <c r="J206">
        <v>0.47265455000000001</v>
      </c>
    </row>
    <row r="207" spans="1:10" x14ac:dyDescent="0.3">
      <c r="A207">
        <v>205</v>
      </c>
      <c r="B207">
        <v>3992</v>
      </c>
      <c r="C207" t="b">
        <v>1</v>
      </c>
      <c r="D207">
        <v>8060</v>
      </c>
      <c r="E207">
        <v>8152</v>
      </c>
      <c r="F207">
        <v>236.4</v>
      </c>
      <c r="G207">
        <v>212.2</v>
      </c>
      <c r="H207">
        <v>1.1140433999999999</v>
      </c>
      <c r="I207">
        <v>-0.11404334000000001</v>
      </c>
      <c r="J207">
        <v>0.47302723000000002</v>
      </c>
    </row>
    <row r="208" spans="1:10" x14ac:dyDescent="0.3">
      <c r="A208">
        <v>206</v>
      </c>
      <c r="B208">
        <v>4008</v>
      </c>
      <c r="C208" t="b">
        <v>1</v>
      </c>
      <c r="D208">
        <v>8077</v>
      </c>
      <c r="E208">
        <v>8117</v>
      </c>
      <c r="F208">
        <v>236</v>
      </c>
      <c r="G208">
        <v>212.2</v>
      </c>
      <c r="H208">
        <v>1.1121582999999999</v>
      </c>
      <c r="I208">
        <v>-0.11215836</v>
      </c>
      <c r="J208">
        <v>0.47344932000000001</v>
      </c>
    </row>
    <row r="209" spans="1:10" x14ac:dyDescent="0.3">
      <c r="A209">
        <v>207</v>
      </c>
      <c r="B209">
        <v>4024</v>
      </c>
      <c r="C209" t="b">
        <v>1</v>
      </c>
      <c r="D209">
        <v>8065</v>
      </c>
      <c r="E209">
        <v>8123</v>
      </c>
      <c r="F209">
        <v>235.2</v>
      </c>
      <c r="G209">
        <v>212.2</v>
      </c>
      <c r="H209">
        <v>1.1083883000000001</v>
      </c>
      <c r="I209">
        <v>-0.10838831</v>
      </c>
      <c r="J209">
        <v>0.47429594000000003</v>
      </c>
    </row>
    <row r="210" spans="1:10" x14ac:dyDescent="0.3">
      <c r="A210">
        <v>208</v>
      </c>
      <c r="B210">
        <v>4040</v>
      </c>
      <c r="C210" t="b">
        <v>1</v>
      </c>
      <c r="D210">
        <v>8048</v>
      </c>
      <c r="E210">
        <v>8117</v>
      </c>
      <c r="F210">
        <v>234.06666999999999</v>
      </c>
      <c r="G210">
        <v>211.46665999999999</v>
      </c>
      <c r="H210">
        <v>1.1068727</v>
      </c>
      <c r="I210">
        <v>-0.10687267</v>
      </c>
      <c r="J210">
        <v>0.47463712000000002</v>
      </c>
    </row>
    <row r="211" spans="1:10" x14ac:dyDescent="0.3">
      <c r="A211">
        <v>209</v>
      </c>
      <c r="B211">
        <v>4056</v>
      </c>
      <c r="C211" t="b">
        <v>1</v>
      </c>
      <c r="D211">
        <v>8100</v>
      </c>
      <c r="E211">
        <v>8129</v>
      </c>
      <c r="F211">
        <v>233.26666</v>
      </c>
      <c r="G211">
        <v>211.06666999999999</v>
      </c>
      <c r="H211">
        <v>1.1051800000000001</v>
      </c>
      <c r="I211">
        <v>-0.105180025</v>
      </c>
      <c r="J211">
        <v>0.47501876999999998</v>
      </c>
    </row>
    <row r="212" spans="1:10" x14ac:dyDescent="0.3">
      <c r="A212">
        <v>210</v>
      </c>
      <c r="B212">
        <v>4072</v>
      </c>
      <c r="C212" t="b">
        <v>1</v>
      </c>
      <c r="D212">
        <v>8077</v>
      </c>
      <c r="E212">
        <v>8140</v>
      </c>
      <c r="F212">
        <v>233.26666</v>
      </c>
      <c r="G212">
        <v>211.46665999999999</v>
      </c>
      <c r="H212">
        <v>1.1030895999999999</v>
      </c>
      <c r="I212">
        <v>-0.10308955</v>
      </c>
      <c r="J212">
        <v>0.47549089999999999</v>
      </c>
    </row>
    <row r="213" spans="1:10" x14ac:dyDescent="0.3">
      <c r="A213">
        <v>211</v>
      </c>
      <c r="B213">
        <v>4088</v>
      </c>
      <c r="C213" t="b">
        <v>1</v>
      </c>
      <c r="D213">
        <v>8106</v>
      </c>
      <c r="E213">
        <v>8146</v>
      </c>
      <c r="F213">
        <v>233.26666</v>
      </c>
      <c r="G213">
        <v>211.46665999999999</v>
      </c>
      <c r="H213">
        <v>1.1030895999999999</v>
      </c>
      <c r="I213">
        <v>-0.10308955</v>
      </c>
      <c r="J213">
        <v>0.47549089999999999</v>
      </c>
    </row>
    <row r="214" spans="1:10" x14ac:dyDescent="0.3">
      <c r="A214">
        <v>212</v>
      </c>
      <c r="B214">
        <v>4120</v>
      </c>
      <c r="C214" t="b">
        <v>1</v>
      </c>
      <c r="D214">
        <v>8042</v>
      </c>
      <c r="E214">
        <v>8146</v>
      </c>
      <c r="F214">
        <v>233.26666</v>
      </c>
      <c r="G214">
        <v>211.86667</v>
      </c>
      <c r="H214">
        <v>1.1010069</v>
      </c>
      <c r="I214">
        <v>-0.101006895</v>
      </c>
      <c r="J214">
        <v>0.47596224999999998</v>
      </c>
    </row>
    <row r="215" spans="1:10" x14ac:dyDescent="0.3">
      <c r="A215">
        <v>213</v>
      </c>
      <c r="B215">
        <v>4151</v>
      </c>
      <c r="C215" t="b">
        <v>1</v>
      </c>
      <c r="D215">
        <v>8094</v>
      </c>
      <c r="E215">
        <v>8140</v>
      </c>
      <c r="F215">
        <v>233.66667000000001</v>
      </c>
      <c r="G215">
        <v>213.4</v>
      </c>
      <c r="H215">
        <v>1.0949703</v>
      </c>
      <c r="I215">
        <v>-9.4970374999999996E-2</v>
      </c>
      <c r="J215">
        <v>0.47733372000000002</v>
      </c>
    </row>
    <row r="216" spans="1:10" x14ac:dyDescent="0.3">
      <c r="A216">
        <v>214</v>
      </c>
      <c r="B216">
        <v>4167</v>
      </c>
      <c r="C216" t="b">
        <v>1</v>
      </c>
      <c r="D216">
        <v>8060</v>
      </c>
      <c r="E216">
        <v>8134</v>
      </c>
      <c r="F216">
        <v>232.93333000000001</v>
      </c>
      <c r="G216">
        <v>214.53334000000001</v>
      </c>
      <c r="H216">
        <v>1.0857675</v>
      </c>
      <c r="I216">
        <v>-8.5767529999999995E-2</v>
      </c>
      <c r="J216">
        <v>0.47943982000000002</v>
      </c>
    </row>
    <row r="217" spans="1:10" x14ac:dyDescent="0.3">
      <c r="A217">
        <v>215</v>
      </c>
      <c r="B217">
        <v>4183</v>
      </c>
      <c r="C217" t="b">
        <v>1</v>
      </c>
      <c r="D217">
        <v>8083</v>
      </c>
      <c r="E217">
        <v>8129</v>
      </c>
      <c r="F217">
        <v>232.6</v>
      </c>
      <c r="G217">
        <v>215.66667000000001</v>
      </c>
      <c r="H217">
        <v>1.0785161999999999</v>
      </c>
      <c r="I217">
        <v>-7.8516230000000006E-2</v>
      </c>
      <c r="J217">
        <v>0.48111245000000002</v>
      </c>
    </row>
    <row r="218" spans="1:10" x14ac:dyDescent="0.3">
      <c r="A218">
        <v>216</v>
      </c>
      <c r="B218">
        <v>4199</v>
      </c>
      <c r="C218" t="b">
        <v>1</v>
      </c>
      <c r="D218">
        <v>8083</v>
      </c>
      <c r="E218">
        <v>8140</v>
      </c>
      <c r="F218">
        <v>233.4</v>
      </c>
      <c r="G218">
        <v>216.8</v>
      </c>
      <c r="H218">
        <v>1.0765682000000001</v>
      </c>
      <c r="I218">
        <v>-7.6568220000000006E-2</v>
      </c>
      <c r="J218">
        <v>0.48156375000000001</v>
      </c>
    </row>
    <row r="219" spans="1:10" x14ac:dyDescent="0.3">
      <c r="A219">
        <v>217</v>
      </c>
      <c r="B219">
        <v>4215</v>
      </c>
      <c r="C219" t="b">
        <v>1</v>
      </c>
      <c r="D219">
        <v>8048</v>
      </c>
      <c r="E219">
        <v>8134</v>
      </c>
      <c r="F219">
        <v>234.2</v>
      </c>
      <c r="G219">
        <v>217.93333000000001</v>
      </c>
      <c r="H219">
        <v>1.0746405000000001</v>
      </c>
      <c r="I219">
        <v>-7.4640540000000005E-2</v>
      </c>
      <c r="J219">
        <v>0.48201119999999997</v>
      </c>
    </row>
    <row r="220" spans="1:10" x14ac:dyDescent="0.3">
      <c r="A220">
        <v>218</v>
      </c>
      <c r="B220">
        <v>4231</v>
      </c>
      <c r="C220" t="b">
        <v>1</v>
      </c>
      <c r="D220">
        <v>8065</v>
      </c>
      <c r="E220">
        <v>8117</v>
      </c>
      <c r="F220">
        <v>233.8</v>
      </c>
      <c r="G220">
        <v>218.66667000000001</v>
      </c>
      <c r="H220">
        <v>1.0692073</v>
      </c>
      <c r="I220">
        <v>-6.9207299999999999E-2</v>
      </c>
      <c r="J220">
        <v>0.48327683999999999</v>
      </c>
    </row>
    <row r="221" spans="1:10" x14ac:dyDescent="0.3">
      <c r="A221">
        <v>219</v>
      </c>
      <c r="B221">
        <v>4247</v>
      </c>
      <c r="C221" t="b">
        <v>1</v>
      </c>
      <c r="D221">
        <v>8077</v>
      </c>
      <c r="E221">
        <v>8129</v>
      </c>
      <c r="F221">
        <v>234.6</v>
      </c>
      <c r="G221">
        <v>218.66667000000001</v>
      </c>
      <c r="H221">
        <v>1.0728658</v>
      </c>
      <c r="I221">
        <v>-7.2865860000000005E-2</v>
      </c>
      <c r="J221">
        <v>0.48242390000000002</v>
      </c>
    </row>
    <row r="222" spans="1:10" x14ac:dyDescent="0.3">
      <c r="A222">
        <v>220</v>
      </c>
      <c r="B222">
        <v>4262</v>
      </c>
      <c r="C222" t="b">
        <v>1</v>
      </c>
      <c r="D222">
        <v>8071</v>
      </c>
      <c r="E222">
        <v>8140</v>
      </c>
      <c r="F222">
        <v>235</v>
      </c>
      <c r="G222">
        <v>217.46665999999999</v>
      </c>
      <c r="H222">
        <v>1.0806254</v>
      </c>
      <c r="I222">
        <v>-8.0625420000000003E-2</v>
      </c>
      <c r="J222">
        <v>0.48062470000000002</v>
      </c>
    </row>
    <row r="223" spans="1:10" x14ac:dyDescent="0.3">
      <c r="A223">
        <v>221</v>
      </c>
      <c r="B223">
        <v>4278</v>
      </c>
      <c r="C223" t="b">
        <v>1</v>
      </c>
      <c r="D223">
        <v>8048</v>
      </c>
      <c r="E223">
        <v>8134</v>
      </c>
      <c r="F223">
        <v>234.6</v>
      </c>
      <c r="G223">
        <v>217.8</v>
      </c>
      <c r="H223">
        <v>1.077135</v>
      </c>
      <c r="I223">
        <v>-7.7134999999999995E-2</v>
      </c>
      <c r="J223">
        <v>0.48143235000000001</v>
      </c>
    </row>
    <row r="224" spans="1:10" x14ac:dyDescent="0.3">
      <c r="A224">
        <v>222</v>
      </c>
      <c r="B224">
        <v>4294</v>
      </c>
      <c r="C224" t="b">
        <v>1</v>
      </c>
      <c r="D224">
        <v>8071</v>
      </c>
      <c r="E224">
        <v>8146</v>
      </c>
      <c r="F224">
        <v>235</v>
      </c>
      <c r="G224">
        <v>218.13333</v>
      </c>
      <c r="H224">
        <v>1.0773227000000001</v>
      </c>
      <c r="I224">
        <v>-7.7322749999999996E-2</v>
      </c>
      <c r="J224">
        <v>0.48138883999999998</v>
      </c>
    </row>
    <row r="225" spans="1:10" x14ac:dyDescent="0.3">
      <c r="A225">
        <v>223</v>
      </c>
      <c r="B225">
        <v>4310</v>
      </c>
      <c r="C225" t="b">
        <v>1</v>
      </c>
      <c r="D225">
        <v>8071</v>
      </c>
      <c r="E225">
        <v>8105</v>
      </c>
      <c r="F225">
        <v>235.73334</v>
      </c>
      <c r="G225">
        <v>218.86667</v>
      </c>
      <c r="H225">
        <v>1.0770637000000001</v>
      </c>
      <c r="I225">
        <v>-7.7063670000000001E-2</v>
      </c>
      <c r="J225">
        <v>0.48144890000000001</v>
      </c>
    </row>
    <row r="226" spans="1:10" x14ac:dyDescent="0.3">
      <c r="A226">
        <v>224</v>
      </c>
      <c r="B226">
        <v>4326</v>
      </c>
      <c r="C226" t="b">
        <v>1</v>
      </c>
      <c r="D226">
        <v>8065</v>
      </c>
      <c r="E226">
        <v>8111</v>
      </c>
      <c r="F226">
        <v>236.13333</v>
      </c>
      <c r="G226">
        <v>219.6</v>
      </c>
      <c r="H226">
        <v>1.0752884</v>
      </c>
      <c r="I226">
        <v>-7.5288359999999999E-2</v>
      </c>
      <c r="J226">
        <v>0.48186076</v>
      </c>
    </row>
    <row r="227" spans="1:10" x14ac:dyDescent="0.3">
      <c r="A227">
        <v>225</v>
      </c>
      <c r="B227">
        <v>4341</v>
      </c>
      <c r="C227" t="b">
        <v>1</v>
      </c>
      <c r="D227">
        <v>8117</v>
      </c>
      <c r="E227">
        <v>8129</v>
      </c>
      <c r="F227">
        <v>235.73334</v>
      </c>
      <c r="G227">
        <v>220</v>
      </c>
      <c r="H227">
        <v>1.0715151999999999</v>
      </c>
      <c r="I227">
        <v>-7.1515170000000003E-2</v>
      </c>
      <c r="J227">
        <v>0.48273843999999999</v>
      </c>
    </row>
    <row r="228" spans="1:10" x14ac:dyDescent="0.3">
      <c r="A228">
        <v>226</v>
      </c>
      <c r="B228">
        <v>4357</v>
      </c>
      <c r="C228" t="b">
        <v>1</v>
      </c>
      <c r="D228">
        <v>8065</v>
      </c>
      <c r="E228">
        <v>8146</v>
      </c>
      <c r="F228">
        <v>235.33332999999999</v>
      </c>
      <c r="G228">
        <v>220</v>
      </c>
      <c r="H228">
        <v>1.0696969000000001</v>
      </c>
      <c r="I228">
        <v>-6.9696949999999994E-2</v>
      </c>
      <c r="J228">
        <v>0.48316255000000002</v>
      </c>
    </row>
    <row r="229" spans="1:10" x14ac:dyDescent="0.3">
      <c r="A229">
        <v>227</v>
      </c>
      <c r="B229">
        <v>4373</v>
      </c>
      <c r="C229" t="b">
        <v>1</v>
      </c>
      <c r="D229">
        <v>8071</v>
      </c>
      <c r="E229">
        <v>8105</v>
      </c>
      <c r="F229">
        <v>234.93333000000001</v>
      </c>
      <c r="G229">
        <v>218.06666999999999</v>
      </c>
      <c r="H229">
        <v>1.0773463999999999</v>
      </c>
      <c r="I229">
        <v>-7.7346385000000004E-2</v>
      </c>
      <c r="J229">
        <v>0.48138334999999999</v>
      </c>
    </row>
    <row r="230" spans="1:10" x14ac:dyDescent="0.3">
      <c r="A230">
        <v>228</v>
      </c>
      <c r="B230">
        <v>4389</v>
      </c>
      <c r="C230" t="b">
        <v>1</v>
      </c>
      <c r="D230">
        <v>8088</v>
      </c>
      <c r="E230">
        <v>8134</v>
      </c>
      <c r="F230">
        <v>233.4</v>
      </c>
      <c r="G230">
        <v>217.33332999999999</v>
      </c>
      <c r="H230">
        <v>1.0739262999999999</v>
      </c>
      <c r="I230">
        <v>-7.3926374000000003E-2</v>
      </c>
      <c r="J230">
        <v>0.48217716999999999</v>
      </c>
    </row>
    <row r="231" spans="1:10" x14ac:dyDescent="0.3">
      <c r="A231">
        <v>229</v>
      </c>
      <c r="B231">
        <v>4405</v>
      </c>
      <c r="C231" t="b">
        <v>1</v>
      </c>
      <c r="D231">
        <v>8060</v>
      </c>
      <c r="E231">
        <v>8152</v>
      </c>
      <c r="F231">
        <v>233</v>
      </c>
      <c r="G231">
        <v>216.93333000000001</v>
      </c>
      <c r="H231">
        <v>1.0740627</v>
      </c>
      <c r="I231">
        <v>-7.406269E-2</v>
      </c>
      <c r="J231">
        <v>0.4821455</v>
      </c>
    </row>
    <row r="232" spans="1:10" x14ac:dyDescent="0.3">
      <c r="A232">
        <v>230</v>
      </c>
      <c r="B232">
        <v>4421</v>
      </c>
      <c r="C232" t="b">
        <v>1</v>
      </c>
      <c r="D232">
        <v>8048</v>
      </c>
      <c r="E232">
        <v>8146</v>
      </c>
      <c r="F232">
        <v>231.8</v>
      </c>
      <c r="G232">
        <v>217.33332999999999</v>
      </c>
      <c r="H232">
        <v>1.0665644000000001</v>
      </c>
      <c r="I232">
        <v>-6.6564455999999994E-2</v>
      </c>
      <c r="J232">
        <v>0.48389490000000002</v>
      </c>
    </row>
    <row r="233" spans="1:10" x14ac:dyDescent="0.3">
      <c r="A233">
        <v>231</v>
      </c>
      <c r="B233">
        <v>4437</v>
      </c>
      <c r="C233" t="b">
        <v>1</v>
      </c>
      <c r="D233">
        <v>8060</v>
      </c>
      <c r="E233">
        <v>8164</v>
      </c>
      <c r="F233">
        <v>230.26666</v>
      </c>
      <c r="G233">
        <v>217.73334</v>
      </c>
      <c r="H233">
        <v>1.0575627000000001</v>
      </c>
      <c r="I233">
        <v>-5.7562729999999999E-2</v>
      </c>
      <c r="J233">
        <v>0.48601191999999999</v>
      </c>
    </row>
    <row r="234" spans="1:10" x14ac:dyDescent="0.3">
      <c r="A234">
        <v>232</v>
      </c>
      <c r="B234">
        <v>4453</v>
      </c>
      <c r="C234" t="b">
        <v>1</v>
      </c>
      <c r="D234">
        <v>8083</v>
      </c>
      <c r="E234">
        <v>8158</v>
      </c>
      <c r="F234">
        <v>228.73334</v>
      </c>
      <c r="G234">
        <v>218.93333000000001</v>
      </c>
      <c r="H234">
        <v>1.0447625</v>
      </c>
      <c r="I234">
        <v>-4.4762499999999997E-2</v>
      </c>
      <c r="J234">
        <v>0.48905431999999999</v>
      </c>
    </row>
    <row r="235" spans="1:10" x14ac:dyDescent="0.3">
      <c r="A235">
        <v>233</v>
      </c>
      <c r="B235">
        <v>4469</v>
      </c>
      <c r="C235" t="b">
        <v>1</v>
      </c>
      <c r="D235">
        <v>8060</v>
      </c>
      <c r="E235">
        <v>8099</v>
      </c>
      <c r="F235">
        <v>228.4</v>
      </c>
      <c r="G235">
        <v>220.13333</v>
      </c>
      <c r="H235">
        <v>1.0375529999999999</v>
      </c>
      <c r="I235">
        <v>-3.755298E-2</v>
      </c>
      <c r="J235">
        <v>0.49078480000000002</v>
      </c>
    </row>
    <row r="236" spans="1:10" x14ac:dyDescent="0.3">
      <c r="A236">
        <v>234</v>
      </c>
      <c r="B236">
        <v>4485</v>
      </c>
      <c r="C236" t="b">
        <v>1</v>
      </c>
      <c r="D236">
        <v>8071</v>
      </c>
      <c r="E236">
        <v>8146</v>
      </c>
      <c r="F236">
        <v>227.26666</v>
      </c>
      <c r="G236">
        <v>221.26666</v>
      </c>
      <c r="H236">
        <v>1.0271167000000001</v>
      </c>
      <c r="I236">
        <v>-2.7116602E-2</v>
      </c>
      <c r="J236">
        <v>0.49331152</v>
      </c>
    </row>
    <row r="237" spans="1:10" x14ac:dyDescent="0.3">
      <c r="A237">
        <v>235</v>
      </c>
      <c r="B237">
        <v>4501</v>
      </c>
      <c r="C237" t="b">
        <v>1</v>
      </c>
      <c r="D237">
        <v>8054</v>
      </c>
      <c r="E237">
        <v>8152</v>
      </c>
      <c r="F237">
        <v>226.53334000000001</v>
      </c>
      <c r="G237">
        <v>222.46665999999999</v>
      </c>
      <c r="H237">
        <v>1.0182799</v>
      </c>
      <c r="I237">
        <v>-1.8279956999999999E-2</v>
      </c>
      <c r="J237">
        <v>0.49547140000000001</v>
      </c>
    </row>
    <row r="238" spans="1:10" x14ac:dyDescent="0.3">
      <c r="A238">
        <v>236</v>
      </c>
      <c r="B238">
        <v>4517</v>
      </c>
      <c r="C238" t="b">
        <v>1</v>
      </c>
      <c r="D238">
        <v>8037</v>
      </c>
      <c r="E238">
        <v>8146</v>
      </c>
      <c r="F238">
        <v>226.2</v>
      </c>
      <c r="G238">
        <v>223.26666</v>
      </c>
      <c r="H238">
        <v>1.0131383</v>
      </c>
      <c r="I238">
        <v>-1.3138255E-2</v>
      </c>
      <c r="J238">
        <v>0.49673685000000001</v>
      </c>
    </row>
    <row r="239" spans="1:10" x14ac:dyDescent="0.3">
      <c r="A239">
        <v>237</v>
      </c>
      <c r="B239">
        <v>4533</v>
      </c>
      <c r="C239" t="b">
        <v>1</v>
      </c>
      <c r="D239">
        <v>8071</v>
      </c>
      <c r="E239">
        <v>8134</v>
      </c>
      <c r="F239">
        <v>225.46665999999999</v>
      </c>
      <c r="G239">
        <v>224.06666999999999</v>
      </c>
      <c r="H239">
        <v>1.0062481000000001</v>
      </c>
      <c r="I239">
        <v>-6.2481131999999997E-3</v>
      </c>
      <c r="J239">
        <v>0.49844283</v>
      </c>
    </row>
    <row r="240" spans="1:10" x14ac:dyDescent="0.3">
      <c r="A240">
        <v>238</v>
      </c>
      <c r="B240">
        <v>4549</v>
      </c>
      <c r="C240" t="b">
        <v>1</v>
      </c>
      <c r="D240">
        <v>8054</v>
      </c>
      <c r="E240">
        <v>8158</v>
      </c>
      <c r="F240">
        <v>224.33332999999999</v>
      </c>
      <c r="G240">
        <v>224.86667</v>
      </c>
      <c r="H240">
        <v>0.99762819999999997</v>
      </c>
      <c r="I240">
        <v>2.3718075999999999E-3</v>
      </c>
      <c r="J240">
        <v>0.50059366000000005</v>
      </c>
    </row>
    <row r="241" spans="1:10" x14ac:dyDescent="0.3">
      <c r="A241">
        <v>239</v>
      </c>
      <c r="B241">
        <v>4564</v>
      </c>
      <c r="C241" t="b">
        <v>1</v>
      </c>
      <c r="D241">
        <v>8065</v>
      </c>
      <c r="E241">
        <v>8111</v>
      </c>
      <c r="F241">
        <v>223.2</v>
      </c>
      <c r="G241">
        <v>225.66667000000001</v>
      </c>
      <c r="H241">
        <v>0.98906939999999999</v>
      </c>
      <c r="I241">
        <v>1.0930611999999999E-2</v>
      </c>
      <c r="J241">
        <v>0.50274764999999999</v>
      </c>
    </row>
    <row r="242" spans="1:10" x14ac:dyDescent="0.3">
      <c r="A242">
        <v>240</v>
      </c>
      <c r="B242">
        <v>4580</v>
      </c>
      <c r="C242" t="b">
        <v>1</v>
      </c>
      <c r="D242">
        <v>8011</v>
      </c>
      <c r="E242">
        <v>8146</v>
      </c>
      <c r="F242">
        <v>222.06666999999999</v>
      </c>
      <c r="G242">
        <v>226.8</v>
      </c>
      <c r="H242">
        <v>0.9791299</v>
      </c>
      <c r="I242">
        <v>2.0870092999999999E-2</v>
      </c>
      <c r="J242">
        <v>0.50527257000000003</v>
      </c>
    </row>
    <row r="243" spans="1:10" x14ac:dyDescent="0.3">
      <c r="A243">
        <v>241</v>
      </c>
      <c r="B243">
        <v>4596</v>
      </c>
      <c r="C243" t="b">
        <v>1</v>
      </c>
      <c r="D243">
        <v>8023</v>
      </c>
      <c r="E243">
        <v>8134</v>
      </c>
      <c r="F243">
        <v>220.93333000000001</v>
      </c>
      <c r="G243">
        <v>227.13333</v>
      </c>
      <c r="H243">
        <v>0.97270330000000005</v>
      </c>
      <c r="I243">
        <v>2.7296730000000002E-2</v>
      </c>
      <c r="J243">
        <v>0.5069186</v>
      </c>
    </row>
    <row r="244" spans="1:10" x14ac:dyDescent="0.3">
      <c r="A244">
        <v>242</v>
      </c>
      <c r="B244">
        <v>4612</v>
      </c>
      <c r="C244" t="b">
        <v>1</v>
      </c>
      <c r="D244">
        <v>8060</v>
      </c>
      <c r="E244">
        <v>8146</v>
      </c>
      <c r="F244">
        <v>219.8</v>
      </c>
      <c r="G244">
        <v>229.46665999999999</v>
      </c>
      <c r="H244">
        <v>0.95787334000000002</v>
      </c>
      <c r="I244">
        <v>4.2126626E-2</v>
      </c>
      <c r="J244">
        <v>0.5107583</v>
      </c>
    </row>
    <row r="245" spans="1:10" x14ac:dyDescent="0.3">
      <c r="A245">
        <v>243</v>
      </c>
      <c r="B245">
        <v>4628</v>
      </c>
      <c r="C245" t="b">
        <v>1</v>
      </c>
      <c r="D245">
        <v>8077</v>
      </c>
      <c r="E245">
        <v>8099</v>
      </c>
      <c r="F245">
        <v>219.06666999999999</v>
      </c>
      <c r="G245">
        <v>229.8</v>
      </c>
      <c r="H245">
        <v>0.95329269999999999</v>
      </c>
      <c r="I245">
        <v>4.67073E-2</v>
      </c>
      <c r="J245">
        <v>0.51195603999999995</v>
      </c>
    </row>
    <row r="246" spans="1:10" x14ac:dyDescent="0.3">
      <c r="A246">
        <v>244</v>
      </c>
      <c r="B246">
        <v>4644</v>
      </c>
      <c r="C246" t="b">
        <v>1</v>
      </c>
      <c r="D246">
        <v>8077</v>
      </c>
      <c r="E246">
        <v>8129</v>
      </c>
      <c r="F246">
        <v>218.33332999999999</v>
      </c>
      <c r="G246">
        <v>229.8</v>
      </c>
      <c r="H246">
        <v>0.95010150000000004</v>
      </c>
      <c r="I246">
        <v>4.9898497999999999E-2</v>
      </c>
      <c r="J246">
        <v>0.51279383999999995</v>
      </c>
    </row>
    <row r="247" spans="1:10" x14ac:dyDescent="0.3">
      <c r="A247">
        <v>245</v>
      </c>
      <c r="B247">
        <v>4660</v>
      </c>
      <c r="C247" t="b">
        <v>1</v>
      </c>
      <c r="D247">
        <v>8071</v>
      </c>
      <c r="E247">
        <v>8123</v>
      </c>
      <c r="F247">
        <v>218.73334</v>
      </c>
      <c r="G247">
        <v>228.66667000000001</v>
      </c>
      <c r="H247">
        <v>0.95655979999999996</v>
      </c>
      <c r="I247">
        <v>4.3440237999999999E-2</v>
      </c>
      <c r="J247">
        <v>0.51110120000000003</v>
      </c>
    </row>
    <row r="248" spans="1:10" x14ac:dyDescent="0.3">
      <c r="A248">
        <v>246</v>
      </c>
      <c r="B248">
        <v>4676</v>
      </c>
      <c r="C248" t="b">
        <v>1</v>
      </c>
      <c r="D248">
        <v>8030</v>
      </c>
      <c r="E248">
        <v>8146</v>
      </c>
      <c r="F248">
        <v>219.46665999999999</v>
      </c>
      <c r="G248">
        <v>227.53334000000001</v>
      </c>
      <c r="H248">
        <v>0.9645473</v>
      </c>
      <c r="I248">
        <v>3.5452742000000002E-2</v>
      </c>
      <c r="J248">
        <v>0.50902312999999999</v>
      </c>
    </row>
    <row r="249" spans="1:10" x14ac:dyDescent="0.3">
      <c r="A249">
        <v>247</v>
      </c>
      <c r="B249">
        <v>4692</v>
      </c>
      <c r="C249" t="b">
        <v>1</v>
      </c>
      <c r="D249">
        <v>8065</v>
      </c>
      <c r="E249">
        <v>8158</v>
      </c>
      <c r="F249">
        <v>220.2</v>
      </c>
      <c r="G249">
        <v>226</v>
      </c>
      <c r="H249">
        <v>0.97433627</v>
      </c>
      <c r="I249">
        <v>2.5663729999999999E-2</v>
      </c>
      <c r="J249">
        <v>0.50649929999999999</v>
      </c>
    </row>
    <row r="250" spans="1:10" x14ac:dyDescent="0.3">
      <c r="A250">
        <v>248</v>
      </c>
      <c r="B250">
        <v>4708</v>
      </c>
      <c r="C250" t="b">
        <v>1</v>
      </c>
      <c r="D250">
        <v>8065</v>
      </c>
      <c r="E250">
        <v>8146</v>
      </c>
      <c r="F250">
        <v>220.53334000000001</v>
      </c>
      <c r="G250">
        <v>225.6</v>
      </c>
      <c r="H250">
        <v>0.9775414</v>
      </c>
      <c r="I250">
        <v>2.2458624E-2</v>
      </c>
      <c r="J250">
        <v>0.50567839999999997</v>
      </c>
    </row>
    <row r="251" spans="1:10" x14ac:dyDescent="0.3">
      <c r="A251">
        <v>249</v>
      </c>
      <c r="B251">
        <v>4724</v>
      </c>
      <c r="C251" t="b">
        <v>1</v>
      </c>
      <c r="D251">
        <v>8083</v>
      </c>
      <c r="E251">
        <v>8146</v>
      </c>
      <c r="F251">
        <v>220.86667</v>
      </c>
      <c r="G251">
        <v>225.6</v>
      </c>
      <c r="H251">
        <v>0.97901886999999999</v>
      </c>
      <c r="I251">
        <v>2.0981105E-2</v>
      </c>
      <c r="J251">
        <v>0.50530090000000005</v>
      </c>
    </row>
    <row r="252" spans="1:10" x14ac:dyDescent="0.3">
      <c r="A252">
        <v>250</v>
      </c>
      <c r="B252">
        <v>4740</v>
      </c>
      <c r="C252" t="b">
        <v>1</v>
      </c>
      <c r="D252">
        <v>8060</v>
      </c>
      <c r="E252">
        <v>8152</v>
      </c>
      <c r="F252">
        <v>221.2</v>
      </c>
      <c r="G252">
        <v>225.2</v>
      </c>
      <c r="H252">
        <v>0.98223800000000006</v>
      </c>
      <c r="I252">
        <v>1.7761989999999998E-2</v>
      </c>
      <c r="J252">
        <v>0.50448029999999999</v>
      </c>
    </row>
    <row r="253" spans="1:10" x14ac:dyDescent="0.3">
      <c r="A253">
        <v>251</v>
      </c>
      <c r="B253">
        <v>4756</v>
      </c>
      <c r="C253" t="b">
        <v>1</v>
      </c>
      <c r="D253">
        <v>8065</v>
      </c>
      <c r="E253">
        <v>8176</v>
      </c>
      <c r="F253">
        <v>221.53334000000001</v>
      </c>
      <c r="G253">
        <v>225.6</v>
      </c>
      <c r="H253">
        <v>0.98197400000000001</v>
      </c>
      <c r="I253">
        <v>1.8026E-2</v>
      </c>
      <c r="J253">
        <v>0.50454750000000004</v>
      </c>
    </row>
    <row r="254" spans="1:10" x14ac:dyDescent="0.3">
      <c r="A254">
        <v>252</v>
      </c>
      <c r="B254">
        <v>4772</v>
      </c>
      <c r="C254" t="b">
        <v>1</v>
      </c>
      <c r="D254">
        <v>8088</v>
      </c>
      <c r="E254">
        <v>8123</v>
      </c>
      <c r="F254">
        <v>221.86667</v>
      </c>
      <c r="G254">
        <v>225.6</v>
      </c>
      <c r="H254">
        <v>0.98345154999999995</v>
      </c>
      <c r="I254">
        <v>1.6548480000000001E-2</v>
      </c>
      <c r="J254">
        <v>0.50417160000000005</v>
      </c>
    </row>
    <row r="255" spans="1:10" x14ac:dyDescent="0.3">
      <c r="A255">
        <v>253</v>
      </c>
      <c r="B255">
        <v>4787</v>
      </c>
      <c r="C255" t="b">
        <v>1</v>
      </c>
      <c r="D255">
        <v>8065</v>
      </c>
      <c r="E255">
        <v>8099</v>
      </c>
      <c r="F255">
        <v>222.6</v>
      </c>
      <c r="G255">
        <v>225.6</v>
      </c>
      <c r="H255">
        <v>0.98670214000000001</v>
      </c>
      <c r="I255">
        <v>1.3297872000000001E-2</v>
      </c>
      <c r="J255">
        <v>0.50334674000000001</v>
      </c>
    </row>
    <row r="256" spans="1:10" x14ac:dyDescent="0.3">
      <c r="A256">
        <v>254</v>
      </c>
      <c r="B256">
        <v>4818</v>
      </c>
      <c r="C256" t="b">
        <v>1</v>
      </c>
      <c r="D256">
        <v>8077</v>
      </c>
      <c r="E256">
        <v>8134</v>
      </c>
      <c r="F256">
        <v>223.33332999999999</v>
      </c>
      <c r="G256">
        <v>224.8</v>
      </c>
      <c r="H256">
        <v>0.99347569999999996</v>
      </c>
      <c r="I256">
        <v>6.5243539999999996E-3</v>
      </c>
      <c r="J256">
        <v>0.50163645000000001</v>
      </c>
    </row>
    <row r="257" spans="1:10" x14ac:dyDescent="0.3">
      <c r="A257">
        <v>255</v>
      </c>
      <c r="B257">
        <v>4834</v>
      </c>
      <c r="C257" t="b">
        <v>1</v>
      </c>
      <c r="D257">
        <v>8054</v>
      </c>
      <c r="E257">
        <v>8152</v>
      </c>
      <c r="F257">
        <v>224.06666999999999</v>
      </c>
      <c r="G257">
        <v>224</v>
      </c>
      <c r="H257">
        <v>1.0002977</v>
      </c>
      <c r="I257">
        <v>-2.9761452000000001E-4</v>
      </c>
      <c r="J257">
        <v>0.49992560000000003</v>
      </c>
    </row>
    <row r="258" spans="1:10" x14ac:dyDescent="0.3">
      <c r="A258">
        <v>256</v>
      </c>
      <c r="B258">
        <v>4850</v>
      </c>
      <c r="C258" t="b">
        <v>1</v>
      </c>
      <c r="D258">
        <v>8065</v>
      </c>
      <c r="E258">
        <v>8129</v>
      </c>
      <c r="F258">
        <v>224.8</v>
      </c>
      <c r="G258">
        <v>223.66667000000001</v>
      </c>
      <c r="H258">
        <v>1.0050671</v>
      </c>
      <c r="I258">
        <v>-5.0670545999999999E-3</v>
      </c>
      <c r="J258">
        <v>0.49873644</v>
      </c>
    </row>
    <row r="259" spans="1:10" x14ac:dyDescent="0.3">
      <c r="A259">
        <v>257</v>
      </c>
      <c r="B259">
        <v>4866</v>
      </c>
      <c r="C259" t="b">
        <v>1</v>
      </c>
      <c r="D259">
        <v>8077</v>
      </c>
      <c r="E259">
        <v>8158</v>
      </c>
      <c r="F259">
        <v>225.53334000000001</v>
      </c>
      <c r="G259">
        <v>222.86667</v>
      </c>
      <c r="H259">
        <v>1.0119653</v>
      </c>
      <c r="I259">
        <v>-1.1965323E-2</v>
      </c>
      <c r="J259">
        <v>0.49702644000000001</v>
      </c>
    </row>
    <row r="260" spans="1:10" x14ac:dyDescent="0.3">
      <c r="A260">
        <v>258</v>
      </c>
      <c r="B260">
        <v>4882</v>
      </c>
      <c r="C260" t="b">
        <v>1</v>
      </c>
      <c r="D260">
        <v>8048</v>
      </c>
      <c r="E260">
        <v>8134</v>
      </c>
      <c r="F260">
        <v>225.86667</v>
      </c>
      <c r="G260">
        <v>222.86667</v>
      </c>
      <c r="H260">
        <v>1.0134609999999999</v>
      </c>
      <c r="I260">
        <v>-1.3460962999999999E-2</v>
      </c>
      <c r="J260">
        <v>0.49665724999999999</v>
      </c>
    </row>
    <row r="261" spans="1:10" x14ac:dyDescent="0.3">
      <c r="A261">
        <v>259</v>
      </c>
      <c r="B261">
        <v>4898</v>
      </c>
      <c r="C261" t="b">
        <v>1</v>
      </c>
      <c r="D261">
        <v>8065</v>
      </c>
      <c r="E261">
        <v>8134</v>
      </c>
      <c r="F261">
        <v>226.2</v>
      </c>
      <c r="G261">
        <v>222.86667</v>
      </c>
      <c r="H261">
        <v>1.0149566000000001</v>
      </c>
      <c r="I261">
        <v>-1.4956603000000001E-2</v>
      </c>
      <c r="J261">
        <v>0.49628863000000001</v>
      </c>
    </row>
    <row r="262" spans="1:10" x14ac:dyDescent="0.3">
      <c r="A262">
        <v>260</v>
      </c>
      <c r="B262">
        <v>4913</v>
      </c>
      <c r="C262" t="b">
        <v>1</v>
      </c>
      <c r="D262">
        <v>8071</v>
      </c>
      <c r="E262">
        <v>8146</v>
      </c>
      <c r="F262">
        <v>225.8</v>
      </c>
      <c r="G262">
        <v>223.2</v>
      </c>
      <c r="H262">
        <v>1.0116487999999999</v>
      </c>
      <c r="I262">
        <v>-1.1648772999999999E-2</v>
      </c>
      <c r="J262">
        <v>0.49710467000000003</v>
      </c>
    </row>
    <row r="263" spans="1:10" x14ac:dyDescent="0.3">
      <c r="A263">
        <v>261</v>
      </c>
      <c r="B263">
        <v>4929</v>
      </c>
      <c r="C263" t="b">
        <v>1</v>
      </c>
      <c r="D263">
        <v>8088</v>
      </c>
      <c r="E263">
        <v>8134</v>
      </c>
      <c r="F263">
        <v>225.8</v>
      </c>
      <c r="G263">
        <v>223.53334000000001</v>
      </c>
      <c r="H263">
        <v>1.0101401999999999</v>
      </c>
      <c r="I263">
        <v>-1.01401545E-2</v>
      </c>
      <c r="J263">
        <v>0.49747774</v>
      </c>
    </row>
    <row r="264" spans="1:10" x14ac:dyDescent="0.3">
      <c r="A264">
        <v>262</v>
      </c>
      <c r="B264">
        <v>4945</v>
      </c>
      <c r="C264" t="b">
        <v>1</v>
      </c>
      <c r="D264">
        <v>8071</v>
      </c>
      <c r="E264">
        <v>8134</v>
      </c>
      <c r="F264">
        <v>225.8</v>
      </c>
      <c r="G264">
        <v>223.86667</v>
      </c>
      <c r="H264">
        <v>1.0086360999999999</v>
      </c>
      <c r="I264">
        <v>-8.6360970000000006E-3</v>
      </c>
      <c r="J264">
        <v>0.49785024</v>
      </c>
    </row>
    <row r="265" spans="1:10" x14ac:dyDescent="0.3">
      <c r="A265">
        <v>263</v>
      </c>
      <c r="B265">
        <v>4961</v>
      </c>
      <c r="C265" t="b">
        <v>1</v>
      </c>
      <c r="D265">
        <v>8088</v>
      </c>
      <c r="E265">
        <v>8129</v>
      </c>
      <c r="F265">
        <v>226.2</v>
      </c>
      <c r="G265">
        <v>223.06666999999999</v>
      </c>
      <c r="H265">
        <v>1.0140467</v>
      </c>
      <c r="I265">
        <v>-1.4046614000000001E-2</v>
      </c>
      <c r="J265">
        <v>0.49651283000000002</v>
      </c>
    </row>
    <row r="266" spans="1:10" x14ac:dyDescent="0.3">
      <c r="A266">
        <v>264</v>
      </c>
      <c r="B266">
        <v>4993</v>
      </c>
      <c r="C266" t="b">
        <v>1</v>
      </c>
      <c r="D266">
        <v>8088</v>
      </c>
      <c r="E266">
        <v>8134</v>
      </c>
      <c r="F266">
        <v>227.73334</v>
      </c>
      <c r="G266">
        <v>222.26666</v>
      </c>
      <c r="H266">
        <v>1.0245951</v>
      </c>
      <c r="I266">
        <v>-2.4595117E-2</v>
      </c>
      <c r="J266">
        <v>0.49392593000000001</v>
      </c>
    </row>
    <row r="267" spans="1:10" x14ac:dyDescent="0.3">
      <c r="A267">
        <v>265</v>
      </c>
      <c r="B267">
        <v>5009</v>
      </c>
      <c r="C267" t="b">
        <v>1</v>
      </c>
      <c r="D267">
        <v>8065</v>
      </c>
      <c r="E267">
        <v>8152</v>
      </c>
      <c r="F267">
        <v>229.26666</v>
      </c>
      <c r="G267">
        <v>221.46665999999999</v>
      </c>
      <c r="H267">
        <v>1.0352197999999999</v>
      </c>
      <c r="I267">
        <v>-3.5219762000000002E-2</v>
      </c>
      <c r="J267">
        <v>0.49134739999999999</v>
      </c>
    </row>
    <row r="268" spans="1:10" x14ac:dyDescent="0.3">
      <c r="A268">
        <v>266</v>
      </c>
      <c r="B268">
        <v>5025</v>
      </c>
      <c r="C268" t="b">
        <v>1</v>
      </c>
      <c r="D268">
        <v>8077</v>
      </c>
      <c r="E268">
        <v>8140</v>
      </c>
      <c r="F268">
        <v>230.06666999999999</v>
      </c>
      <c r="G268">
        <v>220.26666</v>
      </c>
      <c r="H268">
        <v>1.0444914999999999</v>
      </c>
      <c r="I268">
        <v>-4.4491540000000003E-2</v>
      </c>
      <c r="J268">
        <v>0.48911916999999999</v>
      </c>
    </row>
    <row r="269" spans="1:10" x14ac:dyDescent="0.3">
      <c r="A269">
        <v>267</v>
      </c>
      <c r="B269">
        <v>5041</v>
      </c>
      <c r="C269" t="b">
        <v>1</v>
      </c>
      <c r="D269">
        <v>8077</v>
      </c>
      <c r="E269">
        <v>8087</v>
      </c>
      <c r="F269">
        <v>230.86667</v>
      </c>
      <c r="G269">
        <v>219.46665999999999</v>
      </c>
      <c r="H269">
        <v>1.0519441</v>
      </c>
      <c r="I269">
        <v>-5.1944150000000001E-2</v>
      </c>
      <c r="J269">
        <v>0.48734272000000001</v>
      </c>
    </row>
    <row r="270" spans="1:10" x14ac:dyDescent="0.3">
      <c r="A270">
        <v>268</v>
      </c>
      <c r="B270">
        <v>5057</v>
      </c>
      <c r="C270" t="b">
        <v>1</v>
      </c>
      <c r="D270">
        <v>8030</v>
      </c>
      <c r="E270">
        <v>8158</v>
      </c>
      <c r="F270">
        <v>231.66667000000001</v>
      </c>
      <c r="G270">
        <v>219.06666999999999</v>
      </c>
      <c r="H270">
        <v>1.0575167999999999</v>
      </c>
      <c r="I270">
        <v>-5.7516764999999997E-2</v>
      </c>
      <c r="J270">
        <v>0.48602276999999999</v>
      </c>
    </row>
    <row r="271" spans="1:10" x14ac:dyDescent="0.3">
      <c r="A271">
        <v>269</v>
      </c>
      <c r="B271">
        <v>5072</v>
      </c>
      <c r="C271" t="b">
        <v>1</v>
      </c>
      <c r="D271">
        <v>8077</v>
      </c>
      <c r="E271">
        <v>8129</v>
      </c>
      <c r="F271">
        <v>232.46665999999999</v>
      </c>
      <c r="G271">
        <v>219.46665999999999</v>
      </c>
      <c r="H271">
        <v>1.0592345000000001</v>
      </c>
      <c r="I271">
        <v>-5.9234509999999997E-2</v>
      </c>
      <c r="J271">
        <v>0.48561734000000001</v>
      </c>
    </row>
    <row r="272" spans="1:10" x14ac:dyDescent="0.3">
      <c r="A272">
        <v>270</v>
      </c>
      <c r="B272">
        <v>5088</v>
      </c>
      <c r="C272" t="b">
        <v>1</v>
      </c>
      <c r="D272">
        <v>8100</v>
      </c>
      <c r="E272">
        <v>8134</v>
      </c>
      <c r="F272">
        <v>233.26666</v>
      </c>
      <c r="G272">
        <v>219.46665999999999</v>
      </c>
      <c r="H272">
        <v>1.0628797000000001</v>
      </c>
      <c r="I272">
        <v>-6.2879729999999995E-2</v>
      </c>
      <c r="J272">
        <v>0.4847592</v>
      </c>
    </row>
    <row r="273" spans="1:10" x14ac:dyDescent="0.3">
      <c r="A273">
        <v>271</v>
      </c>
      <c r="B273">
        <v>5104</v>
      </c>
      <c r="C273" t="b">
        <v>1</v>
      </c>
      <c r="D273">
        <v>8094</v>
      </c>
      <c r="E273">
        <v>8134</v>
      </c>
      <c r="F273">
        <v>234.06666999999999</v>
      </c>
      <c r="G273">
        <v>219.8</v>
      </c>
      <c r="H273">
        <v>1.0649074000000001</v>
      </c>
      <c r="I273">
        <v>-6.4907469999999995E-2</v>
      </c>
      <c r="J273">
        <v>0.48428320000000002</v>
      </c>
    </row>
    <row r="274" spans="1:10" x14ac:dyDescent="0.3">
      <c r="A274">
        <v>272</v>
      </c>
      <c r="B274">
        <v>5137</v>
      </c>
      <c r="C274" t="b">
        <v>1</v>
      </c>
      <c r="D274">
        <v>8111</v>
      </c>
      <c r="E274">
        <v>8134</v>
      </c>
      <c r="F274">
        <v>236</v>
      </c>
      <c r="G274">
        <v>219.8</v>
      </c>
      <c r="H274">
        <v>1.0737034000000001</v>
      </c>
      <c r="I274">
        <v>-7.3703350000000001E-2</v>
      </c>
      <c r="J274">
        <v>0.48222904999999999</v>
      </c>
    </row>
    <row r="275" spans="1:10" x14ac:dyDescent="0.3">
      <c r="A275">
        <v>273</v>
      </c>
      <c r="B275">
        <v>5168</v>
      </c>
      <c r="C275" t="b">
        <v>1</v>
      </c>
      <c r="D275">
        <v>8048</v>
      </c>
      <c r="E275">
        <v>8129</v>
      </c>
      <c r="F275">
        <v>237.93333000000001</v>
      </c>
      <c r="G275">
        <v>219.8</v>
      </c>
      <c r="H275">
        <v>1.0824993000000001</v>
      </c>
      <c r="I275">
        <v>-8.2499230000000007E-2</v>
      </c>
      <c r="J275">
        <v>0.48019223999999999</v>
      </c>
    </row>
    <row r="276" spans="1:10" x14ac:dyDescent="0.3">
      <c r="A276">
        <v>274</v>
      </c>
      <c r="B276">
        <v>5184</v>
      </c>
      <c r="C276" t="b">
        <v>1</v>
      </c>
      <c r="D276">
        <v>8083</v>
      </c>
      <c r="E276">
        <v>8140</v>
      </c>
      <c r="F276">
        <v>239.86667</v>
      </c>
      <c r="G276">
        <v>219.8</v>
      </c>
      <c r="H276">
        <v>1.0912951</v>
      </c>
      <c r="I276">
        <v>-9.1295109999999999E-2</v>
      </c>
      <c r="J276">
        <v>0.47817257000000002</v>
      </c>
    </row>
    <row r="277" spans="1:10" x14ac:dyDescent="0.3">
      <c r="A277">
        <v>275</v>
      </c>
      <c r="B277">
        <v>5200</v>
      </c>
      <c r="C277" t="b">
        <v>1</v>
      </c>
      <c r="D277">
        <v>8060</v>
      </c>
      <c r="E277">
        <v>8117</v>
      </c>
      <c r="F277">
        <v>241.06666999999999</v>
      </c>
      <c r="G277">
        <v>219.8</v>
      </c>
      <c r="H277">
        <v>1.0967545999999999</v>
      </c>
      <c r="I277">
        <v>-9.6754599999999996E-2</v>
      </c>
      <c r="J277">
        <v>0.47692751999999999</v>
      </c>
    </row>
    <row r="278" spans="1:10" x14ac:dyDescent="0.3">
      <c r="A278">
        <v>276</v>
      </c>
      <c r="B278">
        <v>5216</v>
      </c>
      <c r="C278" t="b">
        <v>1</v>
      </c>
      <c r="D278">
        <v>8083</v>
      </c>
      <c r="E278">
        <v>8117</v>
      </c>
      <c r="F278">
        <v>241.86667</v>
      </c>
      <c r="G278">
        <v>219.46665999999999</v>
      </c>
      <c r="H278">
        <v>1.1020657</v>
      </c>
      <c r="I278">
        <v>-0.10206566</v>
      </c>
      <c r="J278">
        <v>0.47572255000000002</v>
      </c>
    </row>
    <row r="279" spans="1:10" x14ac:dyDescent="0.3">
      <c r="A279">
        <v>277</v>
      </c>
      <c r="B279">
        <v>5231</v>
      </c>
      <c r="C279" t="b">
        <v>1</v>
      </c>
      <c r="D279">
        <v>8106</v>
      </c>
      <c r="E279">
        <v>8111</v>
      </c>
      <c r="F279">
        <v>242.66667000000001</v>
      </c>
      <c r="G279">
        <v>218.33332999999999</v>
      </c>
      <c r="H279">
        <v>1.1114504000000001</v>
      </c>
      <c r="I279">
        <v>-0.111450434</v>
      </c>
      <c r="J279">
        <v>0.47360807999999999</v>
      </c>
    </row>
    <row r="280" spans="1:10" x14ac:dyDescent="0.3">
      <c r="A280">
        <v>278</v>
      </c>
      <c r="B280">
        <v>5247</v>
      </c>
      <c r="C280" t="b">
        <v>1</v>
      </c>
      <c r="D280">
        <v>8088</v>
      </c>
      <c r="E280">
        <v>8146</v>
      </c>
      <c r="F280">
        <v>243.46665999999999</v>
      </c>
      <c r="G280">
        <v>217.2</v>
      </c>
      <c r="H280">
        <v>1.120933</v>
      </c>
      <c r="I280">
        <v>-0.12093307</v>
      </c>
      <c r="J280">
        <v>0.47149059999999998</v>
      </c>
    </row>
    <row r="281" spans="1:10" x14ac:dyDescent="0.3">
      <c r="A281">
        <v>279</v>
      </c>
      <c r="B281">
        <v>5263</v>
      </c>
      <c r="C281" t="b">
        <v>1</v>
      </c>
      <c r="D281">
        <v>8077</v>
      </c>
      <c r="E281">
        <v>8129</v>
      </c>
      <c r="F281">
        <v>243.13333</v>
      </c>
      <c r="G281">
        <v>216.06666999999999</v>
      </c>
      <c r="H281">
        <v>1.12527</v>
      </c>
      <c r="I281">
        <v>-0.12526998</v>
      </c>
      <c r="J281">
        <v>0.47052844999999999</v>
      </c>
    </row>
    <row r="282" spans="1:10" x14ac:dyDescent="0.3">
      <c r="A282">
        <v>280</v>
      </c>
      <c r="B282">
        <v>5279</v>
      </c>
      <c r="C282" t="b">
        <v>1</v>
      </c>
      <c r="D282">
        <v>8065</v>
      </c>
      <c r="E282">
        <v>8129</v>
      </c>
      <c r="F282">
        <v>242.8</v>
      </c>
      <c r="G282">
        <v>215.73334</v>
      </c>
      <c r="H282">
        <v>1.1254635</v>
      </c>
      <c r="I282">
        <v>-0.12546352999999999</v>
      </c>
      <c r="J282">
        <v>0.47048562999999999</v>
      </c>
    </row>
    <row r="283" spans="1:10" x14ac:dyDescent="0.3">
      <c r="A283">
        <v>281</v>
      </c>
      <c r="B283">
        <v>5295</v>
      </c>
      <c r="C283" t="b">
        <v>1</v>
      </c>
      <c r="D283">
        <v>8083</v>
      </c>
      <c r="E283">
        <v>8099</v>
      </c>
      <c r="F283">
        <v>243.2</v>
      </c>
      <c r="G283">
        <v>215.4</v>
      </c>
      <c r="H283">
        <v>1.1290621999999999</v>
      </c>
      <c r="I283">
        <v>-0.12906222000000001</v>
      </c>
      <c r="J283">
        <v>0.46969038000000002</v>
      </c>
    </row>
    <row r="284" spans="1:10" x14ac:dyDescent="0.3">
      <c r="A284">
        <v>282</v>
      </c>
      <c r="B284">
        <v>5311</v>
      </c>
      <c r="C284" t="b">
        <v>1</v>
      </c>
      <c r="D284">
        <v>8071</v>
      </c>
      <c r="E284">
        <v>8129</v>
      </c>
      <c r="F284">
        <v>243.2</v>
      </c>
      <c r="G284">
        <v>215.06666999999999</v>
      </c>
      <c r="H284">
        <v>1.1308122</v>
      </c>
      <c r="I284">
        <v>-0.13081213999999999</v>
      </c>
      <c r="J284">
        <v>0.46930462000000001</v>
      </c>
    </row>
    <row r="285" spans="1:10" x14ac:dyDescent="0.3">
      <c r="A285">
        <v>283</v>
      </c>
      <c r="B285">
        <v>5327</v>
      </c>
      <c r="C285" t="b">
        <v>1</v>
      </c>
      <c r="D285">
        <v>8077</v>
      </c>
      <c r="E285">
        <v>8164</v>
      </c>
      <c r="F285">
        <v>243.2</v>
      </c>
      <c r="G285">
        <v>214.33332999999999</v>
      </c>
      <c r="H285">
        <v>1.1346811999999999</v>
      </c>
      <c r="I285">
        <v>-0.1346812</v>
      </c>
      <c r="J285">
        <v>0.46845403000000002</v>
      </c>
    </row>
    <row r="286" spans="1:10" x14ac:dyDescent="0.3">
      <c r="A286">
        <v>284</v>
      </c>
      <c r="B286">
        <v>5342</v>
      </c>
      <c r="C286" t="b">
        <v>1</v>
      </c>
      <c r="D286">
        <v>8054</v>
      </c>
      <c r="E286">
        <v>8129</v>
      </c>
      <c r="F286">
        <v>242.8</v>
      </c>
      <c r="G286">
        <v>213.6</v>
      </c>
      <c r="H286">
        <v>1.1367041</v>
      </c>
      <c r="I286">
        <v>-0.1367041</v>
      </c>
      <c r="J286">
        <v>0.46801050999999999</v>
      </c>
    </row>
    <row r="287" spans="1:10" x14ac:dyDescent="0.3">
      <c r="A287">
        <v>285</v>
      </c>
      <c r="B287">
        <v>5358</v>
      </c>
      <c r="C287" t="b">
        <v>1</v>
      </c>
      <c r="D287">
        <v>8094</v>
      </c>
      <c r="E287">
        <v>8146</v>
      </c>
      <c r="F287">
        <v>242.8</v>
      </c>
      <c r="G287">
        <v>213.26666</v>
      </c>
      <c r="H287">
        <v>1.1384808</v>
      </c>
      <c r="I287">
        <v>-0.13848081000000001</v>
      </c>
      <c r="J287">
        <v>0.46762169999999997</v>
      </c>
    </row>
    <row r="288" spans="1:10" x14ac:dyDescent="0.3">
      <c r="A288">
        <v>286</v>
      </c>
      <c r="B288">
        <v>5374</v>
      </c>
      <c r="C288" t="b">
        <v>1</v>
      </c>
      <c r="D288">
        <v>8083</v>
      </c>
      <c r="E288">
        <v>8129</v>
      </c>
      <c r="F288">
        <v>242.8</v>
      </c>
      <c r="G288">
        <v>212.93333000000001</v>
      </c>
      <c r="H288">
        <v>1.140263</v>
      </c>
      <c r="I288">
        <v>-0.140263</v>
      </c>
      <c r="J288">
        <v>0.46723229999999999</v>
      </c>
    </row>
    <row r="289" spans="1:10" x14ac:dyDescent="0.3">
      <c r="A289">
        <v>287</v>
      </c>
      <c r="B289">
        <v>5390</v>
      </c>
      <c r="C289" t="b">
        <v>1</v>
      </c>
      <c r="D289">
        <v>8088</v>
      </c>
      <c r="E289">
        <v>8182</v>
      </c>
      <c r="F289">
        <v>242.06666999999999</v>
      </c>
      <c r="G289">
        <v>213.73334</v>
      </c>
      <c r="H289">
        <v>1.1325639999999999</v>
      </c>
      <c r="I289">
        <v>-0.13256392</v>
      </c>
      <c r="J289">
        <v>0.46891913000000002</v>
      </c>
    </row>
    <row r="290" spans="1:10" x14ac:dyDescent="0.3">
      <c r="A290">
        <v>288</v>
      </c>
      <c r="B290">
        <v>5406</v>
      </c>
      <c r="C290" t="b">
        <v>1</v>
      </c>
      <c r="D290">
        <v>8077</v>
      </c>
      <c r="E290">
        <v>8105</v>
      </c>
      <c r="F290">
        <v>241.33332999999999</v>
      </c>
      <c r="G290">
        <v>213.4</v>
      </c>
      <c r="H290">
        <v>1.1308966</v>
      </c>
      <c r="I290">
        <v>-0.1308966</v>
      </c>
      <c r="J290">
        <v>0.46928602000000003</v>
      </c>
    </row>
    <row r="291" spans="1:10" x14ac:dyDescent="0.3">
      <c r="A291">
        <v>289</v>
      </c>
      <c r="B291">
        <v>5422</v>
      </c>
      <c r="C291" t="b">
        <v>1</v>
      </c>
      <c r="D291">
        <v>8071</v>
      </c>
      <c r="E291">
        <v>8129</v>
      </c>
      <c r="F291">
        <v>240.6</v>
      </c>
      <c r="G291">
        <v>213.06666999999999</v>
      </c>
      <c r="H291">
        <v>1.1292241000000001</v>
      </c>
      <c r="I291">
        <v>-0.12922406</v>
      </c>
      <c r="J291">
        <v>0.46965465000000001</v>
      </c>
    </row>
    <row r="292" spans="1:10" x14ac:dyDescent="0.3">
      <c r="A292">
        <v>290</v>
      </c>
      <c r="B292">
        <v>5438</v>
      </c>
      <c r="C292" t="b">
        <v>1</v>
      </c>
      <c r="D292">
        <v>8023</v>
      </c>
      <c r="E292">
        <v>8146</v>
      </c>
      <c r="F292">
        <v>240.2</v>
      </c>
      <c r="G292">
        <v>212.73334</v>
      </c>
      <c r="H292">
        <v>1.1291131000000001</v>
      </c>
      <c r="I292">
        <v>-0.12911310000000001</v>
      </c>
      <c r="J292">
        <v>0.46967912000000001</v>
      </c>
    </row>
    <row r="293" spans="1:10" x14ac:dyDescent="0.3">
      <c r="A293">
        <v>291</v>
      </c>
      <c r="B293">
        <v>5453</v>
      </c>
      <c r="C293" t="b">
        <v>1</v>
      </c>
      <c r="D293">
        <v>8065</v>
      </c>
      <c r="E293">
        <v>8123</v>
      </c>
      <c r="F293">
        <v>239.4</v>
      </c>
      <c r="G293">
        <v>212.73334</v>
      </c>
      <c r="H293">
        <v>1.1253525</v>
      </c>
      <c r="I293">
        <v>-0.12535250000000001</v>
      </c>
      <c r="J293">
        <v>0.47051018</v>
      </c>
    </row>
    <row r="294" spans="1:10" x14ac:dyDescent="0.3">
      <c r="A294">
        <v>292</v>
      </c>
      <c r="B294">
        <v>5469</v>
      </c>
      <c r="C294" t="b">
        <v>1</v>
      </c>
      <c r="D294">
        <v>8065</v>
      </c>
      <c r="E294">
        <v>8134</v>
      </c>
      <c r="F294">
        <v>238.2</v>
      </c>
      <c r="G294">
        <v>213.53334000000001</v>
      </c>
      <c r="H294">
        <v>1.1155166999999999</v>
      </c>
      <c r="I294">
        <v>-0.115516655</v>
      </c>
      <c r="J294">
        <v>0.47269776000000002</v>
      </c>
    </row>
    <row r="295" spans="1:10" x14ac:dyDescent="0.3">
      <c r="A295">
        <v>293</v>
      </c>
      <c r="B295">
        <v>5485</v>
      </c>
      <c r="C295" t="b">
        <v>1</v>
      </c>
      <c r="D295">
        <v>8054</v>
      </c>
      <c r="E295">
        <v>8111</v>
      </c>
      <c r="F295">
        <v>237</v>
      </c>
      <c r="G295">
        <v>214.33332999999999</v>
      </c>
      <c r="H295">
        <v>1.1057543000000001</v>
      </c>
      <c r="I295">
        <v>-0.1057543</v>
      </c>
      <c r="J295">
        <v>0.47488922</v>
      </c>
    </row>
    <row r="296" spans="1:10" x14ac:dyDescent="0.3">
      <c r="A296">
        <v>294</v>
      </c>
      <c r="B296">
        <v>5517</v>
      </c>
      <c r="C296" t="b">
        <v>1</v>
      </c>
      <c r="D296">
        <v>8083</v>
      </c>
      <c r="E296">
        <v>8134</v>
      </c>
      <c r="F296">
        <v>235.8</v>
      </c>
      <c r="G296">
        <v>215.46665999999999</v>
      </c>
      <c r="H296">
        <v>1.0943688</v>
      </c>
      <c r="I296">
        <v>-9.4368859999999999E-2</v>
      </c>
      <c r="J296">
        <v>0.47747082000000002</v>
      </c>
    </row>
    <row r="297" spans="1:10" x14ac:dyDescent="0.3">
      <c r="A297">
        <v>295</v>
      </c>
      <c r="B297">
        <v>5533</v>
      </c>
      <c r="C297" t="b">
        <v>1</v>
      </c>
      <c r="D297">
        <v>8100</v>
      </c>
      <c r="E297">
        <v>8140</v>
      </c>
      <c r="F297">
        <v>234.6</v>
      </c>
      <c r="G297">
        <v>215.8</v>
      </c>
      <c r="H297">
        <v>1.0871177000000001</v>
      </c>
      <c r="I297">
        <v>-8.7117719999999996E-2</v>
      </c>
      <c r="J297">
        <v>0.47912964000000002</v>
      </c>
    </row>
    <row r="298" spans="1:10" x14ac:dyDescent="0.3">
      <c r="A298">
        <v>296</v>
      </c>
      <c r="B298">
        <v>5549</v>
      </c>
      <c r="C298" t="b">
        <v>1</v>
      </c>
      <c r="D298">
        <v>8111</v>
      </c>
      <c r="E298">
        <v>8146</v>
      </c>
      <c r="F298">
        <v>234.6</v>
      </c>
      <c r="G298">
        <v>216.13333</v>
      </c>
      <c r="H298">
        <v>1.0854410999999999</v>
      </c>
      <c r="I298">
        <v>-8.5441130000000004E-2</v>
      </c>
      <c r="J298">
        <v>0.47951486999999998</v>
      </c>
    </row>
    <row r="299" spans="1:10" x14ac:dyDescent="0.3">
      <c r="A299">
        <v>297</v>
      </c>
      <c r="B299">
        <v>5565</v>
      </c>
      <c r="C299" t="b">
        <v>1</v>
      </c>
      <c r="D299">
        <v>8077</v>
      </c>
      <c r="E299">
        <v>8146</v>
      </c>
      <c r="F299">
        <v>235</v>
      </c>
      <c r="G299">
        <v>216.86667</v>
      </c>
      <c r="H299">
        <v>1.0836151000000001</v>
      </c>
      <c r="I299">
        <v>-8.3615120000000001E-2</v>
      </c>
      <c r="J299">
        <v>0.47993508000000001</v>
      </c>
    </row>
    <row r="300" spans="1:10" x14ac:dyDescent="0.3">
      <c r="A300">
        <v>298</v>
      </c>
      <c r="B300">
        <v>5580</v>
      </c>
      <c r="C300" t="b">
        <v>1</v>
      </c>
      <c r="D300">
        <v>8065</v>
      </c>
      <c r="E300">
        <v>8140</v>
      </c>
      <c r="F300">
        <v>235.4</v>
      </c>
      <c r="G300">
        <v>217.6</v>
      </c>
      <c r="H300">
        <v>1.0818014</v>
      </c>
      <c r="I300">
        <v>-8.1801414000000003E-2</v>
      </c>
      <c r="J300">
        <v>0.48035319999999998</v>
      </c>
    </row>
    <row r="301" spans="1:10" x14ac:dyDescent="0.3">
      <c r="A301">
        <v>299</v>
      </c>
      <c r="B301">
        <v>5596</v>
      </c>
      <c r="C301" t="b">
        <v>1</v>
      </c>
      <c r="D301">
        <v>8077</v>
      </c>
      <c r="E301">
        <v>8170</v>
      </c>
      <c r="F301">
        <v>235.8</v>
      </c>
      <c r="G301">
        <v>218.73334</v>
      </c>
      <c r="H301">
        <v>1.078025</v>
      </c>
      <c r="I301">
        <v>-7.8024979999999994E-2</v>
      </c>
      <c r="J301">
        <v>0.48122618</v>
      </c>
    </row>
    <row r="302" spans="1:10" x14ac:dyDescent="0.3">
      <c r="A302">
        <v>300</v>
      </c>
      <c r="B302">
        <v>5612</v>
      </c>
      <c r="C302" t="b">
        <v>1</v>
      </c>
      <c r="D302">
        <v>8083</v>
      </c>
      <c r="E302">
        <v>8129</v>
      </c>
      <c r="F302">
        <v>235.8</v>
      </c>
      <c r="G302">
        <v>219.86667</v>
      </c>
      <c r="H302">
        <v>1.0724682000000001</v>
      </c>
      <c r="I302">
        <v>-7.2468169999999998E-2</v>
      </c>
      <c r="J302">
        <v>0.48251643999999999</v>
      </c>
    </row>
    <row r="303" spans="1:10" x14ac:dyDescent="0.3">
      <c r="A303">
        <v>301</v>
      </c>
      <c r="B303">
        <v>5628</v>
      </c>
      <c r="C303" t="b">
        <v>1</v>
      </c>
      <c r="D303">
        <v>8077</v>
      </c>
      <c r="E303">
        <v>8152</v>
      </c>
      <c r="F303">
        <v>235.8</v>
      </c>
      <c r="G303">
        <v>221</v>
      </c>
      <c r="H303">
        <v>1.0669683000000001</v>
      </c>
      <c r="I303">
        <v>-6.6968340000000001E-2</v>
      </c>
      <c r="J303">
        <v>0.48380034999999999</v>
      </c>
    </row>
    <row r="304" spans="1:10" x14ac:dyDescent="0.3">
      <c r="A304">
        <v>302</v>
      </c>
      <c r="B304">
        <v>5644</v>
      </c>
      <c r="C304" t="b">
        <v>1</v>
      </c>
      <c r="D304">
        <v>8071</v>
      </c>
      <c r="E304">
        <v>8152</v>
      </c>
      <c r="F304">
        <v>235.4</v>
      </c>
      <c r="G304">
        <v>221.4</v>
      </c>
      <c r="H304">
        <v>1.063234</v>
      </c>
      <c r="I304">
        <v>-6.3233964000000004E-2</v>
      </c>
      <c r="J304">
        <v>0.484676</v>
      </c>
    </row>
    <row r="305" spans="1:10" x14ac:dyDescent="0.3">
      <c r="A305">
        <v>303</v>
      </c>
      <c r="B305">
        <v>5660</v>
      </c>
      <c r="C305" t="b">
        <v>1</v>
      </c>
      <c r="D305">
        <v>8083</v>
      </c>
      <c r="E305">
        <v>8146</v>
      </c>
      <c r="F305">
        <v>235</v>
      </c>
      <c r="G305">
        <v>222.93333000000001</v>
      </c>
      <c r="H305">
        <v>1.0541267000000001</v>
      </c>
      <c r="I305">
        <v>-5.4126788000000002E-2</v>
      </c>
      <c r="J305">
        <v>0.48682483999999998</v>
      </c>
    </row>
    <row r="306" spans="1:10" x14ac:dyDescent="0.3">
      <c r="A306">
        <v>304</v>
      </c>
      <c r="B306">
        <v>5676</v>
      </c>
      <c r="C306" t="b">
        <v>1</v>
      </c>
      <c r="D306">
        <v>8083</v>
      </c>
      <c r="E306">
        <v>8140</v>
      </c>
      <c r="F306">
        <v>235</v>
      </c>
      <c r="G306">
        <v>224.06666999999999</v>
      </c>
      <c r="H306">
        <v>1.0487949999999999</v>
      </c>
      <c r="I306">
        <v>-4.8795007000000001E-2</v>
      </c>
      <c r="J306">
        <v>0.48809180000000002</v>
      </c>
    </row>
    <row r="307" spans="1:10" x14ac:dyDescent="0.3">
      <c r="A307">
        <v>305</v>
      </c>
      <c r="B307">
        <v>5692</v>
      </c>
      <c r="C307" t="b">
        <v>1</v>
      </c>
      <c r="D307">
        <v>8071</v>
      </c>
      <c r="E307">
        <v>8152</v>
      </c>
      <c r="F307">
        <v>235</v>
      </c>
      <c r="G307">
        <v>225.6</v>
      </c>
      <c r="H307">
        <v>1.0416666000000001</v>
      </c>
      <c r="I307">
        <v>-4.1666637999999999E-2</v>
      </c>
      <c r="J307">
        <v>0.48979592</v>
      </c>
    </row>
    <row r="308" spans="1:10" x14ac:dyDescent="0.3">
      <c r="A308">
        <v>306</v>
      </c>
      <c r="B308">
        <v>5707</v>
      </c>
      <c r="C308" t="b">
        <v>1</v>
      </c>
      <c r="D308">
        <v>8083</v>
      </c>
      <c r="E308">
        <v>8164</v>
      </c>
      <c r="F308">
        <v>235.8</v>
      </c>
      <c r="G308">
        <v>227.13333</v>
      </c>
      <c r="H308">
        <v>1.0381567</v>
      </c>
      <c r="I308">
        <v>-3.8156759999999998E-2</v>
      </c>
      <c r="J308">
        <v>0.4906394</v>
      </c>
    </row>
    <row r="309" spans="1:10" x14ac:dyDescent="0.3">
      <c r="A309">
        <v>307</v>
      </c>
      <c r="B309">
        <v>5724</v>
      </c>
      <c r="C309" t="b">
        <v>1</v>
      </c>
      <c r="D309">
        <v>8088</v>
      </c>
      <c r="E309">
        <v>8164</v>
      </c>
      <c r="F309">
        <v>237</v>
      </c>
      <c r="G309">
        <v>228.66667000000001</v>
      </c>
      <c r="H309">
        <v>1.0364431000000001</v>
      </c>
      <c r="I309">
        <v>-3.6443125E-2</v>
      </c>
      <c r="J309">
        <v>0.49105223999999997</v>
      </c>
    </row>
    <row r="310" spans="1:10" x14ac:dyDescent="0.3">
      <c r="A310">
        <v>308</v>
      </c>
      <c r="B310">
        <v>5740</v>
      </c>
      <c r="C310" t="b">
        <v>1</v>
      </c>
      <c r="D310">
        <v>8094</v>
      </c>
      <c r="E310">
        <v>8140</v>
      </c>
      <c r="F310">
        <v>238.2</v>
      </c>
      <c r="G310">
        <v>230.2</v>
      </c>
      <c r="H310">
        <v>1.0347523999999999</v>
      </c>
      <c r="I310">
        <v>-3.4752390000000001E-2</v>
      </c>
      <c r="J310">
        <v>0.49146030000000002</v>
      </c>
    </row>
    <row r="311" spans="1:10" x14ac:dyDescent="0.3">
      <c r="A311">
        <v>309</v>
      </c>
      <c r="B311">
        <v>5755</v>
      </c>
      <c r="C311" t="b">
        <v>1</v>
      </c>
      <c r="D311">
        <v>8077</v>
      </c>
      <c r="E311">
        <v>8146</v>
      </c>
      <c r="F311">
        <v>239.4</v>
      </c>
      <c r="G311">
        <v>231.4</v>
      </c>
      <c r="H311">
        <v>1.0345721000000001</v>
      </c>
      <c r="I311">
        <v>-3.4572169999999999E-2</v>
      </c>
      <c r="J311">
        <v>0.49150382999999997</v>
      </c>
    </row>
    <row r="312" spans="1:10" x14ac:dyDescent="0.3">
      <c r="A312">
        <v>310</v>
      </c>
      <c r="B312">
        <v>5771</v>
      </c>
      <c r="C312" t="b">
        <v>1</v>
      </c>
      <c r="D312">
        <v>8094</v>
      </c>
      <c r="E312">
        <v>8134</v>
      </c>
      <c r="F312">
        <v>240.93333000000001</v>
      </c>
      <c r="G312">
        <v>232.2</v>
      </c>
      <c r="H312">
        <v>1.0376112</v>
      </c>
      <c r="I312">
        <v>-3.7611272000000001E-2</v>
      </c>
      <c r="J312">
        <v>0.49077075999999997</v>
      </c>
    </row>
    <row r="313" spans="1:10" x14ac:dyDescent="0.3">
      <c r="A313">
        <v>311</v>
      </c>
      <c r="B313">
        <v>5787</v>
      </c>
      <c r="C313" t="b">
        <v>1</v>
      </c>
      <c r="D313">
        <v>8065</v>
      </c>
      <c r="E313">
        <v>8134</v>
      </c>
      <c r="F313">
        <v>241.26666</v>
      </c>
      <c r="G313">
        <v>232.6</v>
      </c>
      <c r="H313">
        <v>1.0372599</v>
      </c>
      <c r="I313">
        <v>-3.7259913999999998E-2</v>
      </c>
      <c r="J313">
        <v>0.4908554</v>
      </c>
    </row>
    <row r="314" spans="1:10" x14ac:dyDescent="0.3">
      <c r="A314">
        <v>312</v>
      </c>
      <c r="B314">
        <v>5819</v>
      </c>
      <c r="C314" t="b">
        <v>1</v>
      </c>
      <c r="D314">
        <v>8077</v>
      </c>
      <c r="E314">
        <v>8140</v>
      </c>
      <c r="F314">
        <v>240.86667</v>
      </c>
      <c r="G314">
        <v>232.6</v>
      </c>
      <c r="H314">
        <v>1.0355402</v>
      </c>
      <c r="I314">
        <v>-3.5540250000000002E-2</v>
      </c>
      <c r="J314">
        <v>0.49127007</v>
      </c>
    </row>
    <row r="315" spans="1:10" x14ac:dyDescent="0.3">
      <c r="A315">
        <v>313</v>
      </c>
      <c r="B315">
        <v>5851</v>
      </c>
      <c r="C315" t="b">
        <v>1</v>
      </c>
      <c r="D315">
        <v>8083</v>
      </c>
      <c r="E315">
        <v>8146</v>
      </c>
      <c r="F315">
        <v>240.46665999999999</v>
      </c>
      <c r="G315">
        <v>232.6</v>
      </c>
      <c r="H315">
        <v>1.0338205</v>
      </c>
      <c r="I315">
        <v>-3.382052E-2</v>
      </c>
      <c r="J315">
        <v>0.49168548000000001</v>
      </c>
    </row>
    <row r="316" spans="1:10" x14ac:dyDescent="0.3">
      <c r="A316">
        <v>314</v>
      </c>
      <c r="B316">
        <v>5867</v>
      </c>
      <c r="C316" t="b">
        <v>1</v>
      </c>
      <c r="D316">
        <v>8071</v>
      </c>
      <c r="E316">
        <v>8129</v>
      </c>
      <c r="F316">
        <v>240.46665999999999</v>
      </c>
      <c r="G316">
        <v>231.8</v>
      </c>
      <c r="H316">
        <v>1.0373886000000001</v>
      </c>
      <c r="I316">
        <v>-3.7388507000000001E-2</v>
      </c>
      <c r="J316">
        <v>0.49082439999999999</v>
      </c>
    </row>
    <row r="317" spans="1:10" x14ac:dyDescent="0.3">
      <c r="A317">
        <v>315</v>
      </c>
      <c r="B317">
        <v>5883</v>
      </c>
      <c r="C317" t="b">
        <v>1</v>
      </c>
      <c r="D317">
        <v>8100</v>
      </c>
      <c r="E317">
        <v>8129</v>
      </c>
      <c r="F317">
        <v>240.46665999999999</v>
      </c>
      <c r="G317">
        <v>231</v>
      </c>
      <c r="H317">
        <v>1.0409812000000001</v>
      </c>
      <c r="I317">
        <v>-4.0981209999999997E-2</v>
      </c>
      <c r="J317">
        <v>0.48996040000000002</v>
      </c>
    </row>
    <row r="318" spans="1:10" x14ac:dyDescent="0.3">
      <c r="A318">
        <v>316</v>
      </c>
      <c r="B318">
        <v>5899</v>
      </c>
      <c r="C318" t="b">
        <v>1</v>
      </c>
      <c r="D318">
        <v>8094</v>
      </c>
      <c r="E318">
        <v>8164</v>
      </c>
      <c r="F318">
        <v>240.86667</v>
      </c>
      <c r="G318">
        <v>230.6</v>
      </c>
      <c r="H318">
        <v>1.0445215999999999</v>
      </c>
      <c r="I318">
        <v>-4.4521518000000003E-2</v>
      </c>
      <c r="J318">
        <v>0.48911199999999999</v>
      </c>
    </row>
    <row r="319" spans="1:10" x14ac:dyDescent="0.3">
      <c r="A319">
        <v>317</v>
      </c>
      <c r="B319">
        <v>5915</v>
      </c>
      <c r="C319" t="b">
        <v>1</v>
      </c>
      <c r="D319">
        <v>8060</v>
      </c>
      <c r="E319">
        <v>8129</v>
      </c>
      <c r="F319">
        <v>241.26666</v>
      </c>
      <c r="G319">
        <v>229.06666999999999</v>
      </c>
      <c r="H319">
        <v>1.0532596000000001</v>
      </c>
      <c r="I319">
        <v>-5.3259593000000001E-2</v>
      </c>
      <c r="J319">
        <v>0.48703049999999998</v>
      </c>
    </row>
    <row r="320" spans="1:10" x14ac:dyDescent="0.3">
      <c r="A320">
        <v>318</v>
      </c>
      <c r="B320">
        <v>5931</v>
      </c>
      <c r="C320" t="b">
        <v>1</v>
      </c>
      <c r="D320">
        <v>8060</v>
      </c>
      <c r="E320">
        <v>8152</v>
      </c>
      <c r="F320">
        <v>240.86667</v>
      </c>
      <c r="G320">
        <v>227.53334000000001</v>
      </c>
      <c r="H320">
        <v>1.0585994999999999</v>
      </c>
      <c r="I320">
        <v>-5.8599449999999997E-2</v>
      </c>
      <c r="J320">
        <v>0.48576712999999999</v>
      </c>
    </row>
    <row r="321" spans="1:10" x14ac:dyDescent="0.3">
      <c r="A321">
        <v>319</v>
      </c>
      <c r="B321">
        <v>5947</v>
      </c>
      <c r="C321" t="b">
        <v>1</v>
      </c>
      <c r="D321">
        <v>8083</v>
      </c>
      <c r="E321">
        <v>8123</v>
      </c>
      <c r="F321">
        <v>240.86667</v>
      </c>
      <c r="G321">
        <v>226.4</v>
      </c>
      <c r="H321">
        <v>1.0638987</v>
      </c>
      <c r="I321">
        <v>-6.3898739999999996E-2</v>
      </c>
      <c r="J321">
        <v>0.4845199</v>
      </c>
    </row>
    <row r="322" spans="1:10" x14ac:dyDescent="0.3">
      <c r="A322">
        <v>320</v>
      </c>
      <c r="B322">
        <v>5963</v>
      </c>
      <c r="C322" t="b">
        <v>1</v>
      </c>
      <c r="D322">
        <v>8077</v>
      </c>
      <c r="E322">
        <v>8140</v>
      </c>
      <c r="F322">
        <v>240.86667</v>
      </c>
      <c r="G322">
        <v>225.6</v>
      </c>
      <c r="H322">
        <v>1.0676714</v>
      </c>
      <c r="I322">
        <v>-6.7671369999999995E-2</v>
      </c>
      <c r="J322">
        <v>0.48363583999999998</v>
      </c>
    </row>
    <row r="323" spans="1:10" x14ac:dyDescent="0.3">
      <c r="A323">
        <v>321</v>
      </c>
      <c r="B323">
        <v>5995</v>
      </c>
      <c r="C323" t="b">
        <v>1</v>
      </c>
      <c r="D323">
        <v>8048</v>
      </c>
      <c r="E323">
        <v>8146</v>
      </c>
      <c r="F323">
        <v>239.33332999999999</v>
      </c>
      <c r="G323">
        <v>224.8</v>
      </c>
      <c r="H323">
        <v>1.0646500000000001</v>
      </c>
      <c r="I323">
        <v>-6.4650020000000002E-2</v>
      </c>
      <c r="J323">
        <v>0.48434359999999999</v>
      </c>
    </row>
    <row r="324" spans="1:10" x14ac:dyDescent="0.3">
      <c r="A324">
        <v>322</v>
      </c>
      <c r="B324">
        <v>6010</v>
      </c>
      <c r="C324" t="b">
        <v>1</v>
      </c>
      <c r="D324">
        <v>8106</v>
      </c>
      <c r="E324">
        <v>8134</v>
      </c>
      <c r="F324">
        <v>238.93333000000001</v>
      </c>
      <c r="G324">
        <v>224</v>
      </c>
      <c r="H324">
        <v>1.0666667000000001</v>
      </c>
      <c r="I324">
        <v>-6.6666669999999997E-2</v>
      </c>
      <c r="J324">
        <v>0.48387095000000002</v>
      </c>
    </row>
    <row r="325" spans="1:10" x14ac:dyDescent="0.3">
      <c r="A325">
        <v>323</v>
      </c>
      <c r="B325">
        <v>6026</v>
      </c>
      <c r="C325" t="b">
        <v>1</v>
      </c>
      <c r="D325">
        <v>8100</v>
      </c>
      <c r="E325">
        <v>8140</v>
      </c>
      <c r="F325">
        <v>238.93333000000001</v>
      </c>
      <c r="G325">
        <v>223.2</v>
      </c>
      <c r="H325">
        <v>1.0704899000000001</v>
      </c>
      <c r="I325">
        <v>-7.0489860000000001E-2</v>
      </c>
      <c r="J325">
        <v>0.48297748000000001</v>
      </c>
    </row>
    <row r="326" spans="1:10" x14ac:dyDescent="0.3">
      <c r="A326">
        <v>324</v>
      </c>
      <c r="B326">
        <v>6042</v>
      </c>
      <c r="C326" t="b">
        <v>1</v>
      </c>
      <c r="D326">
        <v>8060</v>
      </c>
      <c r="E326">
        <v>8146</v>
      </c>
      <c r="F326">
        <v>238.53334000000001</v>
      </c>
      <c r="G326">
        <v>222.4</v>
      </c>
      <c r="H326">
        <v>1.0725420999999999</v>
      </c>
      <c r="I326">
        <v>-7.2542029999999993E-2</v>
      </c>
      <c r="J326">
        <v>0.48249924</v>
      </c>
    </row>
    <row r="327" spans="1:10" x14ac:dyDescent="0.3">
      <c r="A327">
        <v>325</v>
      </c>
      <c r="B327">
        <v>6073</v>
      </c>
      <c r="C327" t="b">
        <v>1</v>
      </c>
      <c r="D327">
        <v>8083</v>
      </c>
      <c r="E327">
        <v>8152</v>
      </c>
      <c r="F327">
        <v>238.2</v>
      </c>
      <c r="G327">
        <v>222.4</v>
      </c>
      <c r="H327">
        <v>1.0710431</v>
      </c>
      <c r="I327">
        <v>-7.1043179999999997E-2</v>
      </c>
      <c r="J327">
        <v>0.48284846999999997</v>
      </c>
    </row>
    <row r="328" spans="1:10" x14ac:dyDescent="0.3">
      <c r="A328">
        <v>326</v>
      </c>
      <c r="B328">
        <v>6089</v>
      </c>
      <c r="C328" t="b">
        <v>1</v>
      </c>
      <c r="D328">
        <v>8077</v>
      </c>
      <c r="E328">
        <v>8140</v>
      </c>
      <c r="F328">
        <v>237.86667</v>
      </c>
      <c r="G328">
        <v>222.4</v>
      </c>
      <c r="H328">
        <v>1.0695444000000001</v>
      </c>
      <c r="I328">
        <v>-6.9544405000000004E-2</v>
      </c>
      <c r="J328">
        <v>0.48319814</v>
      </c>
    </row>
    <row r="329" spans="1:10" x14ac:dyDescent="0.3">
      <c r="A329">
        <v>327</v>
      </c>
      <c r="B329">
        <v>6105</v>
      </c>
      <c r="C329" t="b">
        <v>1</v>
      </c>
      <c r="D329">
        <v>8054</v>
      </c>
      <c r="E329">
        <v>8164</v>
      </c>
      <c r="F329">
        <v>237.86667</v>
      </c>
      <c r="G329">
        <v>222.8</v>
      </c>
      <c r="H329">
        <v>1.0676242</v>
      </c>
      <c r="I329">
        <v>-6.7624173999999995E-2</v>
      </c>
      <c r="J329">
        <v>0.48364687000000001</v>
      </c>
    </row>
    <row r="330" spans="1:10" x14ac:dyDescent="0.3">
      <c r="A330">
        <v>328</v>
      </c>
      <c r="B330">
        <v>6121</v>
      </c>
      <c r="C330" t="b">
        <v>1</v>
      </c>
      <c r="D330">
        <v>8054</v>
      </c>
      <c r="E330">
        <v>8117</v>
      </c>
      <c r="F330">
        <v>236.73334</v>
      </c>
      <c r="G330">
        <v>223.2</v>
      </c>
      <c r="H330">
        <v>1.0606332999999999</v>
      </c>
      <c r="I330">
        <v>-6.0633246000000002E-2</v>
      </c>
      <c r="J330">
        <v>0.48528769999999999</v>
      </c>
    </row>
    <row r="331" spans="1:10" x14ac:dyDescent="0.3">
      <c r="A331">
        <v>329</v>
      </c>
      <c r="B331">
        <v>6137</v>
      </c>
      <c r="C331" t="b">
        <v>1</v>
      </c>
      <c r="D331">
        <v>8060</v>
      </c>
      <c r="E331">
        <v>8164</v>
      </c>
      <c r="F331">
        <v>235.6</v>
      </c>
      <c r="G331">
        <v>224.4</v>
      </c>
      <c r="H331">
        <v>1.0499109</v>
      </c>
      <c r="I331">
        <v>-4.9910929999999999E-2</v>
      </c>
      <c r="J331">
        <v>0.48782608</v>
      </c>
    </row>
    <row r="332" spans="1:10" x14ac:dyDescent="0.3">
      <c r="A332">
        <v>330</v>
      </c>
      <c r="B332">
        <v>6169</v>
      </c>
      <c r="C332" t="b">
        <v>1</v>
      </c>
      <c r="D332">
        <v>8071</v>
      </c>
      <c r="E332">
        <v>8129</v>
      </c>
      <c r="F332">
        <v>234.46665999999999</v>
      </c>
      <c r="G332">
        <v>224.8</v>
      </c>
      <c r="H332">
        <v>1.0430012</v>
      </c>
      <c r="I332">
        <v>-4.300114E-2</v>
      </c>
      <c r="J332">
        <v>0.48947600000000002</v>
      </c>
    </row>
    <row r="333" spans="1:10" x14ac:dyDescent="0.3">
      <c r="A333">
        <v>331</v>
      </c>
      <c r="B333">
        <v>6201</v>
      </c>
      <c r="C333" t="b">
        <v>1</v>
      </c>
      <c r="D333">
        <v>8083</v>
      </c>
      <c r="E333">
        <v>8129</v>
      </c>
      <c r="F333">
        <v>232.93333000000001</v>
      </c>
      <c r="G333">
        <v>224.06666999999999</v>
      </c>
      <c r="H333">
        <v>1.0395715000000001</v>
      </c>
      <c r="I333">
        <v>-3.9571565000000003E-2</v>
      </c>
      <c r="J333">
        <v>0.49029905000000001</v>
      </c>
    </row>
    <row r="334" spans="1:10" x14ac:dyDescent="0.3">
      <c r="A334">
        <v>332</v>
      </c>
      <c r="B334">
        <v>6233</v>
      </c>
      <c r="C334" t="b">
        <v>1</v>
      </c>
      <c r="D334">
        <v>8077</v>
      </c>
      <c r="E334">
        <v>8152</v>
      </c>
      <c r="F334">
        <v>232.13333</v>
      </c>
      <c r="G334">
        <v>224.06666999999999</v>
      </c>
      <c r="H334">
        <v>1.0360012000000001</v>
      </c>
      <c r="I334">
        <v>-3.6001186999999997E-2</v>
      </c>
      <c r="J334">
        <v>0.49115883999999999</v>
      </c>
    </row>
    <row r="335" spans="1:10" x14ac:dyDescent="0.3">
      <c r="A335">
        <v>333</v>
      </c>
      <c r="B335">
        <v>6248</v>
      </c>
      <c r="C335" t="b">
        <v>1</v>
      </c>
      <c r="D335">
        <v>8071</v>
      </c>
      <c r="E335">
        <v>8164</v>
      </c>
      <c r="F335">
        <v>232.13333</v>
      </c>
      <c r="G335">
        <v>225.6</v>
      </c>
      <c r="H335">
        <v>1.0289598</v>
      </c>
      <c r="I335">
        <v>-2.8959773000000001E-2</v>
      </c>
      <c r="J335">
        <v>0.49286340000000001</v>
      </c>
    </row>
    <row r="336" spans="1:10" x14ac:dyDescent="0.3">
      <c r="A336">
        <v>334</v>
      </c>
      <c r="B336">
        <v>6264</v>
      </c>
      <c r="C336" t="b">
        <v>1</v>
      </c>
      <c r="D336">
        <v>8065</v>
      </c>
      <c r="E336">
        <v>8146</v>
      </c>
      <c r="F336">
        <v>231.33332999999999</v>
      </c>
      <c r="G336">
        <v>226.73334</v>
      </c>
      <c r="H336">
        <v>1.0202880999999999</v>
      </c>
      <c r="I336">
        <v>-2.0288110000000002E-2</v>
      </c>
      <c r="J336">
        <v>0.49497892999999998</v>
      </c>
    </row>
    <row r="337" spans="1:10" x14ac:dyDescent="0.3">
      <c r="A337">
        <v>335</v>
      </c>
      <c r="B337">
        <v>6280</v>
      </c>
      <c r="C337" t="b">
        <v>1</v>
      </c>
      <c r="D337">
        <v>8083</v>
      </c>
      <c r="E337">
        <v>8134</v>
      </c>
      <c r="F337">
        <v>231.33332999999999</v>
      </c>
      <c r="G337">
        <v>227.13333</v>
      </c>
      <c r="H337">
        <v>1.0184914</v>
      </c>
      <c r="I337">
        <v>-1.8491328000000001E-2</v>
      </c>
      <c r="J337">
        <v>0.49541950000000001</v>
      </c>
    </row>
    <row r="338" spans="1:10" x14ac:dyDescent="0.3">
      <c r="A338">
        <v>336</v>
      </c>
      <c r="B338">
        <v>6296</v>
      </c>
      <c r="C338" t="b">
        <v>1</v>
      </c>
      <c r="D338">
        <v>8071</v>
      </c>
      <c r="E338">
        <v>8152</v>
      </c>
      <c r="F338">
        <v>232.06666999999999</v>
      </c>
      <c r="G338">
        <v>227.93333000000001</v>
      </c>
      <c r="H338">
        <v>1.0181340000000001</v>
      </c>
      <c r="I338">
        <v>-1.8133948E-2</v>
      </c>
      <c r="J338">
        <v>0.49550724000000002</v>
      </c>
    </row>
    <row r="339" spans="1:10" x14ac:dyDescent="0.3">
      <c r="A339">
        <v>337</v>
      </c>
      <c r="B339">
        <v>6328</v>
      </c>
      <c r="C339" t="b">
        <v>1</v>
      </c>
      <c r="D339">
        <v>8111</v>
      </c>
      <c r="E339">
        <v>8105</v>
      </c>
      <c r="F339">
        <v>231.66667000000001</v>
      </c>
      <c r="G339">
        <v>228.33332999999999</v>
      </c>
      <c r="H339">
        <v>1.0145986</v>
      </c>
      <c r="I339">
        <v>-1.4598585000000001E-2</v>
      </c>
      <c r="J339">
        <v>0.49637680000000001</v>
      </c>
    </row>
    <row r="340" spans="1:10" x14ac:dyDescent="0.3">
      <c r="A340">
        <v>338</v>
      </c>
      <c r="B340">
        <v>6359</v>
      </c>
      <c r="C340" t="b">
        <v>1</v>
      </c>
      <c r="D340">
        <v>8077</v>
      </c>
      <c r="E340">
        <v>8129</v>
      </c>
      <c r="F340">
        <v>231.26666</v>
      </c>
      <c r="G340">
        <v>227.93333000000001</v>
      </c>
      <c r="H340">
        <v>1.0146241</v>
      </c>
      <c r="I340">
        <v>-1.4624136500000001E-2</v>
      </c>
      <c r="J340">
        <v>0.49637049999999999</v>
      </c>
    </row>
    <row r="341" spans="1:10" x14ac:dyDescent="0.3">
      <c r="A341">
        <v>339</v>
      </c>
      <c r="B341">
        <v>6375</v>
      </c>
      <c r="C341" t="b">
        <v>1</v>
      </c>
      <c r="D341">
        <v>8077</v>
      </c>
      <c r="E341">
        <v>8140</v>
      </c>
      <c r="F341">
        <v>231.26666</v>
      </c>
      <c r="G341">
        <v>227.53334000000001</v>
      </c>
      <c r="H341">
        <v>1.0164078000000001</v>
      </c>
      <c r="I341">
        <v>-1.6407802999999999E-2</v>
      </c>
      <c r="J341">
        <v>0.49593145</v>
      </c>
    </row>
    <row r="342" spans="1:10" x14ac:dyDescent="0.3">
      <c r="A342">
        <v>340</v>
      </c>
      <c r="B342">
        <v>6391</v>
      </c>
      <c r="C342" t="b">
        <v>1</v>
      </c>
      <c r="D342">
        <v>8065</v>
      </c>
      <c r="E342">
        <v>8123</v>
      </c>
      <c r="F342">
        <v>230.86667</v>
      </c>
      <c r="G342">
        <v>226.4</v>
      </c>
      <c r="H342">
        <v>1.0197290999999999</v>
      </c>
      <c r="I342">
        <v>-1.9729130000000001E-2</v>
      </c>
      <c r="J342">
        <v>0.4951159</v>
      </c>
    </row>
    <row r="343" spans="1:10" x14ac:dyDescent="0.3">
      <c r="A343">
        <v>341</v>
      </c>
      <c r="B343">
        <v>6407</v>
      </c>
      <c r="C343" t="b">
        <v>1</v>
      </c>
      <c r="D343">
        <v>8042</v>
      </c>
      <c r="E343">
        <v>8111</v>
      </c>
      <c r="F343">
        <v>230.46665999999999</v>
      </c>
      <c r="G343">
        <v>225.26666</v>
      </c>
      <c r="H343">
        <v>1.0230836999999999</v>
      </c>
      <c r="I343">
        <v>-2.3083738999999999E-2</v>
      </c>
      <c r="J343">
        <v>0.49429487999999999</v>
      </c>
    </row>
    <row r="344" spans="1:10" x14ac:dyDescent="0.3">
      <c r="A344">
        <v>342</v>
      </c>
      <c r="B344">
        <v>6423</v>
      </c>
      <c r="C344" t="b">
        <v>1</v>
      </c>
      <c r="D344">
        <v>8065</v>
      </c>
      <c r="E344">
        <v>8164</v>
      </c>
      <c r="F344">
        <v>229.66667000000001</v>
      </c>
      <c r="G344">
        <v>224.13333</v>
      </c>
      <c r="H344">
        <v>1.0246877999999999</v>
      </c>
      <c r="I344">
        <v>-2.4687719E-2</v>
      </c>
      <c r="J344">
        <v>0.49390334000000002</v>
      </c>
    </row>
    <row r="345" spans="1:10" x14ac:dyDescent="0.3">
      <c r="A345">
        <v>343</v>
      </c>
      <c r="B345">
        <v>6439</v>
      </c>
      <c r="C345" t="b">
        <v>1</v>
      </c>
      <c r="D345">
        <v>8083</v>
      </c>
      <c r="E345">
        <v>8134</v>
      </c>
      <c r="F345">
        <v>230</v>
      </c>
      <c r="G345">
        <v>223.33332999999999</v>
      </c>
      <c r="H345">
        <v>1.0298506999999999</v>
      </c>
      <c r="I345">
        <v>-2.9850769999999999E-2</v>
      </c>
      <c r="J345">
        <v>0.49264708000000001</v>
      </c>
    </row>
    <row r="346" spans="1:10" x14ac:dyDescent="0.3">
      <c r="A346">
        <v>344</v>
      </c>
      <c r="B346">
        <v>6455</v>
      </c>
      <c r="C346" t="b">
        <v>1</v>
      </c>
      <c r="D346">
        <v>8060</v>
      </c>
      <c r="E346">
        <v>8176</v>
      </c>
      <c r="F346">
        <v>230.33332999999999</v>
      </c>
      <c r="G346">
        <v>222.13333</v>
      </c>
      <c r="H346">
        <v>1.0369147000000001</v>
      </c>
      <c r="I346">
        <v>-3.6914750000000003E-2</v>
      </c>
      <c r="J346">
        <v>0.49093853999999998</v>
      </c>
    </row>
    <row r="347" spans="1:10" x14ac:dyDescent="0.3">
      <c r="A347">
        <v>345</v>
      </c>
      <c r="B347">
        <v>6471</v>
      </c>
      <c r="C347" t="b">
        <v>1</v>
      </c>
      <c r="D347">
        <v>8048</v>
      </c>
      <c r="E347">
        <v>8081</v>
      </c>
      <c r="F347">
        <v>230.33332999999999</v>
      </c>
      <c r="G347">
        <v>221.73334</v>
      </c>
      <c r="H347">
        <v>1.0387853</v>
      </c>
      <c r="I347">
        <v>-3.8785286000000002E-2</v>
      </c>
      <c r="J347">
        <v>0.49048814000000002</v>
      </c>
    </row>
    <row r="348" spans="1:10" x14ac:dyDescent="0.3">
      <c r="A348">
        <v>346</v>
      </c>
      <c r="B348">
        <v>6487</v>
      </c>
      <c r="C348" t="b">
        <v>1</v>
      </c>
      <c r="D348">
        <v>8065</v>
      </c>
      <c r="E348">
        <v>8158</v>
      </c>
      <c r="F348">
        <v>230.66667000000001</v>
      </c>
      <c r="G348">
        <v>223.66667000000001</v>
      </c>
      <c r="H348">
        <v>1.0312965999999999</v>
      </c>
      <c r="I348">
        <v>-3.1296570000000003E-2</v>
      </c>
      <c r="J348">
        <v>0.49229640000000002</v>
      </c>
    </row>
    <row r="349" spans="1:10" x14ac:dyDescent="0.3">
      <c r="A349">
        <v>347</v>
      </c>
      <c r="B349">
        <v>6518</v>
      </c>
      <c r="C349" t="b">
        <v>1</v>
      </c>
      <c r="D349">
        <v>8077</v>
      </c>
      <c r="E349">
        <v>8140</v>
      </c>
      <c r="F349">
        <v>230.26666</v>
      </c>
      <c r="G349">
        <v>224.4</v>
      </c>
      <c r="H349">
        <v>1.0261438000000001</v>
      </c>
      <c r="I349">
        <v>-2.6143799999999998E-2</v>
      </c>
      <c r="J349">
        <v>0.4935484</v>
      </c>
    </row>
    <row r="350" spans="1:10" x14ac:dyDescent="0.3">
      <c r="A350">
        <v>348</v>
      </c>
      <c r="B350">
        <v>6534</v>
      </c>
      <c r="C350" t="b">
        <v>1</v>
      </c>
      <c r="D350">
        <v>8060</v>
      </c>
      <c r="E350">
        <v>8105</v>
      </c>
      <c r="F350">
        <v>229.53334000000001</v>
      </c>
      <c r="G350">
        <v>223.6</v>
      </c>
      <c r="H350">
        <v>1.0265355</v>
      </c>
      <c r="I350">
        <v>-2.6535482999999999E-2</v>
      </c>
      <c r="J350">
        <v>0.49345296999999999</v>
      </c>
    </row>
    <row r="351" spans="1:10" x14ac:dyDescent="0.3">
      <c r="A351">
        <v>349</v>
      </c>
      <c r="B351">
        <v>6550</v>
      </c>
      <c r="C351" t="b">
        <v>1</v>
      </c>
      <c r="D351">
        <v>8054</v>
      </c>
      <c r="E351">
        <v>8093</v>
      </c>
      <c r="F351">
        <v>228.8</v>
      </c>
      <c r="G351">
        <v>220.86667</v>
      </c>
      <c r="H351">
        <v>1.0359191000000001</v>
      </c>
      <c r="I351">
        <v>-3.5919109999999997E-2</v>
      </c>
      <c r="J351">
        <v>0.49117863</v>
      </c>
    </row>
    <row r="352" spans="1:10" x14ac:dyDescent="0.3">
      <c r="A352">
        <v>350</v>
      </c>
      <c r="B352">
        <v>6566</v>
      </c>
      <c r="C352" t="b">
        <v>1</v>
      </c>
      <c r="D352">
        <v>8048</v>
      </c>
      <c r="E352">
        <v>8134</v>
      </c>
      <c r="F352">
        <v>227.66667000000001</v>
      </c>
      <c r="G352">
        <v>220.06666999999999</v>
      </c>
      <c r="H352">
        <v>1.034535</v>
      </c>
      <c r="I352">
        <v>-3.4535017000000001E-2</v>
      </c>
      <c r="J352">
        <v>0.49151280000000003</v>
      </c>
    </row>
    <row r="353" spans="1:10" x14ac:dyDescent="0.3">
      <c r="A353">
        <v>351</v>
      </c>
      <c r="B353">
        <v>6582</v>
      </c>
      <c r="C353" t="b">
        <v>1</v>
      </c>
      <c r="D353">
        <v>8048</v>
      </c>
      <c r="E353">
        <v>8140</v>
      </c>
      <c r="F353">
        <v>226.53334000000001</v>
      </c>
      <c r="G353">
        <v>218.86667</v>
      </c>
      <c r="H353">
        <v>1.0350288999999999</v>
      </c>
      <c r="I353">
        <v>-3.5028959999999998E-2</v>
      </c>
      <c r="J353">
        <v>0.49139347999999999</v>
      </c>
    </row>
    <row r="354" spans="1:10" x14ac:dyDescent="0.3">
      <c r="A354">
        <v>352</v>
      </c>
      <c r="B354">
        <v>6598</v>
      </c>
      <c r="C354" t="b">
        <v>1</v>
      </c>
      <c r="D354">
        <v>8042</v>
      </c>
      <c r="E354">
        <v>8134</v>
      </c>
      <c r="F354">
        <v>225</v>
      </c>
      <c r="G354">
        <v>218.06666999999999</v>
      </c>
      <c r="H354">
        <v>1.0317944999999999</v>
      </c>
      <c r="I354">
        <v>-3.1794562999999998E-2</v>
      </c>
      <c r="J354">
        <v>0.49217576000000002</v>
      </c>
    </row>
    <row r="355" spans="1:10" x14ac:dyDescent="0.3">
      <c r="A355">
        <v>353</v>
      </c>
      <c r="B355">
        <v>6614</v>
      </c>
      <c r="C355" t="b">
        <v>1</v>
      </c>
      <c r="D355">
        <v>8030</v>
      </c>
      <c r="E355">
        <v>8140</v>
      </c>
      <c r="F355">
        <v>223.06666999999999</v>
      </c>
      <c r="G355">
        <v>218.06666999999999</v>
      </c>
      <c r="H355">
        <v>1.0229287</v>
      </c>
      <c r="I355">
        <v>-2.2928769000000002E-2</v>
      </c>
      <c r="J355">
        <v>0.49433280000000002</v>
      </c>
    </row>
    <row r="356" spans="1:10" x14ac:dyDescent="0.3">
      <c r="A356">
        <v>354</v>
      </c>
      <c r="B356">
        <v>6630</v>
      </c>
      <c r="C356" t="b">
        <v>1</v>
      </c>
      <c r="D356">
        <v>8106</v>
      </c>
      <c r="E356">
        <v>8140</v>
      </c>
      <c r="F356">
        <v>221.13333</v>
      </c>
      <c r="G356">
        <v>218.46665999999999</v>
      </c>
      <c r="H356">
        <v>1.0122062999999999</v>
      </c>
      <c r="I356">
        <v>-1.22063095E-2</v>
      </c>
      <c r="J356">
        <v>0.49696696000000001</v>
      </c>
    </row>
    <row r="357" spans="1:10" x14ac:dyDescent="0.3">
      <c r="A357">
        <v>355</v>
      </c>
      <c r="B357">
        <v>6662</v>
      </c>
      <c r="C357" t="b">
        <v>1</v>
      </c>
      <c r="D357">
        <v>8071</v>
      </c>
      <c r="E357">
        <v>8140</v>
      </c>
      <c r="F357">
        <v>219.2</v>
      </c>
      <c r="G357">
        <v>219.2</v>
      </c>
      <c r="H357">
        <v>1</v>
      </c>
      <c r="I357">
        <v>0</v>
      </c>
      <c r="J357">
        <v>0.5</v>
      </c>
    </row>
    <row r="358" spans="1:10" x14ac:dyDescent="0.3">
      <c r="A358">
        <v>356</v>
      </c>
      <c r="B358">
        <v>6678</v>
      </c>
      <c r="C358" t="b">
        <v>1</v>
      </c>
      <c r="D358">
        <v>8065</v>
      </c>
      <c r="E358">
        <v>8152</v>
      </c>
      <c r="F358">
        <v>218.4</v>
      </c>
      <c r="G358">
        <v>220.33332999999999</v>
      </c>
      <c r="H358">
        <v>0.99122540000000003</v>
      </c>
      <c r="I358">
        <v>8.7745889999999993E-3</v>
      </c>
      <c r="J358">
        <v>0.50220330000000002</v>
      </c>
    </row>
    <row r="359" spans="1:10" x14ac:dyDescent="0.3">
      <c r="A359">
        <v>357</v>
      </c>
      <c r="B359">
        <v>6693</v>
      </c>
      <c r="C359" t="b">
        <v>1</v>
      </c>
      <c r="D359">
        <v>8065</v>
      </c>
      <c r="E359">
        <v>8134</v>
      </c>
      <c r="F359">
        <v>218.4</v>
      </c>
      <c r="G359">
        <v>221.06666999999999</v>
      </c>
      <c r="H359">
        <v>0.98793730000000002</v>
      </c>
      <c r="I359">
        <v>1.2062748999999999E-2</v>
      </c>
      <c r="J359">
        <v>0.50303399999999998</v>
      </c>
    </row>
    <row r="360" spans="1:10" x14ac:dyDescent="0.3">
      <c r="A360">
        <v>358</v>
      </c>
      <c r="B360">
        <v>6709</v>
      </c>
      <c r="C360" t="b">
        <v>1</v>
      </c>
      <c r="D360">
        <v>8048</v>
      </c>
      <c r="E360">
        <v>8146</v>
      </c>
      <c r="F360">
        <v>218.4</v>
      </c>
      <c r="G360">
        <v>221.46665999999999</v>
      </c>
      <c r="H360">
        <v>0.98615295000000003</v>
      </c>
      <c r="I360">
        <v>1.3847076E-2</v>
      </c>
      <c r="J360">
        <v>0.50348590000000004</v>
      </c>
    </row>
    <row r="361" spans="1:10" x14ac:dyDescent="0.3">
      <c r="A361">
        <v>359</v>
      </c>
      <c r="B361">
        <v>6725</v>
      </c>
      <c r="C361" t="b">
        <v>1</v>
      </c>
      <c r="D361">
        <v>8037</v>
      </c>
      <c r="E361">
        <v>8129</v>
      </c>
      <c r="F361">
        <v>218.4</v>
      </c>
      <c r="G361">
        <v>221.86667</v>
      </c>
      <c r="H361">
        <v>0.98437494000000003</v>
      </c>
      <c r="I361">
        <v>1.5625037000000001E-2</v>
      </c>
      <c r="J361">
        <v>0.50393699999999997</v>
      </c>
    </row>
    <row r="362" spans="1:10" x14ac:dyDescent="0.3">
      <c r="A362">
        <v>360</v>
      </c>
      <c r="B362">
        <v>6741</v>
      </c>
      <c r="C362" t="b">
        <v>1</v>
      </c>
      <c r="D362">
        <v>8100</v>
      </c>
      <c r="E362">
        <v>8152</v>
      </c>
      <c r="F362">
        <v>218.73334</v>
      </c>
      <c r="G362">
        <v>222.66667000000001</v>
      </c>
      <c r="H362">
        <v>0.98233530000000002</v>
      </c>
      <c r="I362">
        <v>1.7664675000000001E-2</v>
      </c>
      <c r="J362">
        <v>0.50445549999999995</v>
      </c>
    </row>
    <row r="363" spans="1:10" x14ac:dyDescent="0.3">
      <c r="A363">
        <v>361</v>
      </c>
      <c r="B363">
        <v>6772</v>
      </c>
      <c r="C363" t="b">
        <v>1</v>
      </c>
      <c r="D363">
        <v>8077</v>
      </c>
      <c r="E363">
        <v>8158</v>
      </c>
      <c r="F363">
        <v>218.73334</v>
      </c>
      <c r="G363">
        <v>221.86667</v>
      </c>
      <c r="H363">
        <v>0.98587740000000001</v>
      </c>
      <c r="I363">
        <v>1.4122587000000001E-2</v>
      </c>
      <c r="J363">
        <v>0.5035558</v>
      </c>
    </row>
    <row r="364" spans="1:10" x14ac:dyDescent="0.3">
      <c r="A364">
        <v>362</v>
      </c>
      <c r="B364">
        <v>6788</v>
      </c>
      <c r="C364" t="b">
        <v>1</v>
      </c>
      <c r="D364">
        <v>8048</v>
      </c>
      <c r="E364">
        <v>8105</v>
      </c>
      <c r="F364">
        <v>217.6</v>
      </c>
      <c r="G364">
        <v>222.26666</v>
      </c>
      <c r="H364">
        <v>0.97900425999999996</v>
      </c>
      <c r="I364">
        <v>2.0995755000000001E-2</v>
      </c>
      <c r="J364">
        <v>0.50530463000000003</v>
      </c>
    </row>
    <row r="365" spans="1:10" x14ac:dyDescent="0.3">
      <c r="A365">
        <v>363</v>
      </c>
      <c r="B365">
        <v>6804</v>
      </c>
      <c r="C365" t="b">
        <v>1</v>
      </c>
      <c r="D365">
        <v>8065</v>
      </c>
      <c r="E365">
        <v>8129</v>
      </c>
      <c r="F365">
        <v>217.93333000000001</v>
      </c>
      <c r="G365">
        <v>221.53334000000001</v>
      </c>
      <c r="H365">
        <v>0.98374956999999996</v>
      </c>
      <c r="I365">
        <v>1.6250404E-2</v>
      </c>
      <c r="J365">
        <v>0.50409585000000001</v>
      </c>
    </row>
    <row r="366" spans="1:10" x14ac:dyDescent="0.3">
      <c r="A366">
        <v>364</v>
      </c>
      <c r="B366">
        <v>6836</v>
      </c>
      <c r="C366" t="b">
        <v>1</v>
      </c>
      <c r="D366">
        <v>8077</v>
      </c>
      <c r="E366">
        <v>8140</v>
      </c>
      <c r="F366">
        <v>219.06666999999999</v>
      </c>
      <c r="G366">
        <v>223.86667</v>
      </c>
      <c r="H366">
        <v>0.97855866000000002</v>
      </c>
      <c r="I366">
        <v>2.1441347999999999E-2</v>
      </c>
      <c r="J366">
        <v>0.50541840000000005</v>
      </c>
    </row>
    <row r="367" spans="1:10" x14ac:dyDescent="0.3">
      <c r="A367">
        <v>365</v>
      </c>
      <c r="B367">
        <v>6868</v>
      </c>
      <c r="C367" t="b">
        <v>1</v>
      </c>
      <c r="D367">
        <v>8100</v>
      </c>
      <c r="E367">
        <v>8123</v>
      </c>
      <c r="F367">
        <v>220.2</v>
      </c>
      <c r="G367">
        <v>223.53334000000001</v>
      </c>
      <c r="H367">
        <v>0.98508792999999994</v>
      </c>
      <c r="I367">
        <v>1.4912063999999999E-2</v>
      </c>
      <c r="J367">
        <v>0.50375605000000001</v>
      </c>
    </row>
    <row r="368" spans="1:10" x14ac:dyDescent="0.3">
      <c r="A368">
        <v>366</v>
      </c>
      <c r="B368">
        <v>6884</v>
      </c>
      <c r="C368" t="b">
        <v>1</v>
      </c>
      <c r="D368">
        <v>8060</v>
      </c>
      <c r="E368">
        <v>8123</v>
      </c>
      <c r="F368">
        <v>220.93333000000001</v>
      </c>
      <c r="G368">
        <v>222.8</v>
      </c>
      <c r="H368">
        <v>0.9916218</v>
      </c>
      <c r="I368">
        <v>8.3782249999999996E-3</v>
      </c>
      <c r="J368">
        <v>0.50210339999999998</v>
      </c>
    </row>
    <row r="369" spans="1:10" x14ac:dyDescent="0.3">
      <c r="A369">
        <v>367</v>
      </c>
      <c r="B369">
        <v>6900</v>
      </c>
      <c r="C369" t="b">
        <v>1</v>
      </c>
      <c r="D369">
        <v>8077</v>
      </c>
      <c r="E369">
        <v>8140</v>
      </c>
      <c r="F369">
        <v>222.86667</v>
      </c>
      <c r="G369">
        <v>222.46665999999999</v>
      </c>
      <c r="H369">
        <v>1.001798</v>
      </c>
      <c r="I369">
        <v>-1.7980634000000001E-3</v>
      </c>
      <c r="J369">
        <v>0.49955090000000002</v>
      </c>
    </row>
    <row r="370" spans="1:10" x14ac:dyDescent="0.3">
      <c r="A370">
        <v>368</v>
      </c>
      <c r="B370">
        <v>6916</v>
      </c>
      <c r="C370" t="b">
        <v>1</v>
      </c>
      <c r="D370">
        <v>8071</v>
      </c>
      <c r="E370">
        <v>8164</v>
      </c>
      <c r="F370">
        <v>224.8</v>
      </c>
      <c r="G370">
        <v>222.86667</v>
      </c>
      <c r="H370">
        <v>1.0086748999999999</v>
      </c>
      <c r="I370">
        <v>-8.6748480000000006E-3</v>
      </c>
      <c r="J370">
        <v>0.49784064</v>
      </c>
    </row>
    <row r="371" spans="1:10" x14ac:dyDescent="0.3">
      <c r="A371">
        <v>369</v>
      </c>
      <c r="B371">
        <v>6932</v>
      </c>
      <c r="C371" t="b">
        <v>1</v>
      </c>
      <c r="D371">
        <v>8077</v>
      </c>
      <c r="E371">
        <v>8117</v>
      </c>
      <c r="F371">
        <v>226.73334</v>
      </c>
      <c r="G371">
        <v>221.73334</v>
      </c>
      <c r="H371">
        <v>1.0225496000000001</v>
      </c>
      <c r="I371">
        <v>-2.2549609000000002E-2</v>
      </c>
      <c r="J371">
        <v>0.49442544999999999</v>
      </c>
    </row>
    <row r="372" spans="1:10" x14ac:dyDescent="0.3">
      <c r="A372">
        <v>370</v>
      </c>
      <c r="B372">
        <v>6948</v>
      </c>
      <c r="C372" t="b">
        <v>1</v>
      </c>
      <c r="D372">
        <v>8065</v>
      </c>
      <c r="E372">
        <v>8129</v>
      </c>
      <c r="F372">
        <v>228.26666</v>
      </c>
      <c r="G372">
        <v>221</v>
      </c>
      <c r="H372">
        <v>1.0328808</v>
      </c>
      <c r="I372">
        <v>-3.2880828000000001E-2</v>
      </c>
      <c r="J372">
        <v>0.49191275000000001</v>
      </c>
    </row>
    <row r="373" spans="1:10" x14ac:dyDescent="0.3">
      <c r="A373">
        <v>371</v>
      </c>
      <c r="B373">
        <v>6964</v>
      </c>
      <c r="C373" t="b">
        <v>1</v>
      </c>
      <c r="D373">
        <v>8071</v>
      </c>
      <c r="E373">
        <v>8140</v>
      </c>
      <c r="F373">
        <v>228.66667000000001</v>
      </c>
      <c r="G373">
        <v>221</v>
      </c>
      <c r="H373">
        <v>1.0346909</v>
      </c>
      <c r="I373">
        <v>-3.4690823000000003E-2</v>
      </c>
      <c r="J373">
        <v>0.49147513999999998</v>
      </c>
    </row>
    <row r="374" spans="1:10" x14ac:dyDescent="0.3">
      <c r="A374">
        <v>372</v>
      </c>
      <c r="B374">
        <v>6980</v>
      </c>
      <c r="C374" t="b">
        <v>1</v>
      </c>
      <c r="D374">
        <v>8071</v>
      </c>
      <c r="E374">
        <v>8099</v>
      </c>
      <c r="F374">
        <v>229.06666999999999</v>
      </c>
      <c r="G374">
        <v>220.26666</v>
      </c>
      <c r="H374">
        <v>1.0399516</v>
      </c>
      <c r="I374">
        <v>-3.9951590000000002E-2</v>
      </c>
      <c r="J374">
        <v>0.49020773000000001</v>
      </c>
    </row>
    <row r="375" spans="1:10" x14ac:dyDescent="0.3">
      <c r="A375">
        <v>373</v>
      </c>
      <c r="B375">
        <v>7011</v>
      </c>
      <c r="C375" t="b">
        <v>1</v>
      </c>
      <c r="D375">
        <v>8100</v>
      </c>
      <c r="E375">
        <v>8140</v>
      </c>
      <c r="F375">
        <v>229.46665999999999</v>
      </c>
      <c r="G375">
        <v>219.53334000000001</v>
      </c>
      <c r="H375">
        <v>1.0452474</v>
      </c>
      <c r="I375">
        <v>-4.5247427999999999E-2</v>
      </c>
      <c r="J375">
        <v>0.4889384</v>
      </c>
    </row>
    <row r="376" spans="1:10" x14ac:dyDescent="0.3">
      <c r="A376">
        <v>374</v>
      </c>
      <c r="B376">
        <v>7027</v>
      </c>
      <c r="C376" t="b">
        <v>1</v>
      </c>
      <c r="D376">
        <v>8083</v>
      </c>
      <c r="E376">
        <v>8194</v>
      </c>
      <c r="F376">
        <v>229.86667</v>
      </c>
      <c r="G376">
        <v>219.53334000000001</v>
      </c>
      <c r="H376">
        <v>1.0470695000000001</v>
      </c>
      <c r="I376">
        <v>-4.7069515999999999E-2</v>
      </c>
      <c r="J376">
        <v>0.48850320000000003</v>
      </c>
    </row>
    <row r="377" spans="1:10" x14ac:dyDescent="0.3">
      <c r="A377">
        <v>375</v>
      </c>
      <c r="B377">
        <v>7043</v>
      </c>
      <c r="C377" t="b">
        <v>1</v>
      </c>
      <c r="D377">
        <v>8077</v>
      </c>
      <c r="E377">
        <v>8146</v>
      </c>
      <c r="F377">
        <v>230.66667000000001</v>
      </c>
      <c r="G377">
        <v>219.13333</v>
      </c>
      <c r="H377">
        <v>1.0526316</v>
      </c>
      <c r="I377">
        <v>-5.2631613000000001E-2</v>
      </c>
      <c r="J377">
        <v>0.48717949999999999</v>
      </c>
    </row>
    <row r="378" spans="1:10" x14ac:dyDescent="0.3">
      <c r="A378">
        <v>376</v>
      </c>
      <c r="B378">
        <v>7058</v>
      </c>
      <c r="C378" t="b">
        <v>1</v>
      </c>
      <c r="D378">
        <v>8083</v>
      </c>
      <c r="E378">
        <v>8146</v>
      </c>
      <c r="F378">
        <v>231.86667</v>
      </c>
      <c r="G378">
        <v>219.13333</v>
      </c>
      <c r="H378">
        <v>1.0581077000000001</v>
      </c>
      <c r="I378">
        <v>-5.8107714999999997E-2</v>
      </c>
      <c r="J378">
        <v>0.48588320000000002</v>
      </c>
    </row>
    <row r="379" spans="1:10" x14ac:dyDescent="0.3">
      <c r="A379">
        <v>377</v>
      </c>
      <c r="B379">
        <v>7074</v>
      </c>
      <c r="C379" t="b">
        <v>1</v>
      </c>
      <c r="D379">
        <v>8088</v>
      </c>
      <c r="E379">
        <v>8158</v>
      </c>
      <c r="F379">
        <v>234.2</v>
      </c>
      <c r="G379">
        <v>219.13333</v>
      </c>
      <c r="H379">
        <v>1.0687557000000001</v>
      </c>
      <c r="I379">
        <v>-6.8755700000000003E-2</v>
      </c>
      <c r="J379">
        <v>0.48338237000000001</v>
      </c>
    </row>
    <row r="380" spans="1:10" x14ac:dyDescent="0.3">
      <c r="A380">
        <v>378</v>
      </c>
      <c r="B380">
        <v>7089</v>
      </c>
      <c r="C380" t="b">
        <v>1</v>
      </c>
      <c r="D380">
        <v>8048</v>
      </c>
      <c r="E380">
        <v>8146</v>
      </c>
      <c r="F380">
        <v>235.4</v>
      </c>
      <c r="G380">
        <v>220.26666</v>
      </c>
      <c r="H380">
        <v>1.0687046</v>
      </c>
      <c r="I380">
        <v>-6.8704589999999996E-2</v>
      </c>
      <c r="J380">
        <v>0.4833943</v>
      </c>
    </row>
    <row r="381" spans="1:10" x14ac:dyDescent="0.3">
      <c r="A381">
        <v>379</v>
      </c>
      <c r="B381">
        <v>7122</v>
      </c>
      <c r="C381" t="b">
        <v>1</v>
      </c>
      <c r="D381">
        <v>8065</v>
      </c>
      <c r="E381">
        <v>8140</v>
      </c>
      <c r="F381">
        <v>235.4</v>
      </c>
      <c r="G381">
        <v>220.66667000000001</v>
      </c>
      <c r="H381">
        <v>1.0667673</v>
      </c>
      <c r="I381">
        <v>-6.6767320000000005E-2</v>
      </c>
      <c r="J381">
        <v>0.48384739999999998</v>
      </c>
    </row>
    <row r="382" spans="1:10" x14ac:dyDescent="0.3">
      <c r="A382">
        <v>380</v>
      </c>
      <c r="B382">
        <v>7153</v>
      </c>
      <c r="C382" t="b">
        <v>1</v>
      </c>
      <c r="D382">
        <v>8077</v>
      </c>
      <c r="E382">
        <v>8129</v>
      </c>
      <c r="F382">
        <v>235.4</v>
      </c>
      <c r="G382">
        <v>221.8</v>
      </c>
      <c r="H382">
        <v>1.0613165</v>
      </c>
      <c r="I382">
        <v>-6.1316460000000003E-2</v>
      </c>
      <c r="J382">
        <v>0.48512685</v>
      </c>
    </row>
    <row r="383" spans="1:10" x14ac:dyDescent="0.3">
      <c r="A383">
        <v>381</v>
      </c>
      <c r="B383">
        <v>7185</v>
      </c>
      <c r="C383" t="b">
        <v>1</v>
      </c>
      <c r="D383">
        <v>8065</v>
      </c>
      <c r="E383">
        <v>8170</v>
      </c>
      <c r="F383">
        <v>235.4</v>
      </c>
      <c r="G383">
        <v>223.33332999999999</v>
      </c>
      <c r="H383">
        <v>1.0540297999999999</v>
      </c>
      <c r="I383">
        <v>-5.4029849999999997E-2</v>
      </c>
      <c r="J383">
        <v>0.48684781999999999</v>
      </c>
    </row>
    <row r="384" spans="1:10" x14ac:dyDescent="0.3">
      <c r="A384">
        <v>382</v>
      </c>
      <c r="B384">
        <v>7217</v>
      </c>
      <c r="C384" t="b">
        <v>1</v>
      </c>
      <c r="D384">
        <v>8054</v>
      </c>
      <c r="E384">
        <v>8129</v>
      </c>
      <c r="F384">
        <v>234.6</v>
      </c>
      <c r="G384">
        <v>224.06666999999999</v>
      </c>
      <c r="H384">
        <v>1.0470098000000001</v>
      </c>
      <c r="I384">
        <v>-4.7009849999999999E-2</v>
      </c>
      <c r="J384">
        <v>0.48851739999999999</v>
      </c>
    </row>
    <row r="385" spans="1:10" x14ac:dyDescent="0.3">
      <c r="A385">
        <v>383</v>
      </c>
      <c r="B385">
        <v>7249</v>
      </c>
      <c r="C385" t="b">
        <v>1</v>
      </c>
      <c r="D385">
        <v>8094</v>
      </c>
      <c r="E385">
        <v>8140</v>
      </c>
      <c r="F385">
        <v>233.8</v>
      </c>
      <c r="G385">
        <v>224.06666999999999</v>
      </c>
      <c r="H385">
        <v>1.0434395000000001</v>
      </c>
      <c r="I385">
        <v>-4.3439470000000001E-2</v>
      </c>
      <c r="J385">
        <v>0.489371</v>
      </c>
    </row>
    <row r="386" spans="1:10" x14ac:dyDescent="0.3">
      <c r="A386">
        <v>384</v>
      </c>
      <c r="B386">
        <v>7265</v>
      </c>
      <c r="C386" t="b">
        <v>1</v>
      </c>
      <c r="D386">
        <v>8065</v>
      </c>
      <c r="E386">
        <v>8170</v>
      </c>
      <c r="F386">
        <v>233</v>
      </c>
      <c r="G386">
        <v>225.2</v>
      </c>
      <c r="H386">
        <v>1.0346359000000001</v>
      </c>
      <c r="I386">
        <v>-3.4635894E-2</v>
      </c>
      <c r="J386">
        <v>0.49148842999999998</v>
      </c>
    </row>
    <row r="387" spans="1:10" x14ac:dyDescent="0.3">
      <c r="A387">
        <v>385</v>
      </c>
      <c r="B387">
        <v>7281</v>
      </c>
      <c r="C387" t="b">
        <v>1</v>
      </c>
      <c r="D387">
        <v>8060</v>
      </c>
      <c r="E387">
        <v>8140</v>
      </c>
      <c r="F387">
        <v>232.6</v>
      </c>
      <c r="G387">
        <v>225.93333000000001</v>
      </c>
      <c r="H387">
        <v>1.0295072999999999</v>
      </c>
      <c r="I387">
        <v>-2.9507251000000002E-2</v>
      </c>
      <c r="J387">
        <v>0.49273046999999998</v>
      </c>
    </row>
    <row r="388" spans="1:10" x14ac:dyDescent="0.3">
      <c r="A388">
        <v>386</v>
      </c>
      <c r="B388">
        <v>7296</v>
      </c>
      <c r="C388" t="b">
        <v>1</v>
      </c>
      <c r="D388">
        <v>8054</v>
      </c>
      <c r="E388">
        <v>8093</v>
      </c>
      <c r="F388">
        <v>231.86667</v>
      </c>
      <c r="G388">
        <v>225.93333000000001</v>
      </c>
      <c r="H388">
        <v>1.0262614000000001</v>
      </c>
      <c r="I388">
        <v>-2.6261438000000002E-2</v>
      </c>
      <c r="J388">
        <v>0.49351974999999998</v>
      </c>
    </row>
    <row r="389" spans="1:10" x14ac:dyDescent="0.3">
      <c r="A389">
        <v>387</v>
      </c>
      <c r="B389">
        <v>7312</v>
      </c>
      <c r="C389" t="b">
        <v>1</v>
      </c>
      <c r="D389">
        <v>8083</v>
      </c>
      <c r="E389">
        <v>8111</v>
      </c>
      <c r="F389">
        <v>231.46665999999999</v>
      </c>
      <c r="G389">
        <v>226.66667000000001</v>
      </c>
      <c r="H389">
        <v>1.0211764999999999</v>
      </c>
      <c r="I389">
        <v>-2.1176416E-2</v>
      </c>
      <c r="J389">
        <v>0.49476137999999997</v>
      </c>
    </row>
    <row r="390" spans="1:10" x14ac:dyDescent="0.3">
      <c r="A390">
        <v>388</v>
      </c>
      <c r="B390">
        <v>7328</v>
      </c>
      <c r="C390" t="b">
        <v>1</v>
      </c>
      <c r="D390">
        <v>8065</v>
      </c>
      <c r="E390">
        <v>8140</v>
      </c>
      <c r="F390">
        <v>231.06666999999999</v>
      </c>
      <c r="G390">
        <v>227.4</v>
      </c>
      <c r="H390">
        <v>1.0161244</v>
      </c>
      <c r="I390">
        <v>-1.6124327000000001E-2</v>
      </c>
      <c r="J390">
        <v>0.49600115</v>
      </c>
    </row>
    <row r="391" spans="1:10" x14ac:dyDescent="0.3">
      <c r="A391">
        <v>389</v>
      </c>
      <c r="B391">
        <v>7344</v>
      </c>
      <c r="C391" t="b">
        <v>1</v>
      </c>
      <c r="D391">
        <v>8065</v>
      </c>
      <c r="E391">
        <v>8134</v>
      </c>
      <c r="F391">
        <v>230.66667000000001</v>
      </c>
      <c r="G391">
        <v>227</v>
      </c>
      <c r="H391">
        <v>1.0161526999999999</v>
      </c>
      <c r="I391">
        <v>-1.6152739999999999E-2</v>
      </c>
      <c r="J391">
        <v>0.49599415000000002</v>
      </c>
    </row>
    <row r="392" spans="1:10" x14ac:dyDescent="0.3">
      <c r="A392">
        <v>390</v>
      </c>
      <c r="B392">
        <v>7360</v>
      </c>
      <c r="C392" t="b">
        <v>1</v>
      </c>
      <c r="D392">
        <v>8071</v>
      </c>
      <c r="E392">
        <v>8140</v>
      </c>
      <c r="F392">
        <v>229.86667</v>
      </c>
      <c r="G392">
        <v>226.6</v>
      </c>
      <c r="H392">
        <v>1.014416</v>
      </c>
      <c r="I392">
        <v>-1.4415986E-2</v>
      </c>
      <c r="J392">
        <v>0.49642177999999998</v>
      </c>
    </row>
    <row r="393" spans="1:10" x14ac:dyDescent="0.3">
      <c r="A393">
        <v>391</v>
      </c>
      <c r="B393">
        <v>7376</v>
      </c>
      <c r="C393" t="b">
        <v>1</v>
      </c>
      <c r="D393">
        <v>8071</v>
      </c>
      <c r="E393">
        <v>8182</v>
      </c>
      <c r="F393">
        <v>229.06666999999999</v>
      </c>
      <c r="G393">
        <v>226.2</v>
      </c>
      <c r="H393">
        <v>1.0126731</v>
      </c>
      <c r="I393">
        <v>-1.2673159999999999E-2</v>
      </c>
      <c r="J393">
        <v>0.49685164999999998</v>
      </c>
    </row>
    <row r="394" spans="1:10" x14ac:dyDescent="0.3">
      <c r="A394">
        <v>392</v>
      </c>
      <c r="B394">
        <v>7407</v>
      </c>
      <c r="C394" t="b">
        <v>1</v>
      </c>
      <c r="D394">
        <v>8065</v>
      </c>
      <c r="E394">
        <v>8117</v>
      </c>
      <c r="F394">
        <v>227.86667</v>
      </c>
      <c r="G394">
        <v>225.8</v>
      </c>
      <c r="H394">
        <v>1.0091527</v>
      </c>
      <c r="I394">
        <v>-9.1526379999999994E-3</v>
      </c>
      <c r="J394">
        <v>0.49772223999999998</v>
      </c>
    </row>
    <row r="395" spans="1:10" x14ac:dyDescent="0.3">
      <c r="A395">
        <v>393</v>
      </c>
      <c r="B395">
        <v>7423</v>
      </c>
      <c r="C395" t="b">
        <v>1</v>
      </c>
      <c r="D395">
        <v>8071</v>
      </c>
      <c r="E395">
        <v>8099</v>
      </c>
      <c r="F395">
        <v>227.06666999999999</v>
      </c>
      <c r="G395">
        <v>225</v>
      </c>
      <c r="H395">
        <v>1.0091851999999999</v>
      </c>
      <c r="I395">
        <v>-9.1851810000000006E-3</v>
      </c>
      <c r="J395">
        <v>0.49771421999999998</v>
      </c>
    </row>
    <row r="396" spans="1:10" x14ac:dyDescent="0.3">
      <c r="A396">
        <v>394</v>
      </c>
      <c r="B396">
        <v>7439</v>
      </c>
      <c r="C396" t="b">
        <v>1</v>
      </c>
      <c r="D396">
        <v>8065</v>
      </c>
      <c r="E396">
        <v>8117</v>
      </c>
      <c r="F396">
        <v>226.66667000000001</v>
      </c>
      <c r="G396">
        <v>223.06666999999999</v>
      </c>
      <c r="H396">
        <v>1.0161387</v>
      </c>
      <c r="I396">
        <v>-1.6138699999999999E-2</v>
      </c>
      <c r="J396">
        <v>0.49599759999999998</v>
      </c>
    </row>
    <row r="397" spans="1:10" x14ac:dyDescent="0.3">
      <c r="A397">
        <v>395</v>
      </c>
      <c r="B397">
        <v>7455</v>
      </c>
      <c r="C397" t="b">
        <v>1</v>
      </c>
      <c r="D397">
        <v>8088</v>
      </c>
      <c r="E397">
        <v>8123</v>
      </c>
      <c r="F397">
        <v>226.26666</v>
      </c>
      <c r="G397">
        <v>221.13333</v>
      </c>
      <c r="H397">
        <v>1.0232136999999999</v>
      </c>
      <c r="I397">
        <v>-2.3213739000000001E-2</v>
      </c>
      <c r="J397">
        <v>0.49426313999999999</v>
      </c>
    </row>
    <row r="398" spans="1:10" x14ac:dyDescent="0.3">
      <c r="A398">
        <v>396</v>
      </c>
      <c r="B398">
        <v>7472</v>
      </c>
      <c r="C398" t="b">
        <v>1</v>
      </c>
      <c r="D398">
        <v>8077</v>
      </c>
      <c r="E398">
        <v>8152</v>
      </c>
      <c r="F398">
        <v>226.66667000000001</v>
      </c>
      <c r="G398">
        <v>219.2</v>
      </c>
      <c r="H398">
        <v>1.0340632999999999</v>
      </c>
      <c r="I398">
        <v>-3.4063299999999998E-2</v>
      </c>
      <c r="J398">
        <v>0.49162679999999997</v>
      </c>
    </row>
    <row r="399" spans="1:10" x14ac:dyDescent="0.3">
      <c r="A399">
        <v>397</v>
      </c>
      <c r="B399">
        <v>7505</v>
      </c>
      <c r="C399" t="b">
        <v>1</v>
      </c>
      <c r="D399">
        <v>8060</v>
      </c>
      <c r="E399">
        <v>8129</v>
      </c>
      <c r="F399">
        <v>227.06666999999999</v>
      </c>
      <c r="G399">
        <v>218.06666999999999</v>
      </c>
      <c r="H399">
        <v>1.0412718000000001</v>
      </c>
      <c r="I399">
        <v>-4.1271782999999999E-2</v>
      </c>
      <c r="J399">
        <v>0.48989065999999998</v>
      </c>
    </row>
    <row r="400" spans="1:10" x14ac:dyDescent="0.3">
      <c r="A400">
        <v>398</v>
      </c>
      <c r="B400">
        <v>7534</v>
      </c>
      <c r="C400" t="b">
        <v>1</v>
      </c>
      <c r="D400">
        <v>8088</v>
      </c>
      <c r="E400">
        <v>8140</v>
      </c>
      <c r="F400">
        <v>227.86667</v>
      </c>
      <c r="G400">
        <v>217.33332999999999</v>
      </c>
      <c r="H400">
        <v>1.0484663000000001</v>
      </c>
      <c r="I400">
        <v>-4.8466290000000002E-2</v>
      </c>
      <c r="J400">
        <v>0.4881701</v>
      </c>
    </row>
    <row r="401" spans="1:10" x14ac:dyDescent="0.3">
      <c r="A401">
        <v>399</v>
      </c>
      <c r="B401">
        <v>7566</v>
      </c>
      <c r="C401" t="b">
        <v>1</v>
      </c>
      <c r="D401">
        <v>8054</v>
      </c>
      <c r="E401">
        <v>8158</v>
      </c>
      <c r="F401">
        <v>228.66667000000001</v>
      </c>
      <c r="G401">
        <v>217.33332999999999</v>
      </c>
      <c r="H401">
        <v>1.0521472999999999</v>
      </c>
      <c r="I401">
        <v>-5.2147288E-2</v>
      </c>
      <c r="J401">
        <v>0.48729446999999998</v>
      </c>
    </row>
    <row r="402" spans="1:10" x14ac:dyDescent="0.3">
      <c r="A402">
        <v>400</v>
      </c>
      <c r="B402">
        <v>7582</v>
      </c>
      <c r="C402" t="b">
        <v>1</v>
      </c>
      <c r="D402">
        <v>8054</v>
      </c>
      <c r="E402">
        <v>8146</v>
      </c>
      <c r="F402">
        <v>228.33332999999999</v>
      </c>
      <c r="G402">
        <v>217.73334</v>
      </c>
      <c r="H402">
        <v>1.0486834</v>
      </c>
      <c r="I402">
        <v>-4.8683360000000002E-2</v>
      </c>
      <c r="J402">
        <v>0.48811838000000002</v>
      </c>
    </row>
    <row r="403" spans="1:10" x14ac:dyDescent="0.3">
      <c r="A403">
        <v>401</v>
      </c>
      <c r="B403">
        <v>7598</v>
      </c>
      <c r="C403" t="b">
        <v>1</v>
      </c>
      <c r="D403">
        <v>8071</v>
      </c>
      <c r="E403">
        <v>8134</v>
      </c>
      <c r="F403">
        <v>228.33332999999999</v>
      </c>
      <c r="G403">
        <v>217.73334</v>
      </c>
      <c r="H403">
        <v>1.0486834</v>
      </c>
      <c r="I403">
        <v>-4.8683360000000002E-2</v>
      </c>
      <c r="J403">
        <v>0.48811838000000002</v>
      </c>
    </row>
    <row r="404" spans="1:10" x14ac:dyDescent="0.3">
      <c r="A404">
        <v>402</v>
      </c>
      <c r="B404">
        <v>7613</v>
      </c>
      <c r="C404" t="b">
        <v>1</v>
      </c>
      <c r="D404">
        <v>8065</v>
      </c>
      <c r="E404">
        <v>8129</v>
      </c>
      <c r="F404">
        <v>228.33332999999999</v>
      </c>
      <c r="G404">
        <v>217.73334</v>
      </c>
      <c r="H404">
        <v>1.0486834</v>
      </c>
      <c r="I404">
        <v>-4.8683360000000002E-2</v>
      </c>
      <c r="J404">
        <v>0.48811838000000002</v>
      </c>
    </row>
    <row r="405" spans="1:10" x14ac:dyDescent="0.3">
      <c r="A405">
        <v>403</v>
      </c>
      <c r="B405">
        <v>7629</v>
      </c>
      <c r="C405" t="b">
        <v>1</v>
      </c>
      <c r="D405">
        <v>8077</v>
      </c>
      <c r="E405">
        <v>8140</v>
      </c>
      <c r="F405">
        <v>228.33332999999999</v>
      </c>
      <c r="G405">
        <v>217.73334</v>
      </c>
      <c r="H405">
        <v>1.0486834</v>
      </c>
      <c r="I405">
        <v>-4.8683360000000002E-2</v>
      </c>
      <c r="J405">
        <v>0.48811838000000002</v>
      </c>
    </row>
    <row r="406" spans="1:10" x14ac:dyDescent="0.3">
      <c r="A406">
        <v>404</v>
      </c>
      <c r="B406">
        <v>7645</v>
      </c>
      <c r="C406" t="b">
        <v>1</v>
      </c>
      <c r="D406">
        <v>8094</v>
      </c>
      <c r="E406">
        <v>8158</v>
      </c>
      <c r="F406">
        <v>228.73334</v>
      </c>
      <c r="G406">
        <v>218.13333</v>
      </c>
      <c r="H406">
        <v>1.0485941000000001</v>
      </c>
      <c r="I406">
        <v>-4.8594162000000003E-2</v>
      </c>
      <c r="J406">
        <v>0.48813962999999999</v>
      </c>
    </row>
    <row r="407" spans="1:10" x14ac:dyDescent="0.3">
      <c r="A407">
        <v>405</v>
      </c>
      <c r="B407">
        <v>7676</v>
      </c>
      <c r="C407" t="b">
        <v>1</v>
      </c>
      <c r="D407">
        <v>8048</v>
      </c>
      <c r="E407">
        <v>8129</v>
      </c>
      <c r="F407">
        <v>229.13333</v>
      </c>
      <c r="G407">
        <v>218.13333</v>
      </c>
      <c r="H407">
        <v>1.0504279000000001</v>
      </c>
      <c r="I407">
        <v>-5.0427872999999998E-2</v>
      </c>
      <c r="J407">
        <v>0.48770308000000001</v>
      </c>
    </row>
    <row r="408" spans="1:10" x14ac:dyDescent="0.3">
      <c r="A408">
        <v>406</v>
      </c>
      <c r="B408">
        <v>7708</v>
      </c>
      <c r="C408" t="b">
        <v>1</v>
      </c>
      <c r="D408">
        <v>8048</v>
      </c>
      <c r="E408">
        <v>8123</v>
      </c>
      <c r="F408">
        <v>228.73334</v>
      </c>
      <c r="G408">
        <v>217.4</v>
      </c>
      <c r="H408">
        <v>1.0521313000000001</v>
      </c>
      <c r="I408">
        <v>-5.2131295000000001E-2</v>
      </c>
      <c r="J408">
        <v>0.48729824999999999</v>
      </c>
    </row>
    <row r="409" spans="1:10" x14ac:dyDescent="0.3">
      <c r="A409">
        <v>407</v>
      </c>
      <c r="B409">
        <v>7739</v>
      </c>
      <c r="C409" t="b">
        <v>1</v>
      </c>
      <c r="D409">
        <v>8077</v>
      </c>
      <c r="E409">
        <v>8140</v>
      </c>
      <c r="F409">
        <v>229.53334000000001</v>
      </c>
      <c r="G409">
        <v>217.4</v>
      </c>
      <c r="H409">
        <v>1.0558111999999999</v>
      </c>
      <c r="I409">
        <v>-5.5811162999999997E-2</v>
      </c>
      <c r="J409">
        <v>0.48642600000000003</v>
      </c>
    </row>
    <row r="410" spans="1:10" x14ac:dyDescent="0.3">
      <c r="A410">
        <v>408</v>
      </c>
      <c r="B410">
        <v>7776</v>
      </c>
      <c r="C410" t="b">
        <v>1</v>
      </c>
      <c r="D410">
        <v>8071</v>
      </c>
      <c r="E410">
        <v>8117</v>
      </c>
      <c r="F410">
        <v>229.53334000000001</v>
      </c>
      <c r="G410">
        <v>217.06666999999999</v>
      </c>
      <c r="H410">
        <v>1.0574323999999999</v>
      </c>
      <c r="I410">
        <v>-5.7432469999999999E-2</v>
      </c>
      <c r="J410">
        <v>0.48604268</v>
      </c>
    </row>
    <row r="411" spans="1:10" x14ac:dyDescent="0.3">
      <c r="A411">
        <v>409</v>
      </c>
      <c r="B411">
        <v>7806</v>
      </c>
      <c r="C411" t="b">
        <v>1</v>
      </c>
      <c r="D411">
        <v>8071</v>
      </c>
      <c r="E411">
        <v>8146</v>
      </c>
      <c r="F411">
        <v>229.53334000000001</v>
      </c>
      <c r="G411">
        <v>217.86667</v>
      </c>
      <c r="H411">
        <v>1.0535496</v>
      </c>
      <c r="I411">
        <v>-5.3549594999999998E-2</v>
      </c>
      <c r="J411">
        <v>0.4869617</v>
      </c>
    </row>
    <row r="412" spans="1:10" x14ac:dyDescent="0.3">
      <c r="A412">
        <v>410</v>
      </c>
      <c r="B412">
        <v>7839</v>
      </c>
      <c r="C412" t="b">
        <v>1</v>
      </c>
      <c r="D412">
        <v>8065</v>
      </c>
      <c r="E412">
        <v>8152</v>
      </c>
      <c r="F412">
        <v>229.53334000000001</v>
      </c>
      <c r="G412">
        <v>219.4</v>
      </c>
      <c r="H412">
        <v>1.0461867</v>
      </c>
      <c r="I412">
        <v>-4.6186629999999999E-2</v>
      </c>
      <c r="J412">
        <v>0.48871395000000001</v>
      </c>
    </row>
    <row r="413" spans="1:10" x14ac:dyDescent="0.3">
      <c r="A413">
        <v>411</v>
      </c>
      <c r="B413">
        <v>7854</v>
      </c>
      <c r="C413" t="b">
        <v>1</v>
      </c>
      <c r="D413">
        <v>8071</v>
      </c>
      <c r="E413">
        <v>8129</v>
      </c>
      <c r="F413">
        <v>229.53334000000001</v>
      </c>
      <c r="G413">
        <v>220.93333000000001</v>
      </c>
      <c r="H413">
        <v>1.0389257999999999</v>
      </c>
      <c r="I413">
        <v>-3.8925796999999998E-2</v>
      </c>
      <c r="J413">
        <v>0.49045434999999998</v>
      </c>
    </row>
    <row r="414" spans="1:10" x14ac:dyDescent="0.3">
      <c r="A414">
        <v>412</v>
      </c>
      <c r="B414">
        <v>7886</v>
      </c>
      <c r="C414" t="b">
        <v>1</v>
      </c>
      <c r="D414">
        <v>8065</v>
      </c>
      <c r="E414">
        <v>8146</v>
      </c>
      <c r="F414">
        <v>229.53334000000001</v>
      </c>
      <c r="G414">
        <v>222.46665999999999</v>
      </c>
      <c r="H414">
        <v>1.0317651000000001</v>
      </c>
      <c r="I414">
        <v>-3.1765122E-2</v>
      </c>
      <c r="J414">
        <v>0.49218287999999999</v>
      </c>
    </row>
    <row r="415" spans="1:10" x14ac:dyDescent="0.3">
      <c r="A415">
        <v>413</v>
      </c>
      <c r="B415">
        <v>7918</v>
      </c>
      <c r="C415" t="b">
        <v>1</v>
      </c>
      <c r="D415">
        <v>8037</v>
      </c>
      <c r="E415">
        <v>8140</v>
      </c>
      <c r="F415">
        <v>228.73334</v>
      </c>
      <c r="G415">
        <v>223.6</v>
      </c>
      <c r="H415">
        <v>1.0229577000000001</v>
      </c>
      <c r="I415">
        <v>-2.2957653000000001E-2</v>
      </c>
      <c r="J415">
        <v>0.49432573000000002</v>
      </c>
    </row>
    <row r="416" spans="1:10" x14ac:dyDescent="0.3">
      <c r="A416">
        <v>414</v>
      </c>
      <c r="B416">
        <v>7950</v>
      </c>
      <c r="C416" t="b">
        <v>1</v>
      </c>
      <c r="D416">
        <v>8106</v>
      </c>
      <c r="E416">
        <v>8182</v>
      </c>
      <c r="F416">
        <v>227.93333000000001</v>
      </c>
      <c r="G416">
        <v>224</v>
      </c>
      <c r="H416">
        <v>1.0175595</v>
      </c>
      <c r="I416">
        <v>-1.7559528000000001E-2</v>
      </c>
      <c r="J416">
        <v>0.49564829999999999</v>
      </c>
    </row>
    <row r="417" spans="1:10" x14ac:dyDescent="0.3">
      <c r="A417">
        <v>415</v>
      </c>
      <c r="B417">
        <v>7982</v>
      </c>
      <c r="C417" t="b">
        <v>1</v>
      </c>
      <c r="D417">
        <v>8083</v>
      </c>
      <c r="E417">
        <v>8129</v>
      </c>
      <c r="F417">
        <v>228.66667000000001</v>
      </c>
      <c r="G417">
        <v>223.6</v>
      </c>
      <c r="H417">
        <v>1.0226595000000001</v>
      </c>
      <c r="I417">
        <v>-2.2659506999999999E-2</v>
      </c>
      <c r="J417">
        <v>0.49439860000000002</v>
      </c>
    </row>
    <row r="418" spans="1:10" x14ac:dyDescent="0.3">
      <c r="A418">
        <v>416</v>
      </c>
      <c r="B418">
        <v>8013</v>
      </c>
      <c r="C418" t="b">
        <v>1</v>
      </c>
      <c r="D418">
        <v>8100</v>
      </c>
      <c r="E418">
        <v>8140</v>
      </c>
      <c r="F418">
        <v>230.2</v>
      </c>
      <c r="G418">
        <v>223.6</v>
      </c>
      <c r="H418">
        <v>1.0295169</v>
      </c>
      <c r="I418">
        <v>-2.9516951999999999E-2</v>
      </c>
      <c r="J418">
        <v>0.4927281</v>
      </c>
    </row>
    <row r="419" spans="1:10" x14ac:dyDescent="0.3">
      <c r="A419">
        <v>417</v>
      </c>
      <c r="B419">
        <v>8043</v>
      </c>
      <c r="C419" t="b">
        <v>1</v>
      </c>
      <c r="D419">
        <v>8077</v>
      </c>
      <c r="E419">
        <v>8105</v>
      </c>
      <c r="F419">
        <v>231.4</v>
      </c>
      <c r="G419">
        <v>223.6</v>
      </c>
      <c r="H419">
        <v>1.0348835999999999</v>
      </c>
      <c r="I419">
        <v>-3.4883667E-2</v>
      </c>
      <c r="J419">
        <v>0.49142858</v>
      </c>
    </row>
    <row r="420" spans="1:10" x14ac:dyDescent="0.3">
      <c r="A420">
        <v>418</v>
      </c>
      <c r="B420">
        <v>8059</v>
      </c>
      <c r="C420" t="b">
        <v>1</v>
      </c>
      <c r="D420">
        <v>8042</v>
      </c>
      <c r="E420">
        <v>8134</v>
      </c>
      <c r="F420">
        <v>232.6</v>
      </c>
      <c r="G420">
        <v>223.2</v>
      </c>
      <c r="H420">
        <v>1.0421146999999999</v>
      </c>
      <c r="I420">
        <v>-4.2114739999999998E-2</v>
      </c>
      <c r="J420">
        <v>0.48968845999999999</v>
      </c>
    </row>
    <row r="421" spans="1:10" x14ac:dyDescent="0.3">
      <c r="A421">
        <v>419</v>
      </c>
      <c r="B421">
        <v>8075</v>
      </c>
      <c r="C421" t="b">
        <v>1</v>
      </c>
      <c r="D421">
        <v>8071</v>
      </c>
      <c r="E421">
        <v>8140</v>
      </c>
      <c r="F421">
        <v>233</v>
      </c>
      <c r="G421">
        <v>222.8</v>
      </c>
      <c r="H421">
        <v>1.0457809</v>
      </c>
      <c r="I421">
        <v>-4.5780956999999997E-2</v>
      </c>
      <c r="J421">
        <v>0.48881089999999999</v>
      </c>
    </row>
    <row r="422" spans="1:10" x14ac:dyDescent="0.3">
      <c r="A422">
        <v>420</v>
      </c>
      <c r="B422">
        <v>8090</v>
      </c>
      <c r="C422" t="b">
        <v>1</v>
      </c>
      <c r="D422">
        <v>8054</v>
      </c>
      <c r="E422">
        <v>8152</v>
      </c>
      <c r="F422">
        <v>233</v>
      </c>
      <c r="G422">
        <v>223.2</v>
      </c>
      <c r="H422">
        <v>1.0439068</v>
      </c>
      <c r="I422">
        <v>-4.3906822999999998E-2</v>
      </c>
      <c r="J422">
        <v>0.48925906000000002</v>
      </c>
    </row>
    <row r="423" spans="1:10" x14ac:dyDescent="0.3">
      <c r="A423">
        <v>421</v>
      </c>
      <c r="B423">
        <v>8106</v>
      </c>
      <c r="C423" t="b">
        <v>1</v>
      </c>
      <c r="D423">
        <v>8100</v>
      </c>
      <c r="E423">
        <v>8170</v>
      </c>
      <c r="F423">
        <v>233.4</v>
      </c>
      <c r="G423">
        <v>223.93333000000001</v>
      </c>
      <c r="H423">
        <v>1.0422745</v>
      </c>
      <c r="I423">
        <v>-4.2274452999999997E-2</v>
      </c>
      <c r="J423">
        <v>0.48965016</v>
      </c>
    </row>
    <row r="424" spans="1:10" x14ac:dyDescent="0.3">
      <c r="A424">
        <v>422</v>
      </c>
      <c r="B424">
        <v>8138</v>
      </c>
      <c r="C424" t="b">
        <v>1</v>
      </c>
      <c r="D424">
        <v>8083</v>
      </c>
      <c r="E424">
        <v>8111</v>
      </c>
      <c r="F424">
        <v>233</v>
      </c>
      <c r="G424">
        <v>223.93333000000001</v>
      </c>
      <c r="H424">
        <v>1.0404882</v>
      </c>
      <c r="I424">
        <v>-4.0488235999999997E-2</v>
      </c>
      <c r="J424">
        <v>0.49007877999999999</v>
      </c>
    </row>
    <row r="425" spans="1:10" x14ac:dyDescent="0.3">
      <c r="A425">
        <v>423</v>
      </c>
      <c r="B425">
        <v>8171</v>
      </c>
      <c r="C425" t="b">
        <v>1</v>
      </c>
      <c r="D425">
        <v>8071</v>
      </c>
      <c r="E425">
        <v>8087</v>
      </c>
      <c r="F425">
        <v>233</v>
      </c>
      <c r="G425">
        <v>224.66667000000001</v>
      </c>
      <c r="H425">
        <v>1.0370919999999999</v>
      </c>
      <c r="I425">
        <v>-3.7091962999999999E-2</v>
      </c>
      <c r="J425">
        <v>0.49089584000000003</v>
      </c>
    </row>
    <row r="426" spans="1:10" x14ac:dyDescent="0.3">
      <c r="A426">
        <v>424</v>
      </c>
      <c r="B426">
        <v>8201</v>
      </c>
      <c r="C426" t="b">
        <v>1</v>
      </c>
      <c r="D426">
        <v>8088</v>
      </c>
      <c r="E426">
        <v>8134</v>
      </c>
      <c r="F426">
        <v>233.8</v>
      </c>
      <c r="G426">
        <v>225</v>
      </c>
      <c r="H426">
        <v>1.0391111</v>
      </c>
      <c r="I426">
        <v>-3.9111126000000003E-2</v>
      </c>
      <c r="J426">
        <v>0.49040980000000001</v>
      </c>
    </row>
    <row r="427" spans="1:10" x14ac:dyDescent="0.3">
      <c r="A427">
        <v>425</v>
      </c>
      <c r="B427">
        <v>8232</v>
      </c>
      <c r="C427" t="b">
        <v>1</v>
      </c>
      <c r="D427">
        <v>8106</v>
      </c>
      <c r="E427">
        <v>8134</v>
      </c>
      <c r="F427">
        <v>234.93333000000001</v>
      </c>
      <c r="G427">
        <v>224.6</v>
      </c>
      <c r="H427">
        <v>1.0460077999999999</v>
      </c>
      <c r="I427">
        <v>-4.6007693000000002E-2</v>
      </c>
      <c r="J427">
        <v>0.48875675000000002</v>
      </c>
    </row>
    <row r="428" spans="1:10" x14ac:dyDescent="0.3">
      <c r="A428">
        <v>426</v>
      </c>
      <c r="B428">
        <v>8264</v>
      </c>
      <c r="C428" t="b">
        <v>1</v>
      </c>
      <c r="D428">
        <v>8094</v>
      </c>
      <c r="E428">
        <v>8158</v>
      </c>
      <c r="F428">
        <v>236.06666999999999</v>
      </c>
      <c r="G428">
        <v>224.2</v>
      </c>
      <c r="H428">
        <v>1.0529288999999999</v>
      </c>
      <c r="I428">
        <v>-5.2928942999999999E-2</v>
      </c>
      <c r="J428">
        <v>0.48710892</v>
      </c>
    </row>
    <row r="429" spans="1:10" x14ac:dyDescent="0.3">
      <c r="A429">
        <v>427</v>
      </c>
      <c r="B429">
        <v>8296</v>
      </c>
      <c r="C429" t="b">
        <v>1</v>
      </c>
      <c r="D429">
        <v>8071</v>
      </c>
      <c r="E429">
        <v>8140</v>
      </c>
      <c r="F429">
        <v>237.2</v>
      </c>
      <c r="G429">
        <v>223.4</v>
      </c>
      <c r="H429">
        <v>1.0617726000000001</v>
      </c>
      <c r="I429">
        <v>-6.1772621999999999E-2</v>
      </c>
      <c r="J429">
        <v>0.48501956000000002</v>
      </c>
    </row>
    <row r="430" spans="1:10" x14ac:dyDescent="0.3">
      <c r="A430">
        <v>428</v>
      </c>
      <c r="B430">
        <v>8328</v>
      </c>
      <c r="C430" t="b">
        <v>1</v>
      </c>
      <c r="D430">
        <v>8054</v>
      </c>
      <c r="E430">
        <v>8146</v>
      </c>
      <c r="F430">
        <v>238.73334</v>
      </c>
      <c r="G430">
        <v>223</v>
      </c>
      <c r="H430">
        <v>1.0705530999999999</v>
      </c>
      <c r="I430">
        <v>-7.0553080000000004E-2</v>
      </c>
      <c r="J430">
        <v>0.48296275999999999</v>
      </c>
    </row>
    <row r="431" spans="1:10" x14ac:dyDescent="0.3">
      <c r="A431">
        <v>429</v>
      </c>
      <c r="B431">
        <v>8358</v>
      </c>
      <c r="C431" t="b">
        <v>1</v>
      </c>
      <c r="D431">
        <v>8060</v>
      </c>
      <c r="E431">
        <v>8146</v>
      </c>
      <c r="F431">
        <v>239.13333</v>
      </c>
      <c r="G431">
        <v>223</v>
      </c>
      <c r="H431">
        <v>1.0723468</v>
      </c>
      <c r="I431">
        <v>-7.2346779999999999E-2</v>
      </c>
      <c r="J431">
        <v>0.48254471999999998</v>
      </c>
    </row>
    <row r="432" spans="1:10" x14ac:dyDescent="0.3">
      <c r="A432">
        <v>430</v>
      </c>
      <c r="B432">
        <v>8374</v>
      </c>
      <c r="C432" t="b">
        <v>1</v>
      </c>
      <c r="D432">
        <v>8054</v>
      </c>
      <c r="E432">
        <v>8140</v>
      </c>
      <c r="F432">
        <v>238.4</v>
      </c>
      <c r="G432">
        <v>223.4</v>
      </c>
      <c r="H432">
        <v>1.0671442</v>
      </c>
      <c r="I432">
        <v>-6.7144140000000005E-2</v>
      </c>
      <c r="J432">
        <v>0.4837592</v>
      </c>
    </row>
    <row r="433" spans="1:10" x14ac:dyDescent="0.3">
      <c r="A433">
        <v>431</v>
      </c>
      <c r="B433">
        <v>8406</v>
      </c>
      <c r="C433" t="b">
        <v>1</v>
      </c>
      <c r="D433">
        <v>8083</v>
      </c>
      <c r="E433">
        <v>8123</v>
      </c>
      <c r="F433">
        <v>236.86667</v>
      </c>
      <c r="G433">
        <v>223.4</v>
      </c>
      <c r="H433">
        <v>1.0602806</v>
      </c>
      <c r="I433">
        <v>-6.0280550000000002E-2</v>
      </c>
      <c r="J433">
        <v>0.48537078</v>
      </c>
    </row>
    <row r="434" spans="1:10" x14ac:dyDescent="0.3">
      <c r="A434">
        <v>432</v>
      </c>
      <c r="B434">
        <v>8438</v>
      </c>
      <c r="C434" t="b">
        <v>1</v>
      </c>
      <c r="D434">
        <v>8071</v>
      </c>
      <c r="E434">
        <v>8146</v>
      </c>
      <c r="F434">
        <v>235.33332999999999</v>
      </c>
      <c r="G434">
        <v>223.8</v>
      </c>
      <c r="H434">
        <v>1.051534</v>
      </c>
      <c r="I434">
        <v>-5.1534070000000001E-2</v>
      </c>
      <c r="J434">
        <v>0.48744009999999999</v>
      </c>
    </row>
    <row r="435" spans="1:10" x14ac:dyDescent="0.3">
      <c r="A435">
        <v>433</v>
      </c>
      <c r="B435">
        <v>8454</v>
      </c>
      <c r="C435" t="b">
        <v>1</v>
      </c>
      <c r="D435">
        <v>8100</v>
      </c>
      <c r="E435">
        <v>8134</v>
      </c>
      <c r="F435">
        <v>234.53334000000001</v>
      </c>
      <c r="G435">
        <v>224.2</v>
      </c>
      <c r="H435">
        <v>1.0460898999999999</v>
      </c>
      <c r="I435">
        <v>-4.6089847000000003E-2</v>
      </c>
      <c r="J435">
        <v>0.48873707999999999</v>
      </c>
    </row>
    <row r="436" spans="1:10" x14ac:dyDescent="0.3">
      <c r="A436">
        <v>434</v>
      </c>
      <c r="B436">
        <v>8470</v>
      </c>
      <c r="C436" t="b">
        <v>1</v>
      </c>
      <c r="D436">
        <v>8083</v>
      </c>
      <c r="E436">
        <v>8134</v>
      </c>
      <c r="F436">
        <v>234.93333000000001</v>
      </c>
      <c r="G436">
        <v>224.2</v>
      </c>
      <c r="H436">
        <v>1.047874</v>
      </c>
      <c r="I436">
        <v>-4.7873939999999997E-2</v>
      </c>
      <c r="J436">
        <v>0.48831131999999999</v>
      </c>
    </row>
    <row r="437" spans="1:10" x14ac:dyDescent="0.3">
      <c r="A437">
        <v>435</v>
      </c>
      <c r="B437">
        <v>8485</v>
      </c>
      <c r="C437" t="b">
        <v>1</v>
      </c>
      <c r="D437">
        <v>8065</v>
      </c>
      <c r="E437">
        <v>8123</v>
      </c>
      <c r="F437">
        <v>235.73334</v>
      </c>
      <c r="G437">
        <v>223.8</v>
      </c>
      <c r="H437">
        <v>1.0533215</v>
      </c>
      <c r="I437">
        <v>-5.3321420000000001E-2</v>
      </c>
      <c r="J437">
        <v>0.4870158</v>
      </c>
    </row>
    <row r="438" spans="1:10" x14ac:dyDescent="0.3">
      <c r="A438">
        <v>436</v>
      </c>
      <c r="B438">
        <v>8518</v>
      </c>
      <c r="C438" t="b">
        <v>1</v>
      </c>
      <c r="D438">
        <v>8077</v>
      </c>
      <c r="E438">
        <v>8129</v>
      </c>
      <c r="F438">
        <v>236.13333</v>
      </c>
      <c r="G438">
        <v>223.4</v>
      </c>
      <c r="H438">
        <v>1.0569979</v>
      </c>
      <c r="I438">
        <v>-5.6997932000000001E-2</v>
      </c>
      <c r="J438">
        <v>0.48614534999999998</v>
      </c>
    </row>
    <row r="439" spans="1:10" x14ac:dyDescent="0.3">
      <c r="A439">
        <v>437</v>
      </c>
      <c r="B439">
        <v>8549</v>
      </c>
      <c r="C439" t="b">
        <v>1</v>
      </c>
      <c r="D439">
        <v>8042</v>
      </c>
      <c r="E439">
        <v>8158</v>
      </c>
      <c r="F439">
        <v>236.53334000000001</v>
      </c>
      <c r="G439">
        <v>223</v>
      </c>
      <c r="H439">
        <v>1.0606876999999999</v>
      </c>
      <c r="I439">
        <v>-6.0687624000000003E-2</v>
      </c>
      <c r="J439">
        <v>0.48527490000000001</v>
      </c>
    </row>
    <row r="440" spans="1:10" x14ac:dyDescent="0.3">
      <c r="A440">
        <v>438</v>
      </c>
      <c r="B440">
        <v>8580</v>
      </c>
      <c r="C440" t="b">
        <v>1</v>
      </c>
      <c r="D440">
        <v>8071</v>
      </c>
      <c r="E440">
        <v>8129</v>
      </c>
      <c r="F440">
        <v>236.53334000000001</v>
      </c>
      <c r="G440">
        <v>222.26666</v>
      </c>
      <c r="H440">
        <v>1.0641872000000001</v>
      </c>
      <c r="I440">
        <v>-6.4187214000000006E-2</v>
      </c>
      <c r="J440">
        <v>0.4844522</v>
      </c>
    </row>
    <row r="441" spans="1:10" x14ac:dyDescent="0.3">
      <c r="A441">
        <v>439</v>
      </c>
      <c r="B441">
        <v>8612</v>
      </c>
      <c r="C441" t="b">
        <v>1</v>
      </c>
      <c r="D441">
        <v>8088</v>
      </c>
      <c r="E441">
        <v>8117</v>
      </c>
      <c r="F441">
        <v>235.73334</v>
      </c>
      <c r="G441">
        <v>221.93333000000001</v>
      </c>
      <c r="H441">
        <v>1.0621809</v>
      </c>
      <c r="I441">
        <v>-6.2180846999999997E-2</v>
      </c>
      <c r="J441">
        <v>0.48492350000000001</v>
      </c>
    </row>
    <row r="442" spans="1:10" x14ac:dyDescent="0.3">
      <c r="A442">
        <v>440</v>
      </c>
      <c r="B442">
        <v>8643</v>
      </c>
      <c r="C442" t="b">
        <v>1</v>
      </c>
      <c r="D442">
        <v>8065</v>
      </c>
      <c r="E442">
        <v>8134</v>
      </c>
      <c r="F442">
        <v>234.6</v>
      </c>
      <c r="G442">
        <v>221.6</v>
      </c>
      <c r="H442">
        <v>1.0586641999999999</v>
      </c>
      <c r="I442">
        <v>-5.8664260000000003E-2</v>
      </c>
      <c r="J442">
        <v>0.48575186999999997</v>
      </c>
    </row>
    <row r="443" spans="1:10" x14ac:dyDescent="0.3">
      <c r="A443">
        <v>441</v>
      </c>
      <c r="B443">
        <v>8675</v>
      </c>
      <c r="C443" t="b">
        <v>1</v>
      </c>
      <c r="D443">
        <v>8054</v>
      </c>
      <c r="E443">
        <v>8152</v>
      </c>
      <c r="F443">
        <v>233.06666999999999</v>
      </c>
      <c r="G443">
        <v>221.6</v>
      </c>
      <c r="H443">
        <v>1.0517448</v>
      </c>
      <c r="I443">
        <v>-5.1744852000000001E-2</v>
      </c>
      <c r="J443">
        <v>0.48738999999999999</v>
      </c>
    </row>
    <row r="444" spans="1:10" x14ac:dyDescent="0.3">
      <c r="A444">
        <v>442</v>
      </c>
      <c r="B444">
        <v>8707</v>
      </c>
      <c r="C444" t="b">
        <v>1</v>
      </c>
      <c r="D444">
        <v>8111</v>
      </c>
      <c r="E444">
        <v>8140</v>
      </c>
      <c r="F444">
        <v>231.93333000000001</v>
      </c>
      <c r="G444">
        <v>221.6</v>
      </c>
      <c r="H444">
        <v>1.0466305</v>
      </c>
      <c r="I444">
        <v>-4.6630543000000003E-2</v>
      </c>
      <c r="J444">
        <v>0.48860799999999999</v>
      </c>
    </row>
    <row r="445" spans="1:10" x14ac:dyDescent="0.3">
      <c r="A445">
        <v>443</v>
      </c>
      <c r="B445">
        <v>8737</v>
      </c>
      <c r="C445" t="b">
        <v>1</v>
      </c>
      <c r="D445">
        <v>8054</v>
      </c>
      <c r="E445">
        <v>8170</v>
      </c>
      <c r="F445">
        <v>230.4</v>
      </c>
      <c r="G445">
        <v>221.6</v>
      </c>
      <c r="H445">
        <v>1.0397111000000001</v>
      </c>
      <c r="I445">
        <v>-3.9711136000000001E-2</v>
      </c>
      <c r="J445">
        <v>0.49026550000000002</v>
      </c>
    </row>
    <row r="446" spans="1:10" x14ac:dyDescent="0.3">
      <c r="A446">
        <v>444</v>
      </c>
      <c r="B446">
        <v>8753</v>
      </c>
      <c r="C446" t="b">
        <v>1</v>
      </c>
      <c r="D446">
        <v>8083</v>
      </c>
      <c r="E446">
        <v>8158</v>
      </c>
      <c r="F446">
        <v>230</v>
      </c>
      <c r="G446">
        <v>222</v>
      </c>
      <c r="H446">
        <v>1.036036</v>
      </c>
      <c r="I446">
        <v>-3.6036037E-2</v>
      </c>
      <c r="J446">
        <v>0.49115044000000002</v>
      </c>
    </row>
    <row r="447" spans="1:10" x14ac:dyDescent="0.3">
      <c r="A447">
        <v>445</v>
      </c>
      <c r="B447">
        <v>8785</v>
      </c>
      <c r="C447" t="b">
        <v>1</v>
      </c>
      <c r="D447">
        <v>8065</v>
      </c>
      <c r="E447">
        <v>8134</v>
      </c>
      <c r="F447">
        <v>230.33332999999999</v>
      </c>
      <c r="G447">
        <v>222.4</v>
      </c>
      <c r="H447">
        <v>1.0356715000000001</v>
      </c>
      <c r="I447">
        <v>-3.5671469999999997E-2</v>
      </c>
      <c r="J447">
        <v>0.49123840000000002</v>
      </c>
    </row>
    <row r="448" spans="1:10" x14ac:dyDescent="0.3">
      <c r="A448">
        <v>446</v>
      </c>
      <c r="B448">
        <v>8817</v>
      </c>
      <c r="C448" t="b">
        <v>1</v>
      </c>
      <c r="D448">
        <v>8065</v>
      </c>
      <c r="E448">
        <v>8111</v>
      </c>
      <c r="F448">
        <v>230.66667000000001</v>
      </c>
      <c r="G448">
        <v>222.4</v>
      </c>
      <c r="H448">
        <v>1.0371703000000001</v>
      </c>
      <c r="I448">
        <v>-3.7170313000000003E-2</v>
      </c>
      <c r="J448">
        <v>0.49087700000000001</v>
      </c>
    </row>
    <row r="449" spans="1:10" x14ac:dyDescent="0.3">
      <c r="A449">
        <v>447</v>
      </c>
      <c r="B449">
        <v>8848</v>
      </c>
      <c r="C449" t="b">
        <v>1</v>
      </c>
      <c r="D449">
        <v>8065</v>
      </c>
      <c r="E449">
        <v>8146</v>
      </c>
      <c r="F449">
        <v>231</v>
      </c>
      <c r="G449">
        <v>222.4</v>
      </c>
      <c r="H449">
        <v>1.0386690999999999</v>
      </c>
      <c r="I449">
        <v>-3.8669094000000001E-2</v>
      </c>
      <c r="J449">
        <v>0.49051610000000001</v>
      </c>
    </row>
    <row r="450" spans="1:10" x14ac:dyDescent="0.3">
      <c r="A450">
        <v>448</v>
      </c>
      <c r="B450">
        <v>8864</v>
      </c>
      <c r="C450" t="b">
        <v>1</v>
      </c>
      <c r="D450">
        <v>8065</v>
      </c>
      <c r="E450">
        <v>8146</v>
      </c>
      <c r="F450">
        <v>230.6</v>
      </c>
      <c r="G450">
        <v>222.8</v>
      </c>
      <c r="H450">
        <v>1.0350090000000001</v>
      </c>
      <c r="I450">
        <v>-3.5008989999999997E-2</v>
      </c>
      <c r="J450">
        <v>0.49139830000000001</v>
      </c>
    </row>
    <row r="451" spans="1:10" x14ac:dyDescent="0.3">
      <c r="A451">
        <v>449</v>
      </c>
      <c r="B451">
        <v>8895</v>
      </c>
      <c r="C451" t="b">
        <v>1</v>
      </c>
      <c r="D451">
        <v>8023</v>
      </c>
      <c r="E451">
        <v>8129</v>
      </c>
      <c r="F451">
        <v>229.4</v>
      </c>
      <c r="G451">
        <v>222.8</v>
      </c>
      <c r="H451">
        <v>1.0296228999999999</v>
      </c>
      <c r="I451">
        <v>-2.9622938000000001E-2</v>
      </c>
      <c r="J451">
        <v>0.49270234000000002</v>
      </c>
    </row>
    <row r="452" spans="1:10" x14ac:dyDescent="0.3">
      <c r="A452">
        <v>450</v>
      </c>
      <c r="B452">
        <v>8927</v>
      </c>
      <c r="C452" t="b">
        <v>1</v>
      </c>
      <c r="D452">
        <v>8083</v>
      </c>
      <c r="E452">
        <v>8129</v>
      </c>
      <c r="F452">
        <v>228.2</v>
      </c>
      <c r="G452">
        <v>222.46665999999999</v>
      </c>
      <c r="H452">
        <v>1.0257715999999999</v>
      </c>
      <c r="I452">
        <v>-2.577167E-2</v>
      </c>
      <c r="J452">
        <v>0.49363905000000002</v>
      </c>
    </row>
    <row r="453" spans="1:10" x14ac:dyDescent="0.3">
      <c r="A453">
        <v>451</v>
      </c>
      <c r="B453">
        <v>8959</v>
      </c>
      <c r="C453" t="b">
        <v>1</v>
      </c>
      <c r="D453">
        <v>8060</v>
      </c>
      <c r="E453">
        <v>8129</v>
      </c>
      <c r="F453">
        <v>227.4</v>
      </c>
      <c r="G453">
        <v>222.13333</v>
      </c>
      <c r="H453">
        <v>1.0237094</v>
      </c>
      <c r="I453">
        <v>-2.3709464999999999E-2</v>
      </c>
      <c r="J453">
        <v>0.49414209999999997</v>
      </c>
    </row>
    <row r="454" spans="1:10" x14ac:dyDescent="0.3">
      <c r="A454">
        <v>452</v>
      </c>
      <c r="B454">
        <v>8975</v>
      </c>
      <c r="C454" t="b">
        <v>1</v>
      </c>
      <c r="D454">
        <v>8071</v>
      </c>
      <c r="E454">
        <v>8117</v>
      </c>
      <c r="F454">
        <v>226.6</v>
      </c>
      <c r="G454">
        <v>221.8</v>
      </c>
      <c r="H454">
        <v>1.0216411000000001</v>
      </c>
      <c r="I454">
        <v>-2.1641131000000001E-2</v>
      </c>
      <c r="J454">
        <v>0.49464762000000001</v>
      </c>
    </row>
    <row r="455" spans="1:10" x14ac:dyDescent="0.3">
      <c r="A455">
        <v>453</v>
      </c>
      <c r="B455">
        <v>9006</v>
      </c>
      <c r="C455" t="b">
        <v>1</v>
      </c>
      <c r="D455">
        <v>8094</v>
      </c>
      <c r="E455">
        <v>8176</v>
      </c>
      <c r="F455">
        <v>226.6</v>
      </c>
      <c r="G455">
        <v>221.8</v>
      </c>
      <c r="H455">
        <v>1.0216411000000001</v>
      </c>
      <c r="I455">
        <v>-2.1641131000000001E-2</v>
      </c>
      <c r="J455">
        <v>0.49464762000000001</v>
      </c>
    </row>
    <row r="456" spans="1:10" x14ac:dyDescent="0.3">
      <c r="A456">
        <v>454</v>
      </c>
      <c r="B456">
        <v>9038</v>
      </c>
      <c r="C456" t="b">
        <v>1</v>
      </c>
      <c r="D456">
        <v>8065</v>
      </c>
      <c r="E456">
        <v>8152</v>
      </c>
      <c r="F456">
        <v>226.6</v>
      </c>
      <c r="G456">
        <v>221.8</v>
      </c>
      <c r="H456">
        <v>1.0216411000000001</v>
      </c>
      <c r="I456">
        <v>-2.1641131000000001E-2</v>
      </c>
      <c r="J456">
        <v>0.49464762000000001</v>
      </c>
    </row>
    <row r="457" spans="1:10" x14ac:dyDescent="0.3">
      <c r="A457">
        <v>455</v>
      </c>
      <c r="B457">
        <v>9068</v>
      </c>
      <c r="C457" t="b">
        <v>1</v>
      </c>
      <c r="D457">
        <v>8077</v>
      </c>
      <c r="E457">
        <v>8140</v>
      </c>
      <c r="F457">
        <v>226.6</v>
      </c>
      <c r="G457">
        <v>222.53334000000001</v>
      </c>
      <c r="H457">
        <v>1.0182743999999999</v>
      </c>
      <c r="I457">
        <v>-1.8274412E-2</v>
      </c>
      <c r="J457">
        <v>0.49547276000000001</v>
      </c>
    </row>
    <row r="458" spans="1:10" x14ac:dyDescent="0.3">
      <c r="A458">
        <v>456</v>
      </c>
      <c r="B458">
        <v>9084</v>
      </c>
      <c r="C458" t="b">
        <v>1</v>
      </c>
      <c r="D458">
        <v>8083</v>
      </c>
      <c r="E458">
        <v>8176</v>
      </c>
      <c r="F458">
        <v>227.4</v>
      </c>
      <c r="G458">
        <v>223.73334</v>
      </c>
      <c r="H458">
        <v>1.0163884999999999</v>
      </c>
      <c r="I458">
        <v>-1.6388511000000001E-2</v>
      </c>
      <c r="J458">
        <v>0.49593619999999999</v>
      </c>
    </row>
    <row r="459" spans="1:10" x14ac:dyDescent="0.3">
      <c r="A459">
        <v>457</v>
      </c>
      <c r="B459">
        <v>9117</v>
      </c>
      <c r="C459" t="b">
        <v>1</v>
      </c>
      <c r="D459">
        <v>8060</v>
      </c>
      <c r="E459">
        <v>8129</v>
      </c>
      <c r="F459">
        <v>227.8</v>
      </c>
      <c r="G459">
        <v>224.93333000000001</v>
      </c>
      <c r="H459">
        <v>1.0127444999999999</v>
      </c>
      <c r="I459">
        <v>-1.2744525E-2</v>
      </c>
      <c r="J459">
        <v>0.49683403999999998</v>
      </c>
    </row>
    <row r="460" spans="1:10" x14ac:dyDescent="0.3">
      <c r="A460">
        <v>458</v>
      </c>
      <c r="B460">
        <v>9148</v>
      </c>
      <c r="C460" t="b">
        <v>1</v>
      </c>
      <c r="D460">
        <v>8083</v>
      </c>
      <c r="E460">
        <v>8140</v>
      </c>
      <c r="F460">
        <v>228.6</v>
      </c>
      <c r="G460">
        <v>224.93333000000001</v>
      </c>
      <c r="H460">
        <v>1.0163012</v>
      </c>
      <c r="I460">
        <v>-1.630115E-2</v>
      </c>
      <c r="J460">
        <v>0.49595767000000002</v>
      </c>
    </row>
    <row r="461" spans="1:10" x14ac:dyDescent="0.3">
      <c r="A461">
        <v>459</v>
      </c>
      <c r="B461">
        <v>9164</v>
      </c>
      <c r="C461" t="b">
        <v>1</v>
      </c>
      <c r="D461">
        <v>8111</v>
      </c>
      <c r="E461">
        <v>8129</v>
      </c>
      <c r="F461">
        <v>229.8</v>
      </c>
      <c r="G461">
        <v>224.13333</v>
      </c>
      <c r="H461">
        <v>1.0252825999999999</v>
      </c>
      <c r="I461">
        <v>-2.5282592999999999E-2</v>
      </c>
      <c r="J461">
        <v>0.49375823000000002</v>
      </c>
    </row>
    <row r="462" spans="1:10" x14ac:dyDescent="0.3">
      <c r="A462">
        <v>460</v>
      </c>
      <c r="B462">
        <v>9180</v>
      </c>
      <c r="C462" t="b">
        <v>1</v>
      </c>
      <c r="D462">
        <v>8060</v>
      </c>
      <c r="E462">
        <v>8117</v>
      </c>
      <c r="F462">
        <v>231</v>
      </c>
      <c r="G462">
        <v>222.6</v>
      </c>
      <c r="H462">
        <v>1.0377358000000001</v>
      </c>
      <c r="I462">
        <v>-3.7735820000000003E-2</v>
      </c>
      <c r="J462">
        <v>0.49074075</v>
      </c>
    </row>
    <row r="463" spans="1:10" x14ac:dyDescent="0.3">
      <c r="A463">
        <v>461</v>
      </c>
      <c r="B463">
        <v>9196</v>
      </c>
      <c r="C463" t="b">
        <v>1</v>
      </c>
      <c r="D463">
        <v>8060</v>
      </c>
      <c r="E463">
        <v>8093</v>
      </c>
      <c r="F463">
        <v>230.66667000000001</v>
      </c>
      <c r="G463">
        <v>221.86667</v>
      </c>
      <c r="H463">
        <v>1.0396634</v>
      </c>
      <c r="I463">
        <v>-3.9663474999999997E-2</v>
      </c>
      <c r="J463">
        <v>0.49027695999999998</v>
      </c>
    </row>
    <row r="464" spans="1:10" x14ac:dyDescent="0.3">
      <c r="A464">
        <v>462</v>
      </c>
      <c r="B464">
        <v>9211</v>
      </c>
      <c r="C464" t="b">
        <v>1</v>
      </c>
      <c r="D464">
        <v>8060</v>
      </c>
      <c r="E464">
        <v>8117</v>
      </c>
      <c r="F464">
        <v>230.33332999999999</v>
      </c>
      <c r="G464">
        <v>219.93333000000001</v>
      </c>
      <c r="H464">
        <v>1.0472870000000001</v>
      </c>
      <c r="I464">
        <v>-4.7287030000000001E-2</v>
      </c>
      <c r="J464">
        <v>0.48845129999999998</v>
      </c>
    </row>
    <row r="465" spans="1:10" x14ac:dyDescent="0.3">
      <c r="A465">
        <v>463</v>
      </c>
      <c r="B465">
        <v>9227</v>
      </c>
      <c r="C465" t="b">
        <v>1</v>
      </c>
      <c r="D465">
        <v>8083</v>
      </c>
      <c r="E465">
        <v>8117</v>
      </c>
      <c r="F465">
        <v>230</v>
      </c>
      <c r="G465">
        <v>218</v>
      </c>
      <c r="H465">
        <v>1.0550458</v>
      </c>
      <c r="I465">
        <v>-5.5045873000000002E-2</v>
      </c>
      <c r="J465">
        <v>0.48660713</v>
      </c>
    </row>
    <row r="466" spans="1:10" x14ac:dyDescent="0.3">
      <c r="A466">
        <v>464</v>
      </c>
      <c r="B466">
        <v>9243</v>
      </c>
      <c r="C466" t="b">
        <v>1</v>
      </c>
      <c r="D466">
        <v>8088</v>
      </c>
      <c r="E466">
        <v>8140</v>
      </c>
      <c r="F466">
        <v>229.66667000000001</v>
      </c>
      <c r="G466">
        <v>216.86667</v>
      </c>
      <c r="H466">
        <v>1.0590223999999999</v>
      </c>
      <c r="I466">
        <v>-5.9022453000000002E-2</v>
      </c>
      <c r="J466">
        <v>0.48566737999999998</v>
      </c>
    </row>
    <row r="467" spans="1:10" x14ac:dyDescent="0.3">
      <c r="A467">
        <v>465</v>
      </c>
      <c r="B467">
        <v>9259</v>
      </c>
      <c r="C467" t="b">
        <v>1</v>
      </c>
      <c r="D467">
        <v>8088</v>
      </c>
      <c r="E467">
        <v>8152</v>
      </c>
      <c r="F467">
        <v>230.86667</v>
      </c>
      <c r="G467">
        <v>216.06666999999999</v>
      </c>
      <c r="H467">
        <v>1.0684974</v>
      </c>
      <c r="I467">
        <v>-6.8497390000000005E-2</v>
      </c>
      <c r="J467">
        <v>0.4834427</v>
      </c>
    </row>
    <row r="468" spans="1:10" x14ac:dyDescent="0.3">
      <c r="A468">
        <v>466</v>
      </c>
      <c r="B468">
        <v>9276</v>
      </c>
      <c r="C468" t="b">
        <v>1</v>
      </c>
      <c r="D468">
        <v>8071</v>
      </c>
      <c r="E468">
        <v>8146</v>
      </c>
      <c r="F468">
        <v>232.06666999999999</v>
      </c>
      <c r="G468">
        <v>216.8</v>
      </c>
      <c r="H468">
        <v>1.0704182</v>
      </c>
      <c r="I468">
        <v>-7.0418190000000006E-2</v>
      </c>
      <c r="J468">
        <v>0.48299419999999998</v>
      </c>
    </row>
    <row r="469" spans="1:10" x14ac:dyDescent="0.3">
      <c r="A469">
        <v>467</v>
      </c>
      <c r="B469">
        <v>9291</v>
      </c>
      <c r="C469" t="b">
        <v>1</v>
      </c>
      <c r="D469">
        <v>8088</v>
      </c>
      <c r="E469">
        <v>8152</v>
      </c>
      <c r="F469">
        <v>233.6</v>
      </c>
      <c r="G469">
        <v>217.93333000000001</v>
      </c>
      <c r="H469">
        <v>1.0718875000000001</v>
      </c>
      <c r="I469">
        <v>-7.1887450000000006E-2</v>
      </c>
      <c r="J469">
        <v>0.48265170000000002</v>
      </c>
    </row>
    <row r="470" spans="1:10" x14ac:dyDescent="0.3">
      <c r="A470">
        <v>468</v>
      </c>
      <c r="B470">
        <v>9307</v>
      </c>
      <c r="C470" t="b">
        <v>1</v>
      </c>
      <c r="D470">
        <v>8060</v>
      </c>
      <c r="E470">
        <v>8117</v>
      </c>
      <c r="F470">
        <v>234.73334</v>
      </c>
      <c r="G470">
        <v>219.06666999999999</v>
      </c>
      <c r="H470">
        <v>1.0715155999999999</v>
      </c>
      <c r="I470">
        <v>-7.1515545E-2</v>
      </c>
      <c r="J470">
        <v>0.48273838000000002</v>
      </c>
    </row>
    <row r="471" spans="1:10" x14ac:dyDescent="0.3">
      <c r="A471">
        <v>469</v>
      </c>
      <c r="B471">
        <v>9323</v>
      </c>
      <c r="C471" t="b">
        <v>1</v>
      </c>
      <c r="D471">
        <v>8065</v>
      </c>
      <c r="E471">
        <v>8134</v>
      </c>
      <c r="F471">
        <v>234.73334</v>
      </c>
      <c r="G471">
        <v>220.2</v>
      </c>
      <c r="H471">
        <v>1.0660006</v>
      </c>
      <c r="I471">
        <v>-6.6000639999999999E-2</v>
      </c>
      <c r="J471">
        <v>0.48402694000000002</v>
      </c>
    </row>
    <row r="472" spans="1:10" x14ac:dyDescent="0.3">
      <c r="A472">
        <v>470</v>
      </c>
      <c r="B472">
        <v>9339</v>
      </c>
      <c r="C472" t="b">
        <v>1</v>
      </c>
      <c r="D472">
        <v>8060</v>
      </c>
      <c r="E472">
        <v>8146</v>
      </c>
      <c r="F472">
        <v>234.33332999999999</v>
      </c>
      <c r="G472">
        <v>220.6</v>
      </c>
      <c r="H472">
        <v>1.0622544</v>
      </c>
      <c r="I472">
        <v>-6.2254406999999998E-2</v>
      </c>
      <c r="J472">
        <v>0.48490620000000001</v>
      </c>
    </row>
    <row r="473" spans="1:10" x14ac:dyDescent="0.3">
      <c r="A473">
        <v>471</v>
      </c>
      <c r="B473">
        <v>9355</v>
      </c>
      <c r="C473" t="b">
        <v>1</v>
      </c>
      <c r="D473">
        <v>8048</v>
      </c>
      <c r="E473">
        <v>8146</v>
      </c>
      <c r="F473">
        <v>233.2</v>
      </c>
      <c r="G473">
        <v>220.2</v>
      </c>
      <c r="H473">
        <v>1.0590371999999999</v>
      </c>
      <c r="I473">
        <v>-5.9037239999999998E-2</v>
      </c>
      <c r="J473">
        <v>0.48566386</v>
      </c>
    </row>
    <row r="474" spans="1:10" x14ac:dyDescent="0.3">
      <c r="A474">
        <v>472</v>
      </c>
      <c r="B474">
        <v>9386</v>
      </c>
      <c r="C474" t="b">
        <v>1</v>
      </c>
      <c r="D474">
        <v>8048</v>
      </c>
      <c r="E474">
        <v>8129</v>
      </c>
      <c r="F474">
        <v>232.06666999999999</v>
      </c>
      <c r="G474">
        <v>219</v>
      </c>
      <c r="H474">
        <v>1.0596650999999999</v>
      </c>
      <c r="I474">
        <v>-5.9665139999999998E-2</v>
      </c>
      <c r="J474">
        <v>0.48551582999999998</v>
      </c>
    </row>
    <row r="475" spans="1:10" x14ac:dyDescent="0.3">
      <c r="A475">
        <v>473</v>
      </c>
      <c r="B475">
        <v>9402</v>
      </c>
      <c r="C475" t="b">
        <v>1</v>
      </c>
      <c r="D475">
        <v>8065</v>
      </c>
      <c r="E475">
        <v>8146</v>
      </c>
      <c r="F475">
        <v>230.93333000000001</v>
      </c>
      <c r="G475">
        <v>219.4</v>
      </c>
      <c r="H475">
        <v>1.0525675999999999</v>
      </c>
      <c r="I475">
        <v>-5.2567641999999998E-2</v>
      </c>
      <c r="J475">
        <v>0.48719469999999998</v>
      </c>
    </row>
    <row r="476" spans="1:10" x14ac:dyDescent="0.3">
      <c r="A476">
        <v>474</v>
      </c>
      <c r="B476">
        <v>9434</v>
      </c>
      <c r="C476" t="b">
        <v>1</v>
      </c>
      <c r="D476">
        <v>8030</v>
      </c>
      <c r="E476">
        <v>8140</v>
      </c>
      <c r="F476">
        <v>228.6</v>
      </c>
      <c r="G476">
        <v>219.8</v>
      </c>
      <c r="H476">
        <v>1.0400364</v>
      </c>
      <c r="I476">
        <v>-4.0036410000000001E-2</v>
      </c>
      <c r="J476">
        <v>0.49018731999999998</v>
      </c>
    </row>
    <row r="477" spans="1:10" x14ac:dyDescent="0.3">
      <c r="A477">
        <v>475</v>
      </c>
      <c r="B477">
        <v>9450</v>
      </c>
      <c r="C477" t="b">
        <v>1</v>
      </c>
      <c r="D477">
        <v>8071</v>
      </c>
      <c r="E477">
        <v>8152</v>
      </c>
      <c r="F477">
        <v>226.26666</v>
      </c>
      <c r="G477">
        <v>220.93333000000001</v>
      </c>
      <c r="H477">
        <v>1.0241400000000001</v>
      </c>
      <c r="I477">
        <v>-2.413999E-2</v>
      </c>
      <c r="J477">
        <v>0.49403697000000002</v>
      </c>
    </row>
    <row r="478" spans="1:10" x14ac:dyDescent="0.3">
      <c r="A478">
        <v>476</v>
      </c>
      <c r="B478">
        <v>9466</v>
      </c>
      <c r="C478" t="b">
        <v>1</v>
      </c>
      <c r="D478">
        <v>8088</v>
      </c>
      <c r="E478">
        <v>8129</v>
      </c>
      <c r="F478">
        <v>226.6</v>
      </c>
      <c r="G478">
        <v>221.66667000000001</v>
      </c>
      <c r="H478">
        <v>1.0222557000000001</v>
      </c>
      <c r="I478">
        <v>-2.2255641999999999E-2</v>
      </c>
      <c r="J478">
        <v>0.49449733000000001</v>
      </c>
    </row>
    <row r="479" spans="1:10" x14ac:dyDescent="0.3">
      <c r="A479">
        <v>477</v>
      </c>
      <c r="B479">
        <v>9481</v>
      </c>
      <c r="C479" t="b">
        <v>1</v>
      </c>
      <c r="D479">
        <v>8071</v>
      </c>
      <c r="E479">
        <v>8146</v>
      </c>
      <c r="F479">
        <v>227.33332999999999</v>
      </c>
      <c r="G479">
        <v>223.6</v>
      </c>
      <c r="H479">
        <v>1.0166964999999999</v>
      </c>
      <c r="I479">
        <v>-1.6696430000000002E-2</v>
      </c>
      <c r="J479">
        <v>0.49586043000000002</v>
      </c>
    </row>
    <row r="480" spans="1:10" x14ac:dyDescent="0.3">
      <c r="A480">
        <v>478</v>
      </c>
      <c r="B480">
        <v>9497</v>
      </c>
      <c r="C480" t="b">
        <v>1</v>
      </c>
      <c r="D480">
        <v>8088</v>
      </c>
      <c r="E480">
        <v>8140</v>
      </c>
      <c r="F480">
        <v>228.06666999999999</v>
      </c>
      <c r="G480">
        <v>225.13333</v>
      </c>
      <c r="H480">
        <v>1.0130292999999999</v>
      </c>
      <c r="I480">
        <v>-1.302932E-2</v>
      </c>
      <c r="J480">
        <v>0.49676374000000001</v>
      </c>
    </row>
    <row r="481" spans="1:10" x14ac:dyDescent="0.3">
      <c r="A481">
        <v>479</v>
      </c>
      <c r="B481">
        <v>9513</v>
      </c>
      <c r="C481" t="b">
        <v>1</v>
      </c>
      <c r="D481">
        <v>8088</v>
      </c>
      <c r="E481">
        <v>8117</v>
      </c>
      <c r="F481">
        <v>229.93333000000001</v>
      </c>
      <c r="G481">
        <v>226.66667000000001</v>
      </c>
      <c r="H481">
        <v>1.0144116999999999</v>
      </c>
      <c r="I481">
        <v>-1.4411746499999999E-2</v>
      </c>
      <c r="J481">
        <v>0.49642282999999998</v>
      </c>
    </row>
    <row r="482" spans="1:10" x14ac:dyDescent="0.3">
      <c r="A482">
        <v>480</v>
      </c>
      <c r="B482">
        <v>9529</v>
      </c>
      <c r="C482" t="b">
        <v>1</v>
      </c>
      <c r="D482">
        <v>8077</v>
      </c>
      <c r="E482">
        <v>8140</v>
      </c>
      <c r="F482">
        <v>230.26666</v>
      </c>
      <c r="G482">
        <v>228.2</v>
      </c>
      <c r="H482">
        <v>1.0090562999999999</v>
      </c>
      <c r="I482">
        <v>-9.0563789999999998E-3</v>
      </c>
      <c r="J482">
        <v>0.49774607999999998</v>
      </c>
    </row>
    <row r="483" spans="1:10" x14ac:dyDescent="0.3">
      <c r="A483">
        <v>481</v>
      </c>
      <c r="B483">
        <v>9545</v>
      </c>
      <c r="C483" t="b">
        <v>1</v>
      </c>
      <c r="D483">
        <v>8060</v>
      </c>
      <c r="E483">
        <v>8152</v>
      </c>
      <c r="F483">
        <v>229.86667</v>
      </c>
      <c r="G483">
        <v>228.2</v>
      </c>
      <c r="H483">
        <v>1.0073036</v>
      </c>
      <c r="I483">
        <v>-7.3035573999999997E-3</v>
      </c>
      <c r="J483">
        <v>0.49818077999999999</v>
      </c>
    </row>
    <row r="484" spans="1:10" x14ac:dyDescent="0.3">
      <c r="A484">
        <v>482</v>
      </c>
      <c r="B484">
        <v>9560</v>
      </c>
      <c r="C484" t="b">
        <v>1</v>
      </c>
      <c r="D484">
        <v>8065</v>
      </c>
      <c r="E484">
        <v>8164</v>
      </c>
      <c r="F484">
        <v>229.13333</v>
      </c>
      <c r="G484">
        <v>227.8</v>
      </c>
      <c r="H484">
        <v>1.0058530000000001</v>
      </c>
      <c r="I484">
        <v>-5.8530652999999998E-3</v>
      </c>
      <c r="J484">
        <v>0.49854100000000001</v>
      </c>
    </row>
    <row r="485" spans="1:10" x14ac:dyDescent="0.3">
      <c r="A485">
        <v>483</v>
      </c>
      <c r="B485">
        <v>9576</v>
      </c>
      <c r="C485" t="b">
        <v>1</v>
      </c>
      <c r="D485">
        <v>8077</v>
      </c>
      <c r="E485">
        <v>8134</v>
      </c>
      <c r="F485">
        <v>228.4</v>
      </c>
      <c r="G485">
        <v>227.4</v>
      </c>
      <c r="H485">
        <v>1.0043975000000001</v>
      </c>
      <c r="I485">
        <v>-4.3975376000000002E-3</v>
      </c>
      <c r="J485">
        <v>0.49890304000000002</v>
      </c>
    </row>
    <row r="486" spans="1:10" x14ac:dyDescent="0.3">
      <c r="A486">
        <v>484</v>
      </c>
      <c r="B486">
        <v>9592</v>
      </c>
      <c r="C486" t="b">
        <v>1</v>
      </c>
      <c r="D486">
        <v>8083</v>
      </c>
      <c r="E486">
        <v>8140</v>
      </c>
      <c r="F486">
        <v>228.8</v>
      </c>
      <c r="G486">
        <v>227</v>
      </c>
      <c r="H486">
        <v>1.0079296</v>
      </c>
      <c r="I486">
        <v>-7.9295289999999994E-3</v>
      </c>
      <c r="J486">
        <v>0.49802548000000002</v>
      </c>
    </row>
    <row r="487" spans="1:10" x14ac:dyDescent="0.3">
      <c r="A487">
        <v>485</v>
      </c>
      <c r="B487">
        <v>9607</v>
      </c>
      <c r="C487" t="b">
        <v>1</v>
      </c>
      <c r="D487">
        <v>8048</v>
      </c>
      <c r="E487">
        <v>8152</v>
      </c>
      <c r="F487">
        <v>228.8</v>
      </c>
      <c r="G487">
        <v>227.4</v>
      </c>
      <c r="H487">
        <v>1.0061566</v>
      </c>
      <c r="I487">
        <v>-6.1565926E-3</v>
      </c>
      <c r="J487">
        <v>0.49846557000000002</v>
      </c>
    </row>
    <row r="488" spans="1:10" x14ac:dyDescent="0.3">
      <c r="A488">
        <v>486</v>
      </c>
      <c r="B488">
        <v>9623</v>
      </c>
      <c r="C488" t="b">
        <v>1</v>
      </c>
      <c r="D488">
        <v>8111</v>
      </c>
      <c r="E488">
        <v>8158</v>
      </c>
      <c r="F488">
        <v>229.93333000000001</v>
      </c>
      <c r="G488">
        <v>227.8</v>
      </c>
      <c r="H488">
        <v>1.0093650000000001</v>
      </c>
      <c r="I488">
        <v>-9.3649309999999999E-3</v>
      </c>
      <c r="J488">
        <v>0.49766967000000001</v>
      </c>
    </row>
    <row r="489" spans="1:10" x14ac:dyDescent="0.3">
      <c r="A489">
        <v>487</v>
      </c>
      <c r="B489">
        <v>9639</v>
      </c>
      <c r="C489" t="b">
        <v>1</v>
      </c>
      <c r="D489">
        <v>8065</v>
      </c>
      <c r="E489">
        <v>8146</v>
      </c>
      <c r="F489">
        <v>231.06666999999999</v>
      </c>
      <c r="G489">
        <v>228.6</v>
      </c>
      <c r="H489">
        <v>1.0107902</v>
      </c>
      <c r="I489">
        <v>-1.0790287000000001E-2</v>
      </c>
      <c r="J489">
        <v>0.49731690000000001</v>
      </c>
    </row>
    <row r="490" spans="1:10" x14ac:dyDescent="0.3">
      <c r="A490">
        <v>488</v>
      </c>
      <c r="B490">
        <v>9655</v>
      </c>
      <c r="C490" t="b">
        <v>1</v>
      </c>
      <c r="D490">
        <v>8054</v>
      </c>
      <c r="E490">
        <v>8123</v>
      </c>
      <c r="F490">
        <v>231.4</v>
      </c>
      <c r="G490">
        <v>228.6</v>
      </c>
      <c r="H490">
        <v>1.0122484</v>
      </c>
      <c r="I490">
        <v>-1.22484155E-2</v>
      </c>
      <c r="J490">
        <v>0.49695653000000001</v>
      </c>
    </row>
    <row r="491" spans="1:10" x14ac:dyDescent="0.3">
      <c r="A491">
        <v>489</v>
      </c>
      <c r="B491">
        <v>9671</v>
      </c>
      <c r="C491" t="b">
        <v>1</v>
      </c>
      <c r="D491">
        <v>8077</v>
      </c>
      <c r="E491">
        <v>8140</v>
      </c>
      <c r="F491">
        <v>232.53334000000001</v>
      </c>
      <c r="G491">
        <v>228.6</v>
      </c>
      <c r="H491">
        <v>1.0172061999999999</v>
      </c>
      <c r="I491">
        <v>-1.7206185999999998E-2</v>
      </c>
      <c r="J491">
        <v>0.49573514000000002</v>
      </c>
    </row>
    <row r="492" spans="1:10" x14ac:dyDescent="0.3">
      <c r="A492">
        <v>490</v>
      </c>
      <c r="B492">
        <v>9703</v>
      </c>
      <c r="C492" t="b">
        <v>1</v>
      </c>
      <c r="D492">
        <v>8071</v>
      </c>
      <c r="E492">
        <v>8152</v>
      </c>
      <c r="F492">
        <v>234.06666999999999</v>
      </c>
      <c r="G492">
        <v>228.6</v>
      </c>
      <c r="H492">
        <v>1.0239136</v>
      </c>
      <c r="I492">
        <v>-2.3913646E-2</v>
      </c>
      <c r="J492">
        <v>0.49409219999999998</v>
      </c>
    </row>
    <row r="493" spans="1:10" x14ac:dyDescent="0.3">
      <c r="A493">
        <v>491</v>
      </c>
      <c r="B493">
        <v>9718</v>
      </c>
      <c r="C493" t="b">
        <v>1</v>
      </c>
      <c r="D493">
        <v>8071</v>
      </c>
      <c r="E493">
        <v>8140</v>
      </c>
      <c r="F493">
        <v>234.46665999999999</v>
      </c>
      <c r="G493">
        <v>228.6</v>
      </c>
      <c r="H493">
        <v>1.0256634</v>
      </c>
      <c r="I493">
        <v>-2.5663399999999999E-2</v>
      </c>
      <c r="J493">
        <v>0.49366546</v>
      </c>
    </row>
    <row r="494" spans="1:10" x14ac:dyDescent="0.3">
      <c r="A494">
        <v>492</v>
      </c>
      <c r="B494">
        <v>9750</v>
      </c>
      <c r="C494" t="b">
        <v>1</v>
      </c>
      <c r="D494">
        <v>8083</v>
      </c>
      <c r="E494">
        <v>8140</v>
      </c>
      <c r="F494">
        <v>234.46665999999999</v>
      </c>
      <c r="G494">
        <v>228.2</v>
      </c>
      <c r="H494">
        <v>1.0274612999999999</v>
      </c>
      <c r="I494">
        <v>-2.7461274000000001E-2</v>
      </c>
      <c r="J494">
        <v>0.49322766000000001</v>
      </c>
    </row>
    <row r="495" spans="1:10" x14ac:dyDescent="0.3">
      <c r="A495">
        <v>493</v>
      </c>
      <c r="B495">
        <v>9766</v>
      </c>
      <c r="C495" t="b">
        <v>1</v>
      </c>
      <c r="D495">
        <v>8071</v>
      </c>
      <c r="E495">
        <v>8158</v>
      </c>
      <c r="F495">
        <v>234.46665999999999</v>
      </c>
      <c r="G495">
        <v>228.2</v>
      </c>
      <c r="H495">
        <v>1.0274612999999999</v>
      </c>
      <c r="I495">
        <v>-2.7461274000000001E-2</v>
      </c>
      <c r="J495">
        <v>0.49322766000000001</v>
      </c>
    </row>
    <row r="496" spans="1:10" x14ac:dyDescent="0.3">
      <c r="A496">
        <v>494</v>
      </c>
      <c r="B496">
        <v>9782</v>
      </c>
      <c r="C496" t="b">
        <v>1</v>
      </c>
      <c r="D496">
        <v>8071</v>
      </c>
      <c r="E496">
        <v>8134</v>
      </c>
      <c r="F496">
        <v>233.33332999999999</v>
      </c>
      <c r="G496">
        <v>228.2</v>
      </c>
      <c r="H496">
        <v>1.0224949000000001</v>
      </c>
      <c r="I496">
        <v>-2.2494878999999999E-2</v>
      </c>
      <c r="J496">
        <v>0.49443883</v>
      </c>
    </row>
    <row r="497" spans="1:10" x14ac:dyDescent="0.3">
      <c r="A497">
        <v>495</v>
      </c>
      <c r="B497">
        <v>9798</v>
      </c>
      <c r="C497" t="b">
        <v>1</v>
      </c>
      <c r="D497">
        <v>8065</v>
      </c>
      <c r="E497">
        <v>8117</v>
      </c>
      <c r="F497">
        <v>232.2</v>
      </c>
      <c r="G497">
        <v>228.2</v>
      </c>
      <c r="H497">
        <v>1.0175285000000001</v>
      </c>
      <c r="I497">
        <v>-1.7528484E-2</v>
      </c>
      <c r="J497">
        <v>0.49565595000000001</v>
      </c>
    </row>
    <row r="498" spans="1:10" x14ac:dyDescent="0.3">
      <c r="A498">
        <v>496</v>
      </c>
      <c r="B498">
        <v>9814</v>
      </c>
      <c r="C498" t="b">
        <v>1</v>
      </c>
      <c r="D498">
        <v>8065</v>
      </c>
      <c r="E498">
        <v>8152</v>
      </c>
      <c r="F498">
        <v>231.8</v>
      </c>
      <c r="G498">
        <v>228.2</v>
      </c>
      <c r="H498">
        <v>1.0157757000000001</v>
      </c>
      <c r="I498">
        <v>-1.5775661999999999E-2</v>
      </c>
      <c r="J498">
        <v>0.49608696000000002</v>
      </c>
    </row>
    <row r="499" spans="1:10" x14ac:dyDescent="0.3">
      <c r="A499">
        <v>497</v>
      </c>
      <c r="B499">
        <v>9830</v>
      </c>
      <c r="C499" t="b">
        <v>1</v>
      </c>
      <c r="D499">
        <v>8111</v>
      </c>
      <c r="E499">
        <v>8140</v>
      </c>
      <c r="F499">
        <v>231.4</v>
      </c>
      <c r="G499">
        <v>228.2</v>
      </c>
      <c r="H499">
        <v>1.0140228</v>
      </c>
      <c r="I499">
        <v>-1.4022774E-2</v>
      </c>
      <c r="J499">
        <v>0.49651873000000002</v>
      </c>
    </row>
    <row r="500" spans="1:10" x14ac:dyDescent="0.3">
      <c r="A500">
        <v>498</v>
      </c>
      <c r="B500">
        <v>9846</v>
      </c>
      <c r="C500" t="b">
        <v>1</v>
      </c>
      <c r="D500">
        <v>8100</v>
      </c>
      <c r="E500">
        <v>8129</v>
      </c>
      <c r="F500">
        <v>231</v>
      </c>
      <c r="G500">
        <v>227.8</v>
      </c>
      <c r="H500">
        <v>1.0140473999999999</v>
      </c>
      <c r="I500">
        <v>-1.4047396E-2</v>
      </c>
      <c r="J500">
        <v>0.49651265</v>
      </c>
    </row>
    <row r="501" spans="1:10" x14ac:dyDescent="0.3">
      <c r="A501">
        <v>499</v>
      </c>
      <c r="B501">
        <v>9862</v>
      </c>
      <c r="C501" t="b">
        <v>1</v>
      </c>
      <c r="D501">
        <v>8054</v>
      </c>
      <c r="E501">
        <v>8117</v>
      </c>
      <c r="F501">
        <v>230.2</v>
      </c>
      <c r="G501">
        <v>227.06666999999999</v>
      </c>
      <c r="H501">
        <v>1.0137992</v>
      </c>
      <c r="I501">
        <v>-1.3799169E-2</v>
      </c>
      <c r="J501">
        <v>0.49657383999999999</v>
      </c>
    </row>
    <row r="502" spans="1:10" x14ac:dyDescent="0.3">
      <c r="A502">
        <v>500</v>
      </c>
      <c r="B502">
        <v>9877</v>
      </c>
      <c r="C502" t="b">
        <v>1</v>
      </c>
      <c r="D502">
        <v>8060</v>
      </c>
      <c r="E502">
        <v>8146</v>
      </c>
      <c r="F502">
        <v>230.2</v>
      </c>
      <c r="G502">
        <v>226.26666</v>
      </c>
      <c r="H502">
        <v>1.0173836000000001</v>
      </c>
      <c r="I502">
        <v>-1.7383624E-2</v>
      </c>
      <c r="J502">
        <v>0.49569153999999999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C2C1D-A770-4468-9499-FFAD38A53C36}">
  <dimension ref="A1:J502"/>
  <sheetViews>
    <sheetView workbookViewId="0"/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9.44140625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 t="b">
        <v>1</v>
      </c>
      <c r="D2">
        <v>8048</v>
      </c>
      <c r="E2">
        <v>8123</v>
      </c>
      <c r="F2">
        <v>8</v>
      </c>
      <c r="G2">
        <v>8</v>
      </c>
      <c r="H2">
        <v>1</v>
      </c>
      <c r="I2">
        <v>0</v>
      </c>
      <c r="J2">
        <v>0.5</v>
      </c>
    </row>
    <row r="3" spans="1:10" x14ac:dyDescent="0.3">
      <c r="A3">
        <v>1</v>
      </c>
      <c r="B3">
        <v>19</v>
      </c>
      <c r="C3" t="b">
        <v>1</v>
      </c>
      <c r="D3">
        <v>8042</v>
      </c>
      <c r="E3">
        <v>8123</v>
      </c>
      <c r="F3">
        <v>8</v>
      </c>
      <c r="G3">
        <v>8</v>
      </c>
      <c r="H3">
        <v>1</v>
      </c>
      <c r="I3">
        <v>0</v>
      </c>
      <c r="J3">
        <v>0.5</v>
      </c>
    </row>
    <row r="4" spans="1:10" x14ac:dyDescent="0.3">
      <c r="A4">
        <v>2</v>
      </c>
      <c r="B4">
        <v>35</v>
      </c>
      <c r="C4" t="b">
        <v>1</v>
      </c>
      <c r="D4">
        <v>8048</v>
      </c>
      <c r="E4">
        <v>8123</v>
      </c>
      <c r="F4">
        <v>8</v>
      </c>
      <c r="G4">
        <v>8</v>
      </c>
      <c r="H4">
        <v>1</v>
      </c>
      <c r="I4">
        <v>0</v>
      </c>
      <c r="J4">
        <v>0.5</v>
      </c>
    </row>
    <row r="5" spans="1:10" x14ac:dyDescent="0.3">
      <c r="A5">
        <v>3</v>
      </c>
      <c r="B5">
        <v>51</v>
      </c>
      <c r="C5" t="b">
        <v>1</v>
      </c>
      <c r="D5">
        <v>8048</v>
      </c>
      <c r="E5">
        <v>8123</v>
      </c>
      <c r="F5">
        <v>8</v>
      </c>
      <c r="G5">
        <v>8</v>
      </c>
      <c r="H5">
        <v>1</v>
      </c>
      <c r="I5">
        <v>0</v>
      </c>
      <c r="J5">
        <v>0.5</v>
      </c>
    </row>
    <row r="6" spans="1:10" x14ac:dyDescent="0.3">
      <c r="A6">
        <v>4</v>
      </c>
      <c r="B6">
        <v>67</v>
      </c>
      <c r="C6" t="b">
        <v>1</v>
      </c>
      <c r="D6">
        <v>8048</v>
      </c>
      <c r="E6">
        <v>8123</v>
      </c>
      <c r="F6">
        <v>8</v>
      </c>
      <c r="G6">
        <v>8</v>
      </c>
      <c r="H6">
        <v>1</v>
      </c>
      <c r="I6">
        <v>0</v>
      </c>
      <c r="J6">
        <v>0.5</v>
      </c>
    </row>
    <row r="7" spans="1:10" x14ac:dyDescent="0.3">
      <c r="A7">
        <v>5</v>
      </c>
      <c r="B7">
        <v>83</v>
      </c>
      <c r="C7" t="b">
        <v>1</v>
      </c>
      <c r="D7">
        <v>8048</v>
      </c>
      <c r="E7">
        <v>8123</v>
      </c>
      <c r="F7">
        <v>8</v>
      </c>
      <c r="G7">
        <v>8</v>
      </c>
      <c r="H7">
        <v>1</v>
      </c>
      <c r="I7">
        <v>0</v>
      </c>
      <c r="J7">
        <v>0.5</v>
      </c>
    </row>
    <row r="8" spans="1:10" x14ac:dyDescent="0.3">
      <c r="A8">
        <v>6</v>
      </c>
      <c r="B8">
        <v>99</v>
      </c>
      <c r="C8" t="b">
        <v>1</v>
      </c>
      <c r="D8">
        <v>8048</v>
      </c>
      <c r="E8">
        <v>8123</v>
      </c>
      <c r="F8">
        <v>8</v>
      </c>
      <c r="G8">
        <v>8</v>
      </c>
      <c r="H8">
        <v>1</v>
      </c>
      <c r="I8">
        <v>0</v>
      </c>
      <c r="J8">
        <v>0.5</v>
      </c>
    </row>
    <row r="9" spans="1:10" x14ac:dyDescent="0.3">
      <c r="A9">
        <v>7</v>
      </c>
      <c r="B9">
        <v>115</v>
      </c>
      <c r="C9" t="b">
        <v>1</v>
      </c>
      <c r="D9">
        <v>8048</v>
      </c>
      <c r="E9">
        <v>8123</v>
      </c>
      <c r="F9">
        <v>8</v>
      </c>
      <c r="G9">
        <v>8</v>
      </c>
      <c r="H9">
        <v>1</v>
      </c>
      <c r="I9">
        <v>0</v>
      </c>
      <c r="J9">
        <v>0.5</v>
      </c>
    </row>
    <row r="10" spans="1:10" x14ac:dyDescent="0.3">
      <c r="A10">
        <v>8</v>
      </c>
      <c r="B10">
        <v>130</v>
      </c>
      <c r="C10" t="b">
        <v>1</v>
      </c>
      <c r="D10">
        <v>8048</v>
      </c>
      <c r="E10">
        <v>8123</v>
      </c>
      <c r="F10">
        <v>8</v>
      </c>
      <c r="G10">
        <v>8</v>
      </c>
      <c r="H10">
        <v>1</v>
      </c>
      <c r="I10">
        <v>0</v>
      </c>
      <c r="J10">
        <v>0.5</v>
      </c>
    </row>
    <row r="11" spans="1:10" x14ac:dyDescent="0.3">
      <c r="A11">
        <v>9</v>
      </c>
      <c r="B11">
        <v>147</v>
      </c>
      <c r="C11" t="b">
        <v>1</v>
      </c>
      <c r="D11">
        <v>8048</v>
      </c>
      <c r="E11">
        <v>8123</v>
      </c>
      <c r="F11">
        <v>8</v>
      </c>
      <c r="G11">
        <v>8</v>
      </c>
      <c r="H11">
        <v>1</v>
      </c>
      <c r="I11">
        <v>0</v>
      </c>
      <c r="J11">
        <v>0.5</v>
      </c>
    </row>
    <row r="12" spans="1:10" x14ac:dyDescent="0.3">
      <c r="A12">
        <v>10</v>
      </c>
      <c r="B12">
        <v>162</v>
      </c>
      <c r="C12" t="b">
        <v>1</v>
      </c>
      <c r="D12">
        <v>8048</v>
      </c>
      <c r="E12">
        <v>8123</v>
      </c>
      <c r="F12">
        <v>8</v>
      </c>
      <c r="G12">
        <v>8</v>
      </c>
      <c r="H12">
        <v>1</v>
      </c>
      <c r="I12">
        <v>0</v>
      </c>
      <c r="J12">
        <v>0.5</v>
      </c>
    </row>
    <row r="13" spans="1:10" x14ac:dyDescent="0.3">
      <c r="A13">
        <v>11</v>
      </c>
      <c r="B13">
        <v>178</v>
      </c>
      <c r="C13" t="b">
        <v>1</v>
      </c>
      <c r="D13">
        <v>8048</v>
      </c>
      <c r="E13">
        <v>8123</v>
      </c>
      <c r="F13">
        <v>8</v>
      </c>
      <c r="G13">
        <v>8</v>
      </c>
      <c r="H13">
        <v>1</v>
      </c>
      <c r="I13">
        <v>0</v>
      </c>
      <c r="J13">
        <v>0.5</v>
      </c>
    </row>
    <row r="14" spans="1:10" x14ac:dyDescent="0.3">
      <c r="A14">
        <v>12</v>
      </c>
      <c r="B14">
        <v>194</v>
      </c>
      <c r="C14" t="b">
        <v>1</v>
      </c>
      <c r="D14">
        <v>8048</v>
      </c>
      <c r="E14">
        <v>8123</v>
      </c>
      <c r="F14">
        <v>8</v>
      </c>
      <c r="G14">
        <v>8</v>
      </c>
      <c r="H14">
        <v>1</v>
      </c>
      <c r="I14">
        <v>0</v>
      </c>
      <c r="J14">
        <v>0.5</v>
      </c>
    </row>
    <row r="15" spans="1:10" x14ac:dyDescent="0.3">
      <c r="A15">
        <v>13</v>
      </c>
      <c r="B15">
        <v>210</v>
      </c>
      <c r="C15" t="b">
        <v>1</v>
      </c>
      <c r="D15">
        <v>8048</v>
      </c>
      <c r="E15">
        <v>8123</v>
      </c>
      <c r="F15">
        <v>8</v>
      </c>
      <c r="G15">
        <v>8</v>
      </c>
      <c r="H15">
        <v>1</v>
      </c>
      <c r="I15">
        <v>0</v>
      </c>
      <c r="J15">
        <v>0.5</v>
      </c>
    </row>
    <row r="16" spans="1:10" x14ac:dyDescent="0.3">
      <c r="A16">
        <v>14</v>
      </c>
      <c r="B16">
        <v>226</v>
      </c>
      <c r="C16" t="b">
        <v>1</v>
      </c>
      <c r="D16">
        <v>8048</v>
      </c>
      <c r="E16">
        <v>8123</v>
      </c>
      <c r="F16">
        <v>8</v>
      </c>
      <c r="G16">
        <v>8</v>
      </c>
      <c r="H16">
        <v>1</v>
      </c>
      <c r="I16">
        <v>0</v>
      </c>
      <c r="J16">
        <v>0.5</v>
      </c>
    </row>
    <row r="17" spans="1:10" x14ac:dyDescent="0.3">
      <c r="A17">
        <v>15</v>
      </c>
      <c r="B17">
        <v>242</v>
      </c>
      <c r="C17" t="b">
        <v>1</v>
      </c>
      <c r="D17">
        <v>8048</v>
      </c>
      <c r="E17">
        <v>8123</v>
      </c>
      <c r="F17">
        <v>8</v>
      </c>
      <c r="G17">
        <v>8</v>
      </c>
      <c r="H17">
        <v>1</v>
      </c>
      <c r="I17">
        <v>0</v>
      </c>
      <c r="J17">
        <v>0.5</v>
      </c>
    </row>
    <row r="18" spans="1:10" x14ac:dyDescent="0.3">
      <c r="A18">
        <v>16</v>
      </c>
      <c r="B18">
        <v>258</v>
      </c>
      <c r="C18" t="b">
        <v>1</v>
      </c>
      <c r="D18">
        <v>8048</v>
      </c>
      <c r="E18">
        <v>8117</v>
      </c>
      <c r="F18">
        <v>8</v>
      </c>
      <c r="G18">
        <v>8</v>
      </c>
      <c r="H18">
        <v>1</v>
      </c>
      <c r="I18">
        <v>0</v>
      </c>
      <c r="J18">
        <v>0.5</v>
      </c>
    </row>
    <row r="19" spans="1:10" x14ac:dyDescent="0.3">
      <c r="A19">
        <v>17</v>
      </c>
      <c r="B19">
        <v>274</v>
      </c>
      <c r="C19" t="b">
        <v>1</v>
      </c>
      <c r="D19">
        <v>8048</v>
      </c>
      <c r="E19">
        <v>8123</v>
      </c>
      <c r="F19">
        <v>8</v>
      </c>
      <c r="G19">
        <v>8</v>
      </c>
      <c r="H19">
        <v>1</v>
      </c>
      <c r="I19">
        <v>0</v>
      </c>
      <c r="J19">
        <v>0.5</v>
      </c>
    </row>
    <row r="20" spans="1:10" x14ac:dyDescent="0.3">
      <c r="A20">
        <v>18</v>
      </c>
      <c r="B20">
        <v>290</v>
      </c>
      <c r="C20" t="b">
        <v>1</v>
      </c>
      <c r="D20">
        <v>8048</v>
      </c>
      <c r="E20">
        <v>8123</v>
      </c>
      <c r="F20">
        <v>8</v>
      </c>
      <c r="G20">
        <v>8</v>
      </c>
      <c r="H20">
        <v>1</v>
      </c>
      <c r="I20">
        <v>0</v>
      </c>
      <c r="J20">
        <v>0.5</v>
      </c>
    </row>
    <row r="21" spans="1:10" x14ac:dyDescent="0.3">
      <c r="A21">
        <v>19</v>
      </c>
      <c r="B21">
        <v>306</v>
      </c>
      <c r="C21" t="b">
        <v>1</v>
      </c>
      <c r="D21">
        <v>8048</v>
      </c>
      <c r="E21">
        <v>8123</v>
      </c>
      <c r="F21">
        <v>8</v>
      </c>
      <c r="G21">
        <v>8</v>
      </c>
      <c r="H21">
        <v>1</v>
      </c>
      <c r="I21">
        <v>0</v>
      </c>
      <c r="J21">
        <v>0.5</v>
      </c>
    </row>
    <row r="22" spans="1:10" x14ac:dyDescent="0.3">
      <c r="A22">
        <v>20</v>
      </c>
      <c r="B22">
        <v>322</v>
      </c>
      <c r="C22" t="b">
        <v>1</v>
      </c>
      <c r="D22">
        <v>8048</v>
      </c>
      <c r="E22">
        <v>8123</v>
      </c>
      <c r="F22">
        <v>8</v>
      </c>
      <c r="G22">
        <v>8</v>
      </c>
      <c r="H22">
        <v>1</v>
      </c>
      <c r="I22">
        <v>0</v>
      </c>
      <c r="J22">
        <v>0.5</v>
      </c>
    </row>
    <row r="23" spans="1:10" x14ac:dyDescent="0.3">
      <c r="A23">
        <v>21</v>
      </c>
      <c r="B23">
        <v>338</v>
      </c>
      <c r="C23" t="b">
        <v>1</v>
      </c>
      <c r="D23">
        <v>8042</v>
      </c>
      <c r="E23">
        <v>8123</v>
      </c>
      <c r="F23">
        <v>8</v>
      </c>
      <c r="G23">
        <v>8</v>
      </c>
      <c r="H23">
        <v>1</v>
      </c>
      <c r="I23">
        <v>0</v>
      </c>
      <c r="J23">
        <v>0.5</v>
      </c>
    </row>
    <row r="24" spans="1:10" x14ac:dyDescent="0.3">
      <c r="A24">
        <v>22</v>
      </c>
      <c r="B24">
        <v>353</v>
      </c>
      <c r="C24" t="b">
        <v>1</v>
      </c>
      <c r="D24">
        <v>8048</v>
      </c>
      <c r="E24">
        <v>8117</v>
      </c>
      <c r="F24">
        <v>8</v>
      </c>
      <c r="G24">
        <v>8</v>
      </c>
      <c r="H24">
        <v>1</v>
      </c>
      <c r="I24">
        <v>0</v>
      </c>
      <c r="J24">
        <v>0.5</v>
      </c>
    </row>
    <row r="25" spans="1:10" x14ac:dyDescent="0.3">
      <c r="A25">
        <v>23</v>
      </c>
      <c r="B25">
        <v>369</v>
      </c>
      <c r="C25" t="b">
        <v>1</v>
      </c>
      <c r="D25">
        <v>8048</v>
      </c>
      <c r="E25">
        <v>8123</v>
      </c>
      <c r="F25">
        <v>8</v>
      </c>
      <c r="G25">
        <v>8</v>
      </c>
      <c r="H25">
        <v>1</v>
      </c>
      <c r="I25">
        <v>0</v>
      </c>
      <c r="J25">
        <v>0.5</v>
      </c>
    </row>
    <row r="26" spans="1:10" x14ac:dyDescent="0.3">
      <c r="A26">
        <v>24</v>
      </c>
      <c r="B26">
        <v>385</v>
      </c>
      <c r="C26" t="b">
        <v>1</v>
      </c>
      <c r="D26">
        <v>8048</v>
      </c>
      <c r="E26">
        <v>8123</v>
      </c>
      <c r="F26">
        <v>8</v>
      </c>
      <c r="G26">
        <v>8</v>
      </c>
      <c r="H26">
        <v>1</v>
      </c>
      <c r="I26">
        <v>0</v>
      </c>
      <c r="J26">
        <v>0.5</v>
      </c>
    </row>
    <row r="27" spans="1:10" x14ac:dyDescent="0.3">
      <c r="A27">
        <v>25</v>
      </c>
      <c r="B27">
        <v>401</v>
      </c>
      <c r="C27" t="b">
        <v>1</v>
      </c>
      <c r="D27">
        <v>8054</v>
      </c>
      <c r="E27">
        <v>8123</v>
      </c>
      <c r="F27">
        <v>8</v>
      </c>
      <c r="G27">
        <v>8</v>
      </c>
      <c r="H27">
        <v>1</v>
      </c>
      <c r="I27">
        <v>0</v>
      </c>
      <c r="J27">
        <v>0.5</v>
      </c>
    </row>
    <row r="28" spans="1:10" x14ac:dyDescent="0.3">
      <c r="A28">
        <v>26</v>
      </c>
      <c r="B28">
        <v>417</v>
      </c>
      <c r="C28" t="b">
        <v>1</v>
      </c>
      <c r="D28">
        <v>8048</v>
      </c>
      <c r="E28">
        <v>8117</v>
      </c>
      <c r="F28">
        <v>8</v>
      </c>
      <c r="G28">
        <v>8</v>
      </c>
      <c r="H28">
        <v>1</v>
      </c>
      <c r="I28">
        <v>0</v>
      </c>
      <c r="J28">
        <v>0.5</v>
      </c>
    </row>
    <row r="29" spans="1:10" x14ac:dyDescent="0.3">
      <c r="A29">
        <v>27</v>
      </c>
      <c r="B29">
        <v>432</v>
      </c>
      <c r="C29" t="b">
        <v>1</v>
      </c>
      <c r="D29">
        <v>8048</v>
      </c>
      <c r="E29">
        <v>8123</v>
      </c>
      <c r="F29">
        <v>8</v>
      </c>
      <c r="G29">
        <v>8</v>
      </c>
      <c r="H29">
        <v>1</v>
      </c>
      <c r="I29">
        <v>0</v>
      </c>
      <c r="J29">
        <v>0.5</v>
      </c>
    </row>
    <row r="30" spans="1:10" x14ac:dyDescent="0.3">
      <c r="A30">
        <v>28</v>
      </c>
      <c r="B30">
        <v>448</v>
      </c>
      <c r="C30" t="b">
        <v>1</v>
      </c>
      <c r="D30">
        <v>8048</v>
      </c>
      <c r="E30">
        <v>8123</v>
      </c>
      <c r="F30">
        <v>8</v>
      </c>
      <c r="G30">
        <v>8</v>
      </c>
      <c r="H30">
        <v>1</v>
      </c>
      <c r="I30">
        <v>0</v>
      </c>
      <c r="J30">
        <v>0.5</v>
      </c>
    </row>
    <row r="31" spans="1:10" x14ac:dyDescent="0.3">
      <c r="A31">
        <v>29</v>
      </c>
      <c r="B31">
        <v>464</v>
      </c>
      <c r="C31" t="b">
        <v>1</v>
      </c>
      <c r="D31">
        <v>8042</v>
      </c>
      <c r="E31">
        <v>8117</v>
      </c>
      <c r="F31">
        <v>8</v>
      </c>
      <c r="G31">
        <v>8</v>
      </c>
      <c r="H31">
        <v>1</v>
      </c>
      <c r="I31">
        <v>0</v>
      </c>
      <c r="J31">
        <v>0.5</v>
      </c>
    </row>
    <row r="32" spans="1:10" x14ac:dyDescent="0.3">
      <c r="A32">
        <v>30</v>
      </c>
      <c r="B32">
        <v>480</v>
      </c>
      <c r="C32" t="b">
        <v>1</v>
      </c>
      <c r="D32">
        <v>8048</v>
      </c>
      <c r="E32">
        <v>8117</v>
      </c>
      <c r="F32">
        <v>8</v>
      </c>
      <c r="G32">
        <v>7.6</v>
      </c>
      <c r="H32">
        <v>1.0526316</v>
      </c>
      <c r="I32">
        <v>-5.2631589999999999E-2</v>
      </c>
      <c r="J32">
        <v>0.48717946000000001</v>
      </c>
    </row>
    <row r="33" spans="1:10" x14ac:dyDescent="0.3">
      <c r="A33">
        <v>31</v>
      </c>
      <c r="B33">
        <v>496</v>
      </c>
      <c r="C33" t="b">
        <v>1</v>
      </c>
      <c r="D33">
        <v>8042</v>
      </c>
      <c r="E33">
        <v>8123</v>
      </c>
      <c r="F33">
        <v>8</v>
      </c>
      <c r="G33">
        <v>7.6</v>
      </c>
      <c r="H33">
        <v>1.0526316</v>
      </c>
      <c r="I33">
        <v>-5.2631589999999999E-2</v>
      </c>
      <c r="J33">
        <v>0.48717946000000001</v>
      </c>
    </row>
    <row r="34" spans="1:10" x14ac:dyDescent="0.3">
      <c r="A34">
        <v>32</v>
      </c>
      <c r="B34">
        <v>512</v>
      </c>
      <c r="C34" t="b">
        <v>1</v>
      </c>
      <c r="D34">
        <v>8048</v>
      </c>
      <c r="E34">
        <v>8123</v>
      </c>
      <c r="F34">
        <v>8</v>
      </c>
      <c r="G34">
        <v>7.6</v>
      </c>
      <c r="H34">
        <v>1.0526316</v>
      </c>
      <c r="I34">
        <v>-5.2631589999999999E-2</v>
      </c>
      <c r="J34">
        <v>0.48717946000000001</v>
      </c>
    </row>
    <row r="35" spans="1:10" x14ac:dyDescent="0.3">
      <c r="A35">
        <v>33</v>
      </c>
      <c r="B35">
        <v>528</v>
      </c>
      <c r="C35" t="b">
        <v>1</v>
      </c>
      <c r="D35">
        <v>8048</v>
      </c>
      <c r="E35">
        <v>8123</v>
      </c>
      <c r="F35">
        <v>8</v>
      </c>
      <c r="G35">
        <v>7.6</v>
      </c>
      <c r="H35">
        <v>1.0526316</v>
      </c>
      <c r="I35">
        <v>-5.2631589999999999E-2</v>
      </c>
      <c r="J35">
        <v>0.48717946000000001</v>
      </c>
    </row>
    <row r="36" spans="1:10" x14ac:dyDescent="0.3">
      <c r="A36">
        <v>34</v>
      </c>
      <c r="B36">
        <v>544</v>
      </c>
      <c r="C36" t="b">
        <v>1</v>
      </c>
      <c r="D36">
        <v>8048</v>
      </c>
      <c r="E36">
        <v>8123</v>
      </c>
      <c r="F36">
        <v>8</v>
      </c>
      <c r="G36">
        <v>7.6</v>
      </c>
      <c r="H36">
        <v>1.0526316</v>
      </c>
      <c r="I36">
        <v>-5.2631589999999999E-2</v>
      </c>
      <c r="J36">
        <v>0.48717946000000001</v>
      </c>
    </row>
    <row r="37" spans="1:10" x14ac:dyDescent="0.3">
      <c r="A37">
        <v>35</v>
      </c>
      <c r="B37">
        <v>560</v>
      </c>
      <c r="C37" t="b">
        <v>1</v>
      </c>
      <c r="D37">
        <v>8042</v>
      </c>
      <c r="E37">
        <v>8123</v>
      </c>
      <c r="F37">
        <v>8</v>
      </c>
      <c r="G37">
        <v>7.6</v>
      </c>
      <c r="H37">
        <v>1.0526316</v>
      </c>
      <c r="I37">
        <v>-5.2631589999999999E-2</v>
      </c>
      <c r="J37">
        <v>0.48717946000000001</v>
      </c>
    </row>
    <row r="38" spans="1:10" x14ac:dyDescent="0.3">
      <c r="A38">
        <v>36</v>
      </c>
      <c r="B38">
        <v>576</v>
      </c>
      <c r="C38" t="b">
        <v>1</v>
      </c>
      <c r="D38">
        <v>8048</v>
      </c>
      <c r="E38">
        <v>8117</v>
      </c>
      <c r="F38">
        <v>8</v>
      </c>
      <c r="G38">
        <v>7.6</v>
      </c>
      <c r="H38">
        <v>1.0526316</v>
      </c>
      <c r="I38">
        <v>-5.2631589999999999E-2</v>
      </c>
      <c r="J38">
        <v>0.48717946000000001</v>
      </c>
    </row>
    <row r="39" spans="1:10" x14ac:dyDescent="0.3">
      <c r="A39">
        <v>37</v>
      </c>
      <c r="B39">
        <v>591</v>
      </c>
      <c r="C39" t="b">
        <v>1</v>
      </c>
      <c r="D39">
        <v>8048</v>
      </c>
      <c r="E39">
        <v>8117</v>
      </c>
      <c r="F39">
        <v>8</v>
      </c>
      <c r="G39">
        <v>7.6</v>
      </c>
      <c r="H39">
        <v>1.0526316</v>
      </c>
      <c r="I39">
        <v>-5.2631589999999999E-2</v>
      </c>
      <c r="J39">
        <v>0.48717946000000001</v>
      </c>
    </row>
    <row r="40" spans="1:10" x14ac:dyDescent="0.3">
      <c r="A40">
        <v>38</v>
      </c>
      <c r="B40">
        <v>607</v>
      </c>
      <c r="C40" t="b">
        <v>1</v>
      </c>
      <c r="D40">
        <v>8054</v>
      </c>
      <c r="E40">
        <v>8129</v>
      </c>
      <c r="F40">
        <v>8</v>
      </c>
      <c r="G40">
        <v>7.6</v>
      </c>
      <c r="H40">
        <v>1.0526316</v>
      </c>
      <c r="I40">
        <v>-5.2631589999999999E-2</v>
      </c>
      <c r="J40">
        <v>0.48717946000000001</v>
      </c>
    </row>
    <row r="41" spans="1:10" x14ac:dyDescent="0.3">
      <c r="A41">
        <v>39</v>
      </c>
      <c r="B41">
        <v>624</v>
      </c>
      <c r="C41" t="b">
        <v>1</v>
      </c>
      <c r="D41">
        <v>8048</v>
      </c>
      <c r="E41">
        <v>8129</v>
      </c>
      <c r="F41">
        <v>8</v>
      </c>
      <c r="G41">
        <v>7.6</v>
      </c>
      <c r="H41">
        <v>1.0526316</v>
      </c>
      <c r="I41">
        <v>-5.2631589999999999E-2</v>
      </c>
      <c r="J41">
        <v>0.48717946000000001</v>
      </c>
    </row>
    <row r="42" spans="1:10" x14ac:dyDescent="0.3">
      <c r="A42">
        <v>40</v>
      </c>
      <c r="B42">
        <v>640</v>
      </c>
      <c r="C42" t="b">
        <v>1</v>
      </c>
      <c r="D42">
        <v>8048</v>
      </c>
      <c r="E42">
        <v>8129</v>
      </c>
      <c r="F42">
        <v>8</v>
      </c>
      <c r="G42">
        <v>8</v>
      </c>
      <c r="H42">
        <v>1</v>
      </c>
      <c r="I42">
        <v>0</v>
      </c>
      <c r="J42">
        <v>0.5</v>
      </c>
    </row>
    <row r="43" spans="1:10" x14ac:dyDescent="0.3">
      <c r="A43">
        <v>41</v>
      </c>
      <c r="B43">
        <v>656</v>
      </c>
      <c r="C43" t="b">
        <v>1</v>
      </c>
      <c r="D43">
        <v>8054</v>
      </c>
      <c r="E43">
        <v>8123</v>
      </c>
      <c r="F43">
        <v>8</v>
      </c>
      <c r="G43">
        <v>8.4</v>
      </c>
      <c r="H43">
        <v>0.95238100000000003</v>
      </c>
      <c r="I43">
        <v>4.7619003999999999E-2</v>
      </c>
      <c r="J43">
        <v>0.51219510000000001</v>
      </c>
    </row>
    <row r="44" spans="1:10" x14ac:dyDescent="0.3">
      <c r="A44">
        <v>42</v>
      </c>
      <c r="B44">
        <v>671</v>
      </c>
      <c r="C44" t="b">
        <v>1</v>
      </c>
      <c r="D44">
        <v>8048</v>
      </c>
      <c r="E44">
        <v>8123</v>
      </c>
      <c r="F44">
        <v>8</v>
      </c>
      <c r="G44">
        <v>8.8000000000000007</v>
      </c>
      <c r="H44">
        <v>0.90909090000000004</v>
      </c>
      <c r="I44">
        <v>9.0909110000000001E-2</v>
      </c>
      <c r="J44">
        <v>0.52380954999999996</v>
      </c>
    </row>
    <row r="45" spans="1:10" x14ac:dyDescent="0.3">
      <c r="A45">
        <v>43</v>
      </c>
      <c r="B45">
        <v>687</v>
      </c>
      <c r="C45" t="b">
        <v>1</v>
      </c>
      <c r="D45">
        <v>8048</v>
      </c>
      <c r="E45">
        <v>8123</v>
      </c>
      <c r="F45">
        <v>8</v>
      </c>
      <c r="G45">
        <v>8.8000000000000007</v>
      </c>
      <c r="H45">
        <v>0.90909090000000004</v>
      </c>
      <c r="I45">
        <v>9.0909110000000001E-2</v>
      </c>
      <c r="J45">
        <v>0.52380954999999996</v>
      </c>
    </row>
    <row r="46" spans="1:10" x14ac:dyDescent="0.3">
      <c r="A46">
        <v>44</v>
      </c>
      <c r="B46">
        <v>703</v>
      </c>
      <c r="C46" t="b">
        <v>1</v>
      </c>
      <c r="D46">
        <v>8048</v>
      </c>
      <c r="E46">
        <v>8123</v>
      </c>
      <c r="F46">
        <v>8</v>
      </c>
      <c r="G46">
        <v>8.8000000000000007</v>
      </c>
      <c r="H46">
        <v>0.90909090000000004</v>
      </c>
      <c r="I46">
        <v>9.0909110000000001E-2</v>
      </c>
      <c r="J46">
        <v>0.52380954999999996</v>
      </c>
    </row>
    <row r="47" spans="1:10" x14ac:dyDescent="0.3">
      <c r="A47">
        <v>45</v>
      </c>
      <c r="B47">
        <v>719</v>
      </c>
      <c r="C47" t="b">
        <v>1</v>
      </c>
      <c r="D47">
        <v>8048</v>
      </c>
      <c r="E47">
        <v>8123</v>
      </c>
      <c r="F47">
        <v>8</v>
      </c>
      <c r="G47">
        <v>9.1999999999999993</v>
      </c>
      <c r="H47">
        <v>0.86956524999999996</v>
      </c>
      <c r="I47">
        <v>0.13043477000000001</v>
      </c>
      <c r="J47">
        <v>0.53488369999999996</v>
      </c>
    </row>
    <row r="48" spans="1:10" x14ac:dyDescent="0.3">
      <c r="A48">
        <v>46</v>
      </c>
      <c r="B48">
        <v>735</v>
      </c>
      <c r="C48" t="b">
        <v>1</v>
      </c>
      <c r="D48">
        <v>8048</v>
      </c>
      <c r="E48">
        <v>8123</v>
      </c>
      <c r="F48">
        <v>8</v>
      </c>
      <c r="G48">
        <v>9.1999999999999993</v>
      </c>
      <c r="H48">
        <v>0.86956524999999996</v>
      </c>
      <c r="I48">
        <v>0.13043477000000001</v>
      </c>
      <c r="J48">
        <v>0.53488369999999996</v>
      </c>
    </row>
    <row r="49" spans="1:10" x14ac:dyDescent="0.3">
      <c r="A49">
        <v>47</v>
      </c>
      <c r="B49">
        <v>751</v>
      </c>
      <c r="C49" t="b">
        <v>1</v>
      </c>
      <c r="D49">
        <v>8048</v>
      </c>
      <c r="E49">
        <v>8123</v>
      </c>
      <c r="F49">
        <v>8</v>
      </c>
      <c r="G49">
        <v>9.1999999999999993</v>
      </c>
      <c r="H49">
        <v>0.86956524999999996</v>
      </c>
      <c r="I49">
        <v>0.13043477000000001</v>
      </c>
      <c r="J49">
        <v>0.53488369999999996</v>
      </c>
    </row>
    <row r="50" spans="1:10" x14ac:dyDescent="0.3">
      <c r="A50">
        <v>48</v>
      </c>
      <c r="B50">
        <v>767</v>
      </c>
      <c r="C50" t="b">
        <v>1</v>
      </c>
      <c r="D50">
        <v>8042</v>
      </c>
      <c r="E50">
        <v>8117</v>
      </c>
      <c r="F50">
        <v>8</v>
      </c>
      <c r="G50">
        <v>9.1999999999999993</v>
      </c>
      <c r="H50">
        <v>0.86956524999999996</v>
      </c>
      <c r="I50">
        <v>0.13043477000000001</v>
      </c>
      <c r="J50">
        <v>0.53488369999999996</v>
      </c>
    </row>
    <row r="51" spans="1:10" x14ac:dyDescent="0.3">
      <c r="A51">
        <v>49</v>
      </c>
      <c r="B51">
        <v>783</v>
      </c>
      <c r="C51" t="b">
        <v>1</v>
      </c>
      <c r="D51">
        <v>8054</v>
      </c>
      <c r="E51">
        <v>8123</v>
      </c>
      <c r="F51">
        <v>8</v>
      </c>
      <c r="G51">
        <v>9.1999999999999993</v>
      </c>
      <c r="H51">
        <v>0.86956524999999996</v>
      </c>
      <c r="I51">
        <v>0.13043477000000001</v>
      </c>
      <c r="J51">
        <v>0.53488369999999996</v>
      </c>
    </row>
    <row r="52" spans="1:10" x14ac:dyDescent="0.3">
      <c r="A52">
        <v>50</v>
      </c>
      <c r="B52">
        <v>799</v>
      </c>
      <c r="C52" t="b">
        <v>1</v>
      </c>
      <c r="D52">
        <v>8048</v>
      </c>
      <c r="E52">
        <v>8117</v>
      </c>
      <c r="F52">
        <v>8</v>
      </c>
      <c r="G52">
        <v>9.1999999999999993</v>
      </c>
      <c r="H52">
        <v>0.86956524999999996</v>
      </c>
      <c r="I52">
        <v>0.13043477000000001</v>
      </c>
      <c r="J52">
        <v>0.53488369999999996</v>
      </c>
    </row>
    <row r="53" spans="1:10" x14ac:dyDescent="0.3">
      <c r="A53">
        <v>51</v>
      </c>
      <c r="B53">
        <v>815</v>
      </c>
      <c r="C53" t="b">
        <v>1</v>
      </c>
      <c r="D53">
        <v>8048</v>
      </c>
      <c r="E53">
        <v>8123</v>
      </c>
      <c r="F53">
        <v>8</v>
      </c>
      <c r="G53">
        <v>9.1999999999999993</v>
      </c>
      <c r="H53">
        <v>0.86956524999999996</v>
      </c>
      <c r="I53">
        <v>0.13043477000000001</v>
      </c>
      <c r="J53">
        <v>0.53488369999999996</v>
      </c>
    </row>
    <row r="54" spans="1:10" x14ac:dyDescent="0.3">
      <c r="A54">
        <v>52</v>
      </c>
      <c r="B54">
        <v>830</v>
      </c>
      <c r="C54" t="b">
        <v>1</v>
      </c>
      <c r="D54">
        <v>8042</v>
      </c>
      <c r="E54">
        <v>8123</v>
      </c>
      <c r="F54">
        <v>8</v>
      </c>
      <c r="G54">
        <v>9.1999999999999993</v>
      </c>
      <c r="H54">
        <v>0.86956524999999996</v>
      </c>
      <c r="I54">
        <v>0.13043477000000001</v>
      </c>
      <c r="J54">
        <v>0.53488369999999996</v>
      </c>
    </row>
    <row r="55" spans="1:10" x14ac:dyDescent="0.3">
      <c r="A55">
        <v>53</v>
      </c>
      <c r="B55">
        <v>846</v>
      </c>
      <c r="C55" t="b">
        <v>1</v>
      </c>
      <c r="D55">
        <v>8054</v>
      </c>
      <c r="E55">
        <v>8123</v>
      </c>
      <c r="F55">
        <v>8</v>
      </c>
      <c r="G55">
        <v>9.1999999999999993</v>
      </c>
      <c r="H55">
        <v>0.86956524999999996</v>
      </c>
      <c r="I55">
        <v>0.13043477000000001</v>
      </c>
      <c r="J55">
        <v>0.53488369999999996</v>
      </c>
    </row>
    <row r="56" spans="1:10" x14ac:dyDescent="0.3">
      <c r="A56">
        <v>54</v>
      </c>
      <c r="B56">
        <v>862</v>
      </c>
      <c r="C56" t="b">
        <v>1</v>
      </c>
      <c r="D56">
        <v>8048</v>
      </c>
      <c r="E56">
        <v>8123</v>
      </c>
      <c r="F56">
        <v>8</v>
      </c>
      <c r="G56">
        <v>9.1999999999999993</v>
      </c>
      <c r="H56">
        <v>0.86956524999999996</v>
      </c>
      <c r="I56">
        <v>0.13043477000000001</v>
      </c>
      <c r="J56">
        <v>0.53488369999999996</v>
      </c>
    </row>
    <row r="57" spans="1:10" x14ac:dyDescent="0.3">
      <c r="A57">
        <v>55</v>
      </c>
      <c r="B57">
        <v>878</v>
      </c>
      <c r="C57" t="b">
        <v>1</v>
      </c>
      <c r="D57">
        <v>8042</v>
      </c>
      <c r="E57">
        <v>8123</v>
      </c>
      <c r="F57">
        <v>8</v>
      </c>
      <c r="G57">
        <v>8.8000000000000007</v>
      </c>
      <c r="H57">
        <v>0.90909090000000004</v>
      </c>
      <c r="I57">
        <v>9.0909110000000001E-2</v>
      </c>
      <c r="J57">
        <v>0.52380954999999996</v>
      </c>
    </row>
    <row r="58" spans="1:10" x14ac:dyDescent="0.3">
      <c r="A58">
        <v>56</v>
      </c>
      <c r="B58">
        <v>894</v>
      </c>
      <c r="C58" t="b">
        <v>1</v>
      </c>
      <c r="D58">
        <v>8048</v>
      </c>
      <c r="E58">
        <v>8117</v>
      </c>
      <c r="F58">
        <v>8</v>
      </c>
      <c r="G58">
        <v>8.4</v>
      </c>
      <c r="H58">
        <v>0.95238100000000003</v>
      </c>
      <c r="I58">
        <v>4.7619003999999999E-2</v>
      </c>
      <c r="J58">
        <v>0.51219510000000001</v>
      </c>
    </row>
    <row r="59" spans="1:10" x14ac:dyDescent="0.3">
      <c r="A59">
        <v>57</v>
      </c>
      <c r="B59">
        <v>910</v>
      </c>
      <c r="C59" t="b">
        <v>1</v>
      </c>
      <c r="D59">
        <v>8048</v>
      </c>
      <c r="E59">
        <v>8123</v>
      </c>
      <c r="F59">
        <v>8</v>
      </c>
      <c r="G59">
        <v>8</v>
      </c>
      <c r="H59">
        <v>1</v>
      </c>
      <c r="I59">
        <v>0</v>
      </c>
      <c r="J59">
        <v>0.5</v>
      </c>
    </row>
    <row r="60" spans="1:10" x14ac:dyDescent="0.3">
      <c r="A60">
        <v>58</v>
      </c>
      <c r="B60">
        <v>925</v>
      </c>
      <c r="C60" t="b">
        <v>1</v>
      </c>
      <c r="D60">
        <v>8048</v>
      </c>
      <c r="E60">
        <v>8123</v>
      </c>
      <c r="F60">
        <v>8</v>
      </c>
      <c r="G60">
        <v>8</v>
      </c>
      <c r="H60">
        <v>1</v>
      </c>
      <c r="I60">
        <v>0</v>
      </c>
      <c r="J60">
        <v>0.5</v>
      </c>
    </row>
    <row r="61" spans="1:10" x14ac:dyDescent="0.3">
      <c r="A61">
        <v>59</v>
      </c>
      <c r="B61">
        <v>941</v>
      </c>
      <c r="C61" t="b">
        <v>1</v>
      </c>
      <c r="D61">
        <v>8048</v>
      </c>
      <c r="E61">
        <v>8117</v>
      </c>
      <c r="F61">
        <v>8</v>
      </c>
      <c r="G61">
        <v>8</v>
      </c>
      <c r="H61">
        <v>1</v>
      </c>
      <c r="I61">
        <v>0</v>
      </c>
      <c r="J61">
        <v>0.5</v>
      </c>
    </row>
    <row r="62" spans="1:10" x14ac:dyDescent="0.3">
      <c r="A62">
        <v>60</v>
      </c>
      <c r="B62">
        <v>957</v>
      </c>
      <c r="C62" t="b">
        <v>1</v>
      </c>
      <c r="D62">
        <v>8048</v>
      </c>
      <c r="E62">
        <v>8117</v>
      </c>
      <c r="F62">
        <v>8</v>
      </c>
      <c r="G62">
        <v>7.6</v>
      </c>
      <c r="H62">
        <v>1.0526316</v>
      </c>
      <c r="I62">
        <v>-5.2631589999999999E-2</v>
      </c>
      <c r="J62">
        <v>0.48717946000000001</v>
      </c>
    </row>
    <row r="63" spans="1:10" x14ac:dyDescent="0.3">
      <c r="A63">
        <v>61</v>
      </c>
      <c r="B63">
        <v>973</v>
      </c>
      <c r="C63" t="b">
        <v>1</v>
      </c>
      <c r="D63">
        <v>8048</v>
      </c>
      <c r="E63">
        <v>8123</v>
      </c>
      <c r="F63">
        <v>8</v>
      </c>
      <c r="G63">
        <v>7.6</v>
      </c>
      <c r="H63">
        <v>1.0526316</v>
      </c>
      <c r="I63">
        <v>-5.2631589999999999E-2</v>
      </c>
      <c r="J63">
        <v>0.48717946000000001</v>
      </c>
    </row>
    <row r="64" spans="1:10" x14ac:dyDescent="0.3">
      <c r="A64">
        <v>62</v>
      </c>
      <c r="B64">
        <v>989</v>
      </c>
      <c r="C64" t="b">
        <v>1</v>
      </c>
      <c r="D64">
        <v>8048</v>
      </c>
      <c r="E64">
        <v>8123</v>
      </c>
      <c r="F64">
        <v>8</v>
      </c>
      <c r="G64">
        <v>7.6</v>
      </c>
      <c r="H64">
        <v>1.0526316</v>
      </c>
      <c r="I64">
        <v>-5.2631589999999999E-2</v>
      </c>
      <c r="J64">
        <v>0.48717946000000001</v>
      </c>
    </row>
    <row r="65" spans="1:10" x14ac:dyDescent="0.3">
      <c r="A65">
        <v>63</v>
      </c>
      <c r="B65">
        <v>1006</v>
      </c>
      <c r="C65" t="b">
        <v>1</v>
      </c>
      <c r="D65">
        <v>8048</v>
      </c>
      <c r="E65">
        <v>8117</v>
      </c>
      <c r="F65">
        <v>8</v>
      </c>
      <c r="G65">
        <v>7.2</v>
      </c>
      <c r="H65">
        <v>1.1111112000000001</v>
      </c>
      <c r="I65">
        <v>-0.11111114</v>
      </c>
      <c r="J65">
        <v>0.4736842</v>
      </c>
    </row>
    <row r="66" spans="1:10" x14ac:dyDescent="0.3">
      <c r="A66">
        <v>64</v>
      </c>
      <c r="B66">
        <v>1021</v>
      </c>
      <c r="C66" t="b">
        <v>1</v>
      </c>
      <c r="D66">
        <v>8048</v>
      </c>
      <c r="E66">
        <v>8123</v>
      </c>
      <c r="F66">
        <v>8</v>
      </c>
      <c r="G66">
        <v>7.2</v>
      </c>
      <c r="H66">
        <v>1.1111112000000001</v>
      </c>
      <c r="I66">
        <v>-0.11111114</v>
      </c>
      <c r="J66">
        <v>0.4736842</v>
      </c>
    </row>
    <row r="67" spans="1:10" x14ac:dyDescent="0.3">
      <c r="A67">
        <v>65</v>
      </c>
      <c r="B67">
        <v>1037</v>
      </c>
      <c r="C67" t="b">
        <v>1</v>
      </c>
      <c r="D67">
        <v>8048</v>
      </c>
      <c r="E67">
        <v>8123</v>
      </c>
      <c r="F67">
        <v>8</v>
      </c>
      <c r="G67">
        <v>7.2</v>
      </c>
      <c r="H67">
        <v>1.1111112000000001</v>
      </c>
      <c r="I67">
        <v>-0.11111114</v>
      </c>
      <c r="J67">
        <v>0.4736842</v>
      </c>
    </row>
    <row r="68" spans="1:10" x14ac:dyDescent="0.3">
      <c r="A68">
        <v>66</v>
      </c>
      <c r="B68">
        <v>1053</v>
      </c>
      <c r="C68" t="b">
        <v>1</v>
      </c>
      <c r="D68">
        <v>8048</v>
      </c>
      <c r="E68">
        <v>8117</v>
      </c>
      <c r="F68">
        <v>8</v>
      </c>
      <c r="G68">
        <v>7.2</v>
      </c>
      <c r="H68">
        <v>1.1111112000000001</v>
      </c>
      <c r="I68">
        <v>-0.11111114</v>
      </c>
      <c r="J68">
        <v>0.4736842</v>
      </c>
    </row>
    <row r="69" spans="1:10" x14ac:dyDescent="0.3">
      <c r="A69">
        <v>67</v>
      </c>
      <c r="B69">
        <v>1069</v>
      </c>
      <c r="C69" t="b">
        <v>1</v>
      </c>
      <c r="D69">
        <v>8048</v>
      </c>
      <c r="E69">
        <v>8123</v>
      </c>
      <c r="F69">
        <v>8</v>
      </c>
      <c r="G69">
        <v>7.2</v>
      </c>
      <c r="H69">
        <v>1.1111112000000001</v>
      </c>
      <c r="I69">
        <v>-0.11111114</v>
      </c>
      <c r="J69">
        <v>0.4736842</v>
      </c>
    </row>
    <row r="70" spans="1:10" x14ac:dyDescent="0.3">
      <c r="A70">
        <v>68</v>
      </c>
      <c r="B70">
        <v>1085</v>
      </c>
      <c r="C70" t="b">
        <v>1</v>
      </c>
      <c r="D70">
        <v>8048</v>
      </c>
      <c r="E70">
        <v>8123</v>
      </c>
      <c r="F70">
        <v>8</v>
      </c>
      <c r="G70">
        <v>7.2</v>
      </c>
      <c r="H70">
        <v>1.1111112000000001</v>
      </c>
      <c r="I70">
        <v>-0.11111114</v>
      </c>
      <c r="J70">
        <v>0.4736842</v>
      </c>
    </row>
    <row r="71" spans="1:10" x14ac:dyDescent="0.3">
      <c r="A71">
        <v>69</v>
      </c>
      <c r="B71">
        <v>1100</v>
      </c>
      <c r="C71" t="b">
        <v>1</v>
      </c>
      <c r="D71">
        <v>8048</v>
      </c>
      <c r="E71">
        <v>8129</v>
      </c>
      <c r="F71">
        <v>8</v>
      </c>
      <c r="G71">
        <v>7.2</v>
      </c>
      <c r="H71">
        <v>1.1111112000000001</v>
      </c>
      <c r="I71">
        <v>-0.11111114</v>
      </c>
      <c r="J71">
        <v>0.4736842</v>
      </c>
    </row>
    <row r="72" spans="1:10" x14ac:dyDescent="0.3">
      <c r="A72">
        <v>70</v>
      </c>
      <c r="B72">
        <v>1116</v>
      </c>
      <c r="C72" t="b">
        <v>1</v>
      </c>
      <c r="D72">
        <v>8048</v>
      </c>
      <c r="E72">
        <v>8129</v>
      </c>
      <c r="F72">
        <v>8</v>
      </c>
      <c r="G72">
        <v>7.2</v>
      </c>
      <c r="H72">
        <v>1.1111112000000001</v>
      </c>
      <c r="I72">
        <v>-0.11111114</v>
      </c>
      <c r="J72">
        <v>0.4736842</v>
      </c>
    </row>
    <row r="73" spans="1:10" x14ac:dyDescent="0.3">
      <c r="A73">
        <v>71</v>
      </c>
      <c r="B73">
        <v>1132</v>
      </c>
      <c r="C73" t="b">
        <v>1</v>
      </c>
      <c r="D73">
        <v>8048</v>
      </c>
      <c r="E73">
        <v>8129</v>
      </c>
      <c r="F73">
        <v>8</v>
      </c>
      <c r="G73">
        <v>7.6</v>
      </c>
      <c r="H73">
        <v>1.0526316</v>
      </c>
      <c r="I73">
        <v>-5.2631589999999999E-2</v>
      </c>
      <c r="J73">
        <v>0.48717946000000001</v>
      </c>
    </row>
    <row r="74" spans="1:10" x14ac:dyDescent="0.3">
      <c r="A74">
        <v>72</v>
      </c>
      <c r="B74">
        <v>1148</v>
      </c>
      <c r="C74" t="b">
        <v>1</v>
      </c>
      <c r="D74">
        <v>8048</v>
      </c>
      <c r="E74">
        <v>8129</v>
      </c>
      <c r="F74">
        <v>8</v>
      </c>
      <c r="G74">
        <v>8</v>
      </c>
      <c r="H74">
        <v>1</v>
      </c>
      <c r="I74">
        <v>0</v>
      </c>
      <c r="J74">
        <v>0.5</v>
      </c>
    </row>
    <row r="75" spans="1:10" x14ac:dyDescent="0.3">
      <c r="A75">
        <v>73</v>
      </c>
      <c r="B75">
        <v>1164</v>
      </c>
      <c r="C75" t="b">
        <v>1</v>
      </c>
      <c r="D75">
        <v>8048</v>
      </c>
      <c r="E75">
        <v>8129</v>
      </c>
      <c r="F75">
        <v>8</v>
      </c>
      <c r="G75">
        <v>8.4</v>
      </c>
      <c r="H75">
        <v>0.95238100000000003</v>
      </c>
      <c r="I75">
        <v>4.7619003999999999E-2</v>
      </c>
      <c r="J75">
        <v>0.51219510000000001</v>
      </c>
    </row>
    <row r="76" spans="1:10" x14ac:dyDescent="0.3">
      <c r="A76">
        <v>74</v>
      </c>
      <c r="B76">
        <v>1180</v>
      </c>
      <c r="C76" t="b">
        <v>1</v>
      </c>
      <c r="D76">
        <v>8048</v>
      </c>
      <c r="E76">
        <v>8129</v>
      </c>
      <c r="F76">
        <v>8</v>
      </c>
      <c r="G76">
        <v>8.8000000000000007</v>
      </c>
      <c r="H76">
        <v>0.90909090000000004</v>
      </c>
      <c r="I76">
        <v>9.0909110000000001E-2</v>
      </c>
      <c r="J76">
        <v>0.52380954999999996</v>
      </c>
    </row>
    <row r="77" spans="1:10" x14ac:dyDescent="0.3">
      <c r="A77">
        <v>75</v>
      </c>
      <c r="B77">
        <v>1196</v>
      </c>
      <c r="C77" t="b">
        <v>1</v>
      </c>
      <c r="D77">
        <v>8048</v>
      </c>
      <c r="E77">
        <v>8123</v>
      </c>
      <c r="F77">
        <v>8</v>
      </c>
      <c r="G77">
        <v>9.6</v>
      </c>
      <c r="H77">
        <v>0.83333330000000005</v>
      </c>
      <c r="I77">
        <v>0.1666667</v>
      </c>
      <c r="J77">
        <v>0.54545456000000003</v>
      </c>
    </row>
    <row r="78" spans="1:10" x14ac:dyDescent="0.3">
      <c r="A78">
        <v>76</v>
      </c>
      <c r="B78">
        <v>1211</v>
      </c>
      <c r="C78" t="b">
        <v>1</v>
      </c>
      <c r="D78">
        <v>8048</v>
      </c>
      <c r="E78">
        <v>8123</v>
      </c>
      <c r="F78">
        <v>8</v>
      </c>
      <c r="G78">
        <v>10</v>
      </c>
      <c r="H78">
        <v>0.8</v>
      </c>
      <c r="I78">
        <v>0.2</v>
      </c>
      <c r="J78">
        <v>0.55555560000000004</v>
      </c>
    </row>
    <row r="79" spans="1:10" x14ac:dyDescent="0.3">
      <c r="A79">
        <v>77</v>
      </c>
      <c r="B79">
        <v>1227</v>
      </c>
      <c r="C79" t="b">
        <v>1</v>
      </c>
      <c r="D79">
        <v>8048</v>
      </c>
      <c r="E79">
        <v>8123</v>
      </c>
      <c r="F79">
        <v>8</v>
      </c>
      <c r="G79">
        <v>10</v>
      </c>
      <c r="H79">
        <v>0.8</v>
      </c>
      <c r="I79">
        <v>0.2</v>
      </c>
      <c r="J79">
        <v>0.55555560000000004</v>
      </c>
    </row>
    <row r="80" spans="1:10" x14ac:dyDescent="0.3">
      <c r="A80">
        <v>78</v>
      </c>
      <c r="B80">
        <v>1243</v>
      </c>
      <c r="C80" t="b">
        <v>1</v>
      </c>
      <c r="D80">
        <v>8054</v>
      </c>
      <c r="E80">
        <v>8123</v>
      </c>
      <c r="F80">
        <v>8</v>
      </c>
      <c r="G80">
        <v>10.4</v>
      </c>
      <c r="H80">
        <v>0.76923079999999999</v>
      </c>
      <c r="I80">
        <v>0.23076920000000001</v>
      </c>
      <c r="J80">
        <v>0.56521739999999998</v>
      </c>
    </row>
    <row r="81" spans="1:10" x14ac:dyDescent="0.3">
      <c r="A81">
        <v>79</v>
      </c>
      <c r="B81">
        <v>1261</v>
      </c>
      <c r="C81" t="b">
        <v>1</v>
      </c>
      <c r="D81">
        <v>8048</v>
      </c>
      <c r="E81">
        <v>8123</v>
      </c>
      <c r="F81">
        <v>8</v>
      </c>
      <c r="G81">
        <v>10.4</v>
      </c>
      <c r="H81">
        <v>0.76923079999999999</v>
      </c>
      <c r="I81">
        <v>0.23076920000000001</v>
      </c>
      <c r="J81">
        <v>0.56521739999999998</v>
      </c>
    </row>
    <row r="82" spans="1:10" x14ac:dyDescent="0.3">
      <c r="A82">
        <v>80</v>
      </c>
      <c r="B82">
        <v>1277</v>
      </c>
      <c r="C82" t="b">
        <v>1</v>
      </c>
      <c r="D82">
        <v>8048</v>
      </c>
      <c r="E82">
        <v>8117</v>
      </c>
      <c r="F82">
        <v>8</v>
      </c>
      <c r="G82">
        <v>10.4</v>
      </c>
      <c r="H82">
        <v>0.76923079999999999</v>
      </c>
      <c r="I82">
        <v>0.23076920000000001</v>
      </c>
      <c r="J82">
        <v>0.56521739999999998</v>
      </c>
    </row>
    <row r="83" spans="1:10" x14ac:dyDescent="0.3">
      <c r="A83">
        <v>81</v>
      </c>
      <c r="B83">
        <v>1292</v>
      </c>
      <c r="C83" t="b">
        <v>1</v>
      </c>
      <c r="D83">
        <v>8048</v>
      </c>
      <c r="E83">
        <v>8123</v>
      </c>
      <c r="F83">
        <v>8</v>
      </c>
      <c r="G83">
        <v>10.4</v>
      </c>
      <c r="H83">
        <v>0.76923079999999999</v>
      </c>
      <c r="I83">
        <v>0.23076920000000001</v>
      </c>
      <c r="J83">
        <v>0.56521739999999998</v>
      </c>
    </row>
    <row r="84" spans="1:10" x14ac:dyDescent="0.3">
      <c r="A84">
        <v>82</v>
      </c>
      <c r="B84">
        <v>1308</v>
      </c>
      <c r="C84" t="b">
        <v>1</v>
      </c>
      <c r="D84">
        <v>8048</v>
      </c>
      <c r="E84">
        <v>8123</v>
      </c>
      <c r="F84">
        <v>8</v>
      </c>
      <c r="G84">
        <v>10.4</v>
      </c>
      <c r="H84">
        <v>0.76923079999999999</v>
      </c>
      <c r="I84">
        <v>0.23076920000000001</v>
      </c>
      <c r="J84">
        <v>0.56521739999999998</v>
      </c>
    </row>
    <row r="85" spans="1:10" x14ac:dyDescent="0.3">
      <c r="A85">
        <v>83</v>
      </c>
      <c r="B85">
        <v>1324</v>
      </c>
      <c r="C85" t="b">
        <v>1</v>
      </c>
      <c r="D85">
        <v>8048</v>
      </c>
      <c r="E85">
        <v>8123</v>
      </c>
      <c r="F85">
        <v>8</v>
      </c>
      <c r="G85">
        <v>10.4</v>
      </c>
      <c r="H85">
        <v>0.76923079999999999</v>
      </c>
      <c r="I85">
        <v>0.23076920000000001</v>
      </c>
      <c r="J85">
        <v>0.56521739999999998</v>
      </c>
    </row>
    <row r="86" spans="1:10" x14ac:dyDescent="0.3">
      <c r="A86">
        <v>84</v>
      </c>
      <c r="B86">
        <v>1340</v>
      </c>
      <c r="C86" t="b">
        <v>1</v>
      </c>
      <c r="D86">
        <v>8048</v>
      </c>
      <c r="E86">
        <v>8123</v>
      </c>
      <c r="F86">
        <v>8</v>
      </c>
      <c r="G86">
        <v>10.4</v>
      </c>
      <c r="H86">
        <v>0.76923079999999999</v>
      </c>
      <c r="I86">
        <v>0.23076920000000001</v>
      </c>
      <c r="J86">
        <v>0.56521739999999998</v>
      </c>
    </row>
    <row r="87" spans="1:10" x14ac:dyDescent="0.3">
      <c r="A87">
        <v>85</v>
      </c>
      <c r="B87">
        <v>1356</v>
      </c>
      <c r="C87" t="b">
        <v>1</v>
      </c>
      <c r="D87">
        <v>8048</v>
      </c>
      <c r="E87">
        <v>8123</v>
      </c>
      <c r="F87">
        <v>8</v>
      </c>
      <c r="G87">
        <v>10.4</v>
      </c>
      <c r="H87">
        <v>0.76923079999999999</v>
      </c>
      <c r="I87">
        <v>0.23076920000000001</v>
      </c>
      <c r="J87">
        <v>0.56521739999999998</v>
      </c>
    </row>
    <row r="88" spans="1:10" x14ac:dyDescent="0.3">
      <c r="A88">
        <v>86</v>
      </c>
      <c r="B88">
        <v>1371</v>
      </c>
      <c r="C88" t="b">
        <v>1</v>
      </c>
      <c r="D88">
        <v>8048</v>
      </c>
      <c r="E88">
        <v>8123</v>
      </c>
      <c r="F88">
        <v>8</v>
      </c>
      <c r="G88">
        <v>10</v>
      </c>
      <c r="H88">
        <v>0.8</v>
      </c>
      <c r="I88">
        <v>0.2</v>
      </c>
      <c r="J88">
        <v>0.55555560000000004</v>
      </c>
    </row>
    <row r="89" spans="1:10" x14ac:dyDescent="0.3">
      <c r="A89">
        <v>87</v>
      </c>
      <c r="B89">
        <v>1387</v>
      </c>
      <c r="C89" t="b">
        <v>1</v>
      </c>
      <c r="D89">
        <v>8048</v>
      </c>
      <c r="E89">
        <v>8123</v>
      </c>
      <c r="F89">
        <v>8</v>
      </c>
      <c r="G89">
        <v>9.6</v>
      </c>
      <c r="H89">
        <v>0.83333330000000005</v>
      </c>
      <c r="I89">
        <v>0.1666667</v>
      </c>
      <c r="J89">
        <v>0.54545456000000003</v>
      </c>
    </row>
    <row r="90" spans="1:10" x14ac:dyDescent="0.3">
      <c r="A90">
        <v>88</v>
      </c>
      <c r="B90">
        <v>1403</v>
      </c>
      <c r="C90" t="b">
        <v>1</v>
      </c>
      <c r="D90">
        <v>8048</v>
      </c>
      <c r="E90">
        <v>8111</v>
      </c>
      <c r="F90">
        <v>8</v>
      </c>
      <c r="G90">
        <v>9.1999999999999993</v>
      </c>
      <c r="H90">
        <v>0.86956524999999996</v>
      </c>
      <c r="I90">
        <v>0.13043477000000001</v>
      </c>
      <c r="J90">
        <v>0.53488369999999996</v>
      </c>
    </row>
    <row r="91" spans="1:10" x14ac:dyDescent="0.3">
      <c r="A91">
        <v>89</v>
      </c>
      <c r="B91">
        <v>1419</v>
      </c>
      <c r="C91" t="b">
        <v>1</v>
      </c>
      <c r="D91">
        <v>8048</v>
      </c>
      <c r="E91">
        <v>8117</v>
      </c>
      <c r="F91">
        <v>8</v>
      </c>
      <c r="G91">
        <v>8.8000000000000007</v>
      </c>
      <c r="H91">
        <v>0.90909090000000004</v>
      </c>
      <c r="I91">
        <v>9.0909110000000001E-2</v>
      </c>
      <c r="J91">
        <v>0.52380954999999996</v>
      </c>
    </row>
    <row r="92" spans="1:10" x14ac:dyDescent="0.3">
      <c r="A92">
        <v>90</v>
      </c>
      <c r="B92">
        <v>1435</v>
      </c>
      <c r="C92" t="b">
        <v>1</v>
      </c>
      <c r="D92">
        <v>8048</v>
      </c>
      <c r="E92">
        <v>8117</v>
      </c>
      <c r="F92">
        <v>8</v>
      </c>
      <c r="G92">
        <v>8</v>
      </c>
      <c r="H92">
        <v>1</v>
      </c>
      <c r="I92">
        <v>0</v>
      </c>
      <c r="J92">
        <v>0.5</v>
      </c>
    </row>
    <row r="93" spans="1:10" x14ac:dyDescent="0.3">
      <c r="A93">
        <v>91</v>
      </c>
      <c r="B93">
        <v>1451</v>
      </c>
      <c r="C93" t="b">
        <v>1</v>
      </c>
      <c r="D93">
        <v>8048</v>
      </c>
      <c r="E93">
        <v>8117</v>
      </c>
      <c r="F93">
        <v>8</v>
      </c>
      <c r="G93">
        <v>7.2</v>
      </c>
      <c r="H93">
        <v>1.1111112000000001</v>
      </c>
      <c r="I93">
        <v>-0.11111114</v>
      </c>
      <c r="J93">
        <v>0.4736842</v>
      </c>
    </row>
    <row r="94" spans="1:10" x14ac:dyDescent="0.3">
      <c r="A94">
        <v>92</v>
      </c>
      <c r="B94">
        <v>1466</v>
      </c>
      <c r="C94" t="b">
        <v>1</v>
      </c>
      <c r="D94">
        <v>8048</v>
      </c>
      <c r="E94">
        <v>8117</v>
      </c>
      <c r="F94">
        <v>8</v>
      </c>
      <c r="G94">
        <v>6.8</v>
      </c>
      <c r="H94">
        <v>1.1764705</v>
      </c>
      <c r="I94">
        <v>-0.17647055</v>
      </c>
      <c r="J94">
        <v>0.45945944999999999</v>
      </c>
    </row>
    <row r="95" spans="1:10" x14ac:dyDescent="0.3">
      <c r="A95">
        <v>93</v>
      </c>
      <c r="B95">
        <v>1482</v>
      </c>
      <c r="C95" t="b">
        <v>1</v>
      </c>
      <c r="D95">
        <v>8042</v>
      </c>
      <c r="E95">
        <v>8117</v>
      </c>
      <c r="F95">
        <v>8</v>
      </c>
      <c r="G95">
        <v>6.4</v>
      </c>
      <c r="H95">
        <v>1.25</v>
      </c>
      <c r="I95">
        <v>-0.24999999000000001</v>
      </c>
      <c r="J95">
        <v>0.44444447999999998</v>
      </c>
    </row>
    <row r="96" spans="1:10" x14ac:dyDescent="0.3">
      <c r="A96">
        <v>94</v>
      </c>
      <c r="B96">
        <v>1498</v>
      </c>
      <c r="C96" t="b">
        <v>1</v>
      </c>
      <c r="D96">
        <v>8048</v>
      </c>
      <c r="E96">
        <v>8123</v>
      </c>
      <c r="F96">
        <v>8</v>
      </c>
      <c r="G96">
        <v>6</v>
      </c>
      <c r="H96">
        <v>1.3333333999999999</v>
      </c>
      <c r="I96">
        <v>-0.33333333999999998</v>
      </c>
      <c r="J96">
        <v>0.42857142999999998</v>
      </c>
    </row>
    <row r="97" spans="1:10" x14ac:dyDescent="0.3">
      <c r="A97">
        <v>95</v>
      </c>
      <c r="B97">
        <v>1514</v>
      </c>
      <c r="C97" t="b">
        <v>1</v>
      </c>
      <c r="D97">
        <v>8042</v>
      </c>
      <c r="E97">
        <v>8123</v>
      </c>
      <c r="F97">
        <v>8</v>
      </c>
      <c r="G97">
        <v>5.6</v>
      </c>
      <c r="H97">
        <v>1.4285715000000001</v>
      </c>
      <c r="I97">
        <v>-0.42857146000000002</v>
      </c>
      <c r="J97">
        <v>0.41176467999999999</v>
      </c>
    </row>
    <row r="98" spans="1:10" x14ac:dyDescent="0.3">
      <c r="A98">
        <v>96</v>
      </c>
      <c r="B98">
        <v>1530</v>
      </c>
      <c r="C98" t="b">
        <v>1</v>
      </c>
      <c r="D98">
        <v>8054</v>
      </c>
      <c r="E98">
        <v>8123</v>
      </c>
      <c r="F98">
        <v>8</v>
      </c>
      <c r="G98">
        <v>5.6</v>
      </c>
      <c r="H98">
        <v>1.4285715000000001</v>
      </c>
      <c r="I98">
        <v>-0.42857146000000002</v>
      </c>
      <c r="J98">
        <v>0.41176467999999999</v>
      </c>
    </row>
    <row r="99" spans="1:10" x14ac:dyDescent="0.3">
      <c r="A99">
        <v>97</v>
      </c>
      <c r="B99">
        <v>1546</v>
      </c>
      <c r="C99" t="b">
        <v>1</v>
      </c>
      <c r="D99">
        <v>8054</v>
      </c>
      <c r="E99">
        <v>8123</v>
      </c>
      <c r="F99">
        <v>8</v>
      </c>
      <c r="G99">
        <v>5.6</v>
      </c>
      <c r="H99">
        <v>1.4285715000000001</v>
      </c>
      <c r="I99">
        <v>-0.42857146000000002</v>
      </c>
      <c r="J99">
        <v>0.41176467999999999</v>
      </c>
    </row>
    <row r="100" spans="1:10" x14ac:dyDescent="0.3">
      <c r="A100">
        <v>98</v>
      </c>
      <c r="B100">
        <v>1562</v>
      </c>
      <c r="C100" t="b">
        <v>1</v>
      </c>
      <c r="D100">
        <v>8048</v>
      </c>
      <c r="E100">
        <v>8117</v>
      </c>
      <c r="F100">
        <v>8</v>
      </c>
      <c r="G100">
        <v>5.6</v>
      </c>
      <c r="H100">
        <v>1.4285715000000001</v>
      </c>
      <c r="I100">
        <v>-0.42857146000000002</v>
      </c>
      <c r="J100">
        <v>0.41176467999999999</v>
      </c>
    </row>
    <row r="101" spans="1:10" x14ac:dyDescent="0.3">
      <c r="A101">
        <v>99</v>
      </c>
      <c r="B101">
        <v>1577</v>
      </c>
      <c r="C101" t="b">
        <v>1</v>
      </c>
      <c r="D101">
        <v>8048</v>
      </c>
      <c r="E101">
        <v>8123</v>
      </c>
      <c r="F101">
        <v>8</v>
      </c>
      <c r="G101">
        <v>5.6</v>
      </c>
      <c r="H101">
        <v>1.4285715000000001</v>
      </c>
      <c r="I101">
        <v>-0.42857146000000002</v>
      </c>
      <c r="J101">
        <v>0.41176467999999999</v>
      </c>
    </row>
    <row r="102" spans="1:10" x14ac:dyDescent="0.3">
      <c r="A102">
        <v>100</v>
      </c>
      <c r="B102">
        <v>1593</v>
      </c>
      <c r="C102" t="b">
        <v>1</v>
      </c>
      <c r="D102">
        <v>8048</v>
      </c>
      <c r="E102">
        <v>8123</v>
      </c>
      <c r="F102">
        <v>8</v>
      </c>
      <c r="G102">
        <v>5.6</v>
      </c>
      <c r="H102">
        <v>1.4285715000000001</v>
      </c>
      <c r="I102">
        <v>-0.42857146000000002</v>
      </c>
      <c r="J102">
        <v>0.41176467999999999</v>
      </c>
    </row>
    <row r="103" spans="1:10" x14ac:dyDescent="0.3">
      <c r="A103">
        <v>101</v>
      </c>
      <c r="B103">
        <v>1609</v>
      </c>
      <c r="C103" t="b">
        <v>1</v>
      </c>
      <c r="D103">
        <v>8048</v>
      </c>
      <c r="E103">
        <v>8123</v>
      </c>
      <c r="F103">
        <v>8</v>
      </c>
      <c r="G103">
        <v>5.6</v>
      </c>
      <c r="H103">
        <v>1.4285715000000001</v>
      </c>
      <c r="I103">
        <v>-0.42857146000000002</v>
      </c>
      <c r="J103">
        <v>0.41176467999999999</v>
      </c>
    </row>
    <row r="104" spans="1:10" x14ac:dyDescent="0.3">
      <c r="A104">
        <v>102</v>
      </c>
      <c r="B104">
        <v>1625</v>
      </c>
      <c r="C104" t="b">
        <v>1</v>
      </c>
      <c r="D104">
        <v>8048</v>
      </c>
      <c r="E104">
        <v>8123</v>
      </c>
      <c r="F104">
        <v>8</v>
      </c>
      <c r="G104">
        <v>5.6</v>
      </c>
      <c r="H104">
        <v>1.4285715000000001</v>
      </c>
      <c r="I104">
        <v>-0.42857146000000002</v>
      </c>
      <c r="J104">
        <v>0.41176467999999999</v>
      </c>
    </row>
    <row r="105" spans="1:10" x14ac:dyDescent="0.3">
      <c r="A105">
        <v>103</v>
      </c>
      <c r="B105">
        <v>1640</v>
      </c>
      <c r="C105" t="b">
        <v>1</v>
      </c>
      <c r="D105">
        <v>8042</v>
      </c>
      <c r="E105">
        <v>8123</v>
      </c>
      <c r="F105">
        <v>8</v>
      </c>
      <c r="G105">
        <v>5.6</v>
      </c>
      <c r="H105">
        <v>1.4285715000000001</v>
      </c>
      <c r="I105">
        <v>-0.42857146000000002</v>
      </c>
      <c r="J105">
        <v>0.41176467999999999</v>
      </c>
    </row>
    <row r="106" spans="1:10" x14ac:dyDescent="0.3">
      <c r="A106">
        <v>104</v>
      </c>
      <c r="B106">
        <v>1656</v>
      </c>
      <c r="C106" t="b">
        <v>1</v>
      </c>
      <c r="D106">
        <v>8048</v>
      </c>
      <c r="E106">
        <v>8123</v>
      </c>
      <c r="F106">
        <v>8</v>
      </c>
      <c r="G106">
        <v>5.6</v>
      </c>
      <c r="H106">
        <v>1.4285715000000001</v>
      </c>
      <c r="I106">
        <v>-0.42857146000000002</v>
      </c>
      <c r="J106">
        <v>0.41176467999999999</v>
      </c>
    </row>
    <row r="107" spans="1:10" x14ac:dyDescent="0.3">
      <c r="A107">
        <v>105</v>
      </c>
      <c r="B107">
        <v>1672</v>
      </c>
      <c r="C107" t="b">
        <v>1</v>
      </c>
      <c r="D107">
        <v>8048</v>
      </c>
      <c r="E107">
        <v>8123</v>
      </c>
      <c r="F107">
        <v>8</v>
      </c>
      <c r="G107">
        <v>6</v>
      </c>
      <c r="H107">
        <v>1.3333333999999999</v>
      </c>
      <c r="I107">
        <v>-0.33333333999999998</v>
      </c>
      <c r="J107">
        <v>0.42857142999999998</v>
      </c>
    </row>
    <row r="108" spans="1:10" x14ac:dyDescent="0.3">
      <c r="A108">
        <v>106</v>
      </c>
      <c r="B108">
        <v>1688</v>
      </c>
      <c r="C108" t="b">
        <v>1</v>
      </c>
      <c r="D108">
        <v>8054</v>
      </c>
      <c r="E108">
        <v>8117</v>
      </c>
      <c r="F108">
        <v>8</v>
      </c>
      <c r="G108">
        <v>6.4</v>
      </c>
      <c r="H108">
        <v>1.25</v>
      </c>
      <c r="I108">
        <v>-0.24999999000000001</v>
      </c>
      <c r="J108">
        <v>0.44444447999999998</v>
      </c>
    </row>
    <row r="109" spans="1:10" x14ac:dyDescent="0.3">
      <c r="A109">
        <v>107</v>
      </c>
      <c r="B109">
        <v>1704</v>
      </c>
      <c r="C109" t="b">
        <v>1</v>
      </c>
      <c r="D109">
        <v>8054</v>
      </c>
      <c r="E109">
        <v>8123</v>
      </c>
      <c r="F109">
        <v>8</v>
      </c>
      <c r="G109">
        <v>6.8</v>
      </c>
      <c r="H109">
        <v>1.1764705</v>
      </c>
      <c r="I109">
        <v>-0.17647055</v>
      </c>
      <c r="J109">
        <v>0.45945944999999999</v>
      </c>
    </row>
    <row r="110" spans="1:10" x14ac:dyDescent="0.3">
      <c r="A110">
        <v>108</v>
      </c>
      <c r="B110">
        <v>1719</v>
      </c>
      <c r="C110" t="b">
        <v>1</v>
      </c>
      <c r="D110">
        <v>8054</v>
      </c>
      <c r="E110">
        <v>8123</v>
      </c>
      <c r="F110">
        <v>8.4</v>
      </c>
      <c r="G110">
        <v>7.2</v>
      </c>
      <c r="H110">
        <v>1.1666666000000001</v>
      </c>
      <c r="I110">
        <v>-0.16666664</v>
      </c>
      <c r="J110">
        <v>0.46153845999999998</v>
      </c>
    </row>
    <row r="111" spans="1:10" x14ac:dyDescent="0.3">
      <c r="A111">
        <v>109</v>
      </c>
      <c r="B111">
        <v>1735</v>
      </c>
      <c r="C111" t="b">
        <v>1</v>
      </c>
      <c r="D111">
        <v>8054</v>
      </c>
      <c r="E111">
        <v>8123</v>
      </c>
      <c r="F111">
        <v>8.8000000000000007</v>
      </c>
      <c r="G111">
        <v>7.6</v>
      </c>
      <c r="H111">
        <v>1.1578946999999999</v>
      </c>
      <c r="I111">
        <v>-0.15789478000000001</v>
      </c>
      <c r="J111">
        <v>0.46341463999999999</v>
      </c>
    </row>
    <row r="112" spans="1:10" x14ac:dyDescent="0.3">
      <c r="A112">
        <v>110</v>
      </c>
      <c r="B112">
        <v>1751</v>
      </c>
      <c r="C112" t="b">
        <v>1</v>
      </c>
      <c r="D112">
        <v>8054</v>
      </c>
      <c r="E112">
        <v>8123</v>
      </c>
      <c r="F112">
        <v>9.1999999999999993</v>
      </c>
      <c r="G112">
        <v>8</v>
      </c>
      <c r="H112">
        <v>1.1499999999999999</v>
      </c>
      <c r="I112">
        <v>-0.14999998</v>
      </c>
      <c r="J112">
        <v>0.46511626</v>
      </c>
    </row>
    <row r="113" spans="1:10" x14ac:dyDescent="0.3">
      <c r="A113">
        <v>111</v>
      </c>
      <c r="B113">
        <v>1767</v>
      </c>
      <c r="C113" t="b">
        <v>1</v>
      </c>
      <c r="D113">
        <v>8054</v>
      </c>
      <c r="E113">
        <v>8123</v>
      </c>
      <c r="F113">
        <v>9.6</v>
      </c>
      <c r="G113">
        <v>8</v>
      </c>
      <c r="H113">
        <v>1.2</v>
      </c>
      <c r="I113">
        <v>-0.20000005000000001</v>
      </c>
      <c r="J113">
        <v>0.45454544000000002</v>
      </c>
    </row>
    <row r="114" spans="1:10" x14ac:dyDescent="0.3">
      <c r="A114">
        <v>112</v>
      </c>
      <c r="B114">
        <v>1783</v>
      </c>
      <c r="C114" t="b">
        <v>1</v>
      </c>
      <c r="D114">
        <v>8048</v>
      </c>
      <c r="E114">
        <v>8123</v>
      </c>
      <c r="F114">
        <v>10</v>
      </c>
      <c r="G114">
        <v>8</v>
      </c>
      <c r="H114">
        <v>1.25</v>
      </c>
      <c r="I114">
        <v>-0.25</v>
      </c>
      <c r="J114">
        <v>0.44444444999999999</v>
      </c>
    </row>
    <row r="115" spans="1:10" x14ac:dyDescent="0.3">
      <c r="A115">
        <v>113</v>
      </c>
      <c r="B115">
        <v>1799</v>
      </c>
      <c r="C115" t="b">
        <v>1</v>
      </c>
      <c r="D115">
        <v>8048</v>
      </c>
      <c r="E115">
        <v>8123</v>
      </c>
      <c r="F115">
        <v>10.4</v>
      </c>
      <c r="G115">
        <v>8</v>
      </c>
      <c r="H115">
        <v>1.3</v>
      </c>
      <c r="I115">
        <v>-0.29999995000000002</v>
      </c>
      <c r="J115">
        <v>0.43478262000000001</v>
      </c>
    </row>
    <row r="116" spans="1:10" x14ac:dyDescent="0.3">
      <c r="A116">
        <v>114</v>
      </c>
      <c r="B116">
        <v>1815</v>
      </c>
      <c r="C116" t="b">
        <v>1</v>
      </c>
      <c r="D116">
        <v>8048</v>
      </c>
      <c r="E116">
        <v>8123</v>
      </c>
      <c r="F116">
        <v>10.4</v>
      </c>
      <c r="G116">
        <v>8</v>
      </c>
      <c r="H116">
        <v>1.3</v>
      </c>
      <c r="I116">
        <v>-0.29999995000000002</v>
      </c>
      <c r="J116">
        <v>0.43478262000000001</v>
      </c>
    </row>
    <row r="117" spans="1:10" x14ac:dyDescent="0.3">
      <c r="A117">
        <v>115</v>
      </c>
      <c r="B117">
        <v>1831</v>
      </c>
      <c r="C117" t="b">
        <v>1</v>
      </c>
      <c r="D117">
        <v>8048</v>
      </c>
      <c r="E117">
        <v>8123</v>
      </c>
      <c r="F117">
        <v>10.4</v>
      </c>
      <c r="G117">
        <v>8</v>
      </c>
      <c r="H117">
        <v>1.3</v>
      </c>
      <c r="I117">
        <v>-0.29999995000000002</v>
      </c>
      <c r="J117">
        <v>0.43478262000000001</v>
      </c>
    </row>
    <row r="118" spans="1:10" x14ac:dyDescent="0.3">
      <c r="A118">
        <v>116</v>
      </c>
      <c r="B118">
        <v>1846</v>
      </c>
      <c r="C118" t="b">
        <v>1</v>
      </c>
      <c r="D118">
        <v>8048</v>
      </c>
      <c r="E118">
        <v>8123</v>
      </c>
      <c r="F118">
        <v>10.4</v>
      </c>
      <c r="G118">
        <v>8</v>
      </c>
      <c r="H118">
        <v>1.3</v>
      </c>
      <c r="I118">
        <v>-0.29999995000000002</v>
      </c>
      <c r="J118">
        <v>0.43478262000000001</v>
      </c>
    </row>
    <row r="119" spans="1:10" x14ac:dyDescent="0.3">
      <c r="A119">
        <v>117</v>
      </c>
      <c r="B119">
        <v>1862</v>
      </c>
      <c r="C119" t="b">
        <v>1</v>
      </c>
      <c r="D119">
        <v>8048</v>
      </c>
      <c r="E119">
        <v>8123</v>
      </c>
      <c r="F119">
        <v>10.4</v>
      </c>
      <c r="G119">
        <v>8</v>
      </c>
      <c r="H119">
        <v>1.3</v>
      </c>
      <c r="I119">
        <v>-0.29999995000000002</v>
      </c>
      <c r="J119">
        <v>0.43478262000000001</v>
      </c>
    </row>
    <row r="120" spans="1:10" x14ac:dyDescent="0.3">
      <c r="A120">
        <v>118</v>
      </c>
      <c r="B120">
        <v>1878</v>
      </c>
      <c r="C120" t="b">
        <v>1</v>
      </c>
      <c r="D120">
        <v>8048</v>
      </c>
      <c r="E120">
        <v>8123</v>
      </c>
      <c r="F120">
        <v>10.4</v>
      </c>
      <c r="G120">
        <v>8</v>
      </c>
      <c r="H120">
        <v>1.3</v>
      </c>
      <c r="I120">
        <v>-0.29999995000000002</v>
      </c>
      <c r="J120">
        <v>0.43478262000000001</v>
      </c>
    </row>
    <row r="121" spans="1:10" x14ac:dyDescent="0.3">
      <c r="A121">
        <v>119</v>
      </c>
      <c r="B121">
        <v>1894</v>
      </c>
      <c r="C121" t="b">
        <v>1</v>
      </c>
      <c r="D121">
        <v>8048</v>
      </c>
      <c r="E121">
        <v>8123</v>
      </c>
      <c r="F121">
        <v>10.4</v>
      </c>
      <c r="G121">
        <v>8</v>
      </c>
      <c r="H121">
        <v>1.3</v>
      </c>
      <c r="I121">
        <v>-0.29999995000000002</v>
      </c>
      <c r="J121">
        <v>0.43478262000000001</v>
      </c>
    </row>
    <row r="122" spans="1:10" x14ac:dyDescent="0.3">
      <c r="A122">
        <v>120</v>
      </c>
      <c r="B122">
        <v>1910</v>
      </c>
      <c r="C122" t="b">
        <v>1</v>
      </c>
      <c r="D122">
        <v>8048</v>
      </c>
      <c r="E122">
        <v>8123</v>
      </c>
      <c r="F122">
        <v>10.4</v>
      </c>
      <c r="G122">
        <v>8</v>
      </c>
      <c r="H122">
        <v>1.3</v>
      </c>
      <c r="I122">
        <v>-0.29999995000000002</v>
      </c>
      <c r="J122">
        <v>0.43478262000000001</v>
      </c>
    </row>
    <row r="123" spans="1:10" x14ac:dyDescent="0.3">
      <c r="A123">
        <v>121</v>
      </c>
      <c r="B123">
        <v>1926</v>
      </c>
      <c r="C123" t="b">
        <v>1</v>
      </c>
      <c r="D123">
        <v>8048</v>
      </c>
      <c r="E123">
        <v>8123</v>
      </c>
      <c r="F123">
        <v>10.4</v>
      </c>
      <c r="G123">
        <v>8</v>
      </c>
      <c r="H123">
        <v>1.3</v>
      </c>
      <c r="I123">
        <v>-0.29999995000000002</v>
      </c>
      <c r="J123">
        <v>0.43478262000000001</v>
      </c>
    </row>
    <row r="124" spans="1:10" x14ac:dyDescent="0.3">
      <c r="A124">
        <v>122</v>
      </c>
      <c r="B124">
        <v>1942</v>
      </c>
      <c r="C124" t="b">
        <v>1</v>
      </c>
      <c r="D124">
        <v>8048</v>
      </c>
      <c r="E124">
        <v>8123</v>
      </c>
      <c r="F124">
        <v>10.4</v>
      </c>
      <c r="G124">
        <v>8</v>
      </c>
      <c r="H124">
        <v>1.3</v>
      </c>
      <c r="I124">
        <v>-0.29999995000000002</v>
      </c>
      <c r="J124">
        <v>0.43478262000000001</v>
      </c>
    </row>
    <row r="125" spans="1:10" x14ac:dyDescent="0.3">
      <c r="A125">
        <v>123</v>
      </c>
      <c r="B125">
        <v>1958</v>
      </c>
      <c r="C125" t="b">
        <v>1</v>
      </c>
      <c r="D125">
        <v>8042</v>
      </c>
      <c r="E125">
        <v>8123</v>
      </c>
      <c r="F125">
        <v>10</v>
      </c>
      <c r="G125">
        <v>8</v>
      </c>
      <c r="H125">
        <v>1.25</v>
      </c>
      <c r="I125">
        <v>-0.25</v>
      </c>
      <c r="J125">
        <v>0.44444444999999999</v>
      </c>
    </row>
    <row r="126" spans="1:10" x14ac:dyDescent="0.3">
      <c r="A126">
        <v>124</v>
      </c>
      <c r="B126">
        <v>1974</v>
      </c>
      <c r="C126" t="b">
        <v>1</v>
      </c>
      <c r="D126">
        <v>8048</v>
      </c>
      <c r="E126">
        <v>8123</v>
      </c>
      <c r="F126">
        <v>9.6</v>
      </c>
      <c r="G126">
        <v>8</v>
      </c>
      <c r="H126">
        <v>1.2</v>
      </c>
      <c r="I126">
        <v>-0.20000005000000001</v>
      </c>
      <c r="J126">
        <v>0.45454544000000002</v>
      </c>
    </row>
    <row r="127" spans="1:10" x14ac:dyDescent="0.3">
      <c r="A127">
        <v>125</v>
      </c>
      <c r="B127">
        <v>1990</v>
      </c>
      <c r="C127" t="b">
        <v>1</v>
      </c>
      <c r="D127">
        <v>8048</v>
      </c>
      <c r="E127">
        <v>8123</v>
      </c>
      <c r="F127">
        <v>9.1999999999999993</v>
      </c>
      <c r="G127">
        <v>8</v>
      </c>
      <c r="H127">
        <v>1.1499999999999999</v>
      </c>
      <c r="I127">
        <v>-0.14999998</v>
      </c>
      <c r="J127">
        <v>0.46511626</v>
      </c>
    </row>
    <row r="128" spans="1:10" x14ac:dyDescent="0.3">
      <c r="A128">
        <v>126</v>
      </c>
      <c r="B128">
        <v>2006</v>
      </c>
      <c r="C128" t="b">
        <v>1</v>
      </c>
      <c r="D128">
        <v>8048</v>
      </c>
      <c r="E128">
        <v>8123</v>
      </c>
      <c r="F128">
        <v>8.8000000000000007</v>
      </c>
      <c r="G128">
        <v>8</v>
      </c>
      <c r="H128">
        <v>1.1000000000000001</v>
      </c>
      <c r="I128">
        <v>-0.10000002400000001</v>
      </c>
      <c r="J128">
        <v>0.47619050000000002</v>
      </c>
    </row>
    <row r="129" spans="1:10" x14ac:dyDescent="0.3">
      <c r="A129">
        <v>127</v>
      </c>
      <c r="B129">
        <v>2022</v>
      </c>
      <c r="C129" t="b">
        <v>1</v>
      </c>
      <c r="D129">
        <v>8054</v>
      </c>
      <c r="E129">
        <v>8123</v>
      </c>
      <c r="F129">
        <v>8.4</v>
      </c>
      <c r="G129">
        <v>8</v>
      </c>
      <c r="H129">
        <v>1.05</v>
      </c>
      <c r="I129">
        <v>-4.9999952E-2</v>
      </c>
      <c r="J129">
        <v>0.48780489999999999</v>
      </c>
    </row>
    <row r="130" spans="1:10" x14ac:dyDescent="0.3">
      <c r="A130">
        <v>128</v>
      </c>
      <c r="B130">
        <v>2038</v>
      </c>
      <c r="C130" t="b">
        <v>1</v>
      </c>
      <c r="D130">
        <v>8054</v>
      </c>
      <c r="E130">
        <v>8123</v>
      </c>
      <c r="F130">
        <v>8</v>
      </c>
      <c r="G130">
        <v>8</v>
      </c>
      <c r="H130">
        <v>1</v>
      </c>
      <c r="I130">
        <v>0</v>
      </c>
      <c r="J130">
        <v>0.5</v>
      </c>
    </row>
    <row r="131" spans="1:10" x14ac:dyDescent="0.3">
      <c r="A131">
        <v>129</v>
      </c>
      <c r="B131">
        <v>2053</v>
      </c>
      <c r="C131" t="b">
        <v>1</v>
      </c>
      <c r="D131">
        <v>8048</v>
      </c>
      <c r="E131">
        <v>8117</v>
      </c>
      <c r="F131">
        <v>8</v>
      </c>
      <c r="G131">
        <v>8</v>
      </c>
      <c r="H131">
        <v>1</v>
      </c>
      <c r="I131">
        <v>0</v>
      </c>
      <c r="J131">
        <v>0.5</v>
      </c>
    </row>
    <row r="132" spans="1:10" x14ac:dyDescent="0.3">
      <c r="A132">
        <v>130</v>
      </c>
      <c r="B132">
        <v>2069</v>
      </c>
      <c r="C132" t="b">
        <v>1</v>
      </c>
      <c r="D132">
        <v>8054</v>
      </c>
      <c r="E132">
        <v>8123</v>
      </c>
      <c r="F132">
        <v>8.4</v>
      </c>
      <c r="G132">
        <v>8</v>
      </c>
      <c r="H132">
        <v>1.05</v>
      </c>
      <c r="I132">
        <v>-4.9999952E-2</v>
      </c>
      <c r="J132">
        <v>0.48780489999999999</v>
      </c>
    </row>
    <row r="133" spans="1:10" x14ac:dyDescent="0.3">
      <c r="A133">
        <v>131</v>
      </c>
      <c r="B133">
        <v>2085</v>
      </c>
      <c r="C133" t="b">
        <v>1</v>
      </c>
      <c r="D133">
        <v>8048</v>
      </c>
      <c r="E133">
        <v>8123</v>
      </c>
      <c r="F133">
        <v>8.8000000000000007</v>
      </c>
      <c r="G133">
        <v>8</v>
      </c>
      <c r="H133">
        <v>1.1000000000000001</v>
      </c>
      <c r="I133">
        <v>-0.10000002400000001</v>
      </c>
      <c r="J133">
        <v>0.47619050000000002</v>
      </c>
    </row>
    <row r="134" spans="1:10" x14ac:dyDescent="0.3">
      <c r="A134">
        <v>132</v>
      </c>
      <c r="B134">
        <v>2101</v>
      </c>
      <c r="C134" t="b">
        <v>1</v>
      </c>
      <c r="D134">
        <v>8042</v>
      </c>
      <c r="E134">
        <v>8123</v>
      </c>
      <c r="F134">
        <v>8.8000000000000007</v>
      </c>
      <c r="G134">
        <v>8</v>
      </c>
      <c r="H134">
        <v>1.1000000000000001</v>
      </c>
      <c r="I134">
        <v>-0.10000002400000001</v>
      </c>
      <c r="J134">
        <v>0.47619050000000002</v>
      </c>
    </row>
    <row r="135" spans="1:10" x14ac:dyDescent="0.3">
      <c r="A135">
        <v>133</v>
      </c>
      <c r="B135">
        <v>2117</v>
      </c>
      <c r="C135" t="b">
        <v>1</v>
      </c>
      <c r="D135">
        <v>8042</v>
      </c>
      <c r="E135">
        <v>8123</v>
      </c>
      <c r="F135">
        <v>8.8000000000000007</v>
      </c>
      <c r="G135">
        <v>8</v>
      </c>
      <c r="H135">
        <v>1.1000000000000001</v>
      </c>
      <c r="I135">
        <v>-0.10000002400000001</v>
      </c>
      <c r="J135">
        <v>0.47619050000000002</v>
      </c>
    </row>
    <row r="136" spans="1:10" x14ac:dyDescent="0.3">
      <c r="A136">
        <v>134</v>
      </c>
      <c r="B136">
        <v>2132</v>
      </c>
      <c r="C136" t="b">
        <v>1</v>
      </c>
      <c r="D136">
        <v>8054</v>
      </c>
      <c r="E136">
        <v>8117</v>
      </c>
      <c r="F136">
        <v>8.8000000000000007</v>
      </c>
      <c r="G136">
        <v>8</v>
      </c>
      <c r="H136">
        <v>1.1000000000000001</v>
      </c>
      <c r="I136">
        <v>-0.10000002400000001</v>
      </c>
      <c r="J136">
        <v>0.47619050000000002</v>
      </c>
    </row>
    <row r="137" spans="1:10" x14ac:dyDescent="0.3">
      <c r="A137">
        <v>135</v>
      </c>
      <c r="B137">
        <v>2148</v>
      </c>
      <c r="C137" t="b">
        <v>1</v>
      </c>
      <c r="D137">
        <v>8048</v>
      </c>
      <c r="E137">
        <v>8123</v>
      </c>
      <c r="F137">
        <v>8.8000000000000007</v>
      </c>
      <c r="G137">
        <v>8</v>
      </c>
      <c r="H137">
        <v>1.1000000000000001</v>
      </c>
      <c r="I137">
        <v>-0.10000002400000001</v>
      </c>
      <c r="J137">
        <v>0.47619050000000002</v>
      </c>
    </row>
    <row r="138" spans="1:10" x14ac:dyDescent="0.3">
      <c r="A138">
        <v>136</v>
      </c>
      <c r="B138">
        <v>2165</v>
      </c>
      <c r="C138" t="b">
        <v>1</v>
      </c>
      <c r="D138">
        <v>8048</v>
      </c>
      <c r="E138">
        <v>8117</v>
      </c>
      <c r="F138">
        <v>8.8000000000000007</v>
      </c>
      <c r="G138">
        <v>8</v>
      </c>
      <c r="H138">
        <v>1.1000000000000001</v>
      </c>
      <c r="I138">
        <v>-0.10000002400000001</v>
      </c>
      <c r="J138">
        <v>0.47619050000000002</v>
      </c>
    </row>
    <row r="139" spans="1:10" x14ac:dyDescent="0.3">
      <c r="A139">
        <v>137</v>
      </c>
      <c r="B139">
        <v>2180</v>
      </c>
      <c r="C139" t="b">
        <v>1</v>
      </c>
      <c r="D139">
        <v>8048</v>
      </c>
      <c r="E139">
        <v>8123</v>
      </c>
      <c r="F139">
        <v>8.8000000000000007</v>
      </c>
      <c r="G139">
        <v>8</v>
      </c>
      <c r="H139">
        <v>1.1000000000000001</v>
      </c>
      <c r="I139">
        <v>-0.10000002400000001</v>
      </c>
      <c r="J139">
        <v>0.47619050000000002</v>
      </c>
    </row>
    <row r="140" spans="1:10" x14ac:dyDescent="0.3">
      <c r="A140">
        <v>138</v>
      </c>
      <c r="B140">
        <v>2197</v>
      </c>
      <c r="C140" t="b">
        <v>1</v>
      </c>
      <c r="D140">
        <v>8048</v>
      </c>
      <c r="E140">
        <v>8123</v>
      </c>
      <c r="F140">
        <v>8.8000000000000007</v>
      </c>
      <c r="G140">
        <v>8</v>
      </c>
      <c r="H140">
        <v>1.1000000000000001</v>
      </c>
      <c r="I140">
        <v>-0.10000002400000001</v>
      </c>
      <c r="J140">
        <v>0.47619050000000002</v>
      </c>
    </row>
    <row r="141" spans="1:10" x14ac:dyDescent="0.3">
      <c r="A141">
        <v>139</v>
      </c>
      <c r="B141">
        <v>2213</v>
      </c>
      <c r="C141" t="b">
        <v>1</v>
      </c>
      <c r="D141">
        <v>8048</v>
      </c>
      <c r="E141">
        <v>8123</v>
      </c>
      <c r="F141">
        <v>8.8000000000000007</v>
      </c>
      <c r="G141">
        <v>8</v>
      </c>
      <c r="H141">
        <v>1.1000000000000001</v>
      </c>
      <c r="I141">
        <v>-0.10000002400000001</v>
      </c>
      <c r="J141">
        <v>0.47619050000000002</v>
      </c>
    </row>
    <row r="142" spans="1:10" x14ac:dyDescent="0.3">
      <c r="A142">
        <v>140</v>
      </c>
      <c r="B142">
        <v>2229</v>
      </c>
      <c r="C142" t="b">
        <v>1</v>
      </c>
      <c r="D142">
        <v>8048</v>
      </c>
      <c r="E142">
        <v>8123</v>
      </c>
      <c r="F142">
        <v>8.8000000000000007</v>
      </c>
      <c r="G142">
        <v>8</v>
      </c>
      <c r="H142">
        <v>1.1000000000000001</v>
      </c>
      <c r="I142">
        <v>-0.10000002400000001</v>
      </c>
      <c r="J142">
        <v>0.47619050000000002</v>
      </c>
    </row>
    <row r="143" spans="1:10" x14ac:dyDescent="0.3">
      <c r="A143">
        <v>141</v>
      </c>
      <c r="B143">
        <v>2245</v>
      </c>
      <c r="C143" t="b">
        <v>1</v>
      </c>
      <c r="D143">
        <v>8054</v>
      </c>
      <c r="E143">
        <v>8123</v>
      </c>
      <c r="F143">
        <v>8.8000000000000007</v>
      </c>
      <c r="G143">
        <v>8</v>
      </c>
      <c r="H143">
        <v>1.1000000000000001</v>
      </c>
      <c r="I143">
        <v>-0.10000002400000001</v>
      </c>
      <c r="J143">
        <v>0.47619050000000002</v>
      </c>
    </row>
    <row r="144" spans="1:10" x14ac:dyDescent="0.3">
      <c r="A144">
        <v>142</v>
      </c>
      <c r="B144">
        <v>2261</v>
      </c>
      <c r="C144" t="b">
        <v>1</v>
      </c>
      <c r="D144">
        <v>8048</v>
      </c>
      <c r="E144">
        <v>8123</v>
      </c>
      <c r="F144">
        <v>8.8000000000000007</v>
      </c>
      <c r="G144">
        <v>8</v>
      </c>
      <c r="H144">
        <v>1.1000000000000001</v>
      </c>
      <c r="I144">
        <v>-0.10000002400000001</v>
      </c>
      <c r="J144">
        <v>0.47619050000000002</v>
      </c>
    </row>
    <row r="145" spans="1:10" x14ac:dyDescent="0.3">
      <c r="A145">
        <v>143</v>
      </c>
      <c r="B145">
        <v>2277</v>
      </c>
      <c r="C145" t="b">
        <v>1</v>
      </c>
      <c r="D145">
        <v>8054</v>
      </c>
      <c r="E145">
        <v>8117</v>
      </c>
      <c r="F145">
        <v>8.8000000000000007</v>
      </c>
      <c r="G145">
        <v>8</v>
      </c>
      <c r="H145">
        <v>1.1000000000000001</v>
      </c>
      <c r="I145">
        <v>-0.10000002400000001</v>
      </c>
      <c r="J145">
        <v>0.47619050000000002</v>
      </c>
    </row>
    <row r="146" spans="1:10" x14ac:dyDescent="0.3">
      <c r="A146">
        <v>144</v>
      </c>
      <c r="B146">
        <v>2292</v>
      </c>
      <c r="C146" t="b">
        <v>1</v>
      </c>
      <c r="D146">
        <v>8048</v>
      </c>
      <c r="E146">
        <v>8123</v>
      </c>
      <c r="F146">
        <v>8.8000000000000007</v>
      </c>
      <c r="G146">
        <v>8</v>
      </c>
      <c r="H146">
        <v>1.1000000000000001</v>
      </c>
      <c r="I146">
        <v>-0.10000002400000001</v>
      </c>
      <c r="J146">
        <v>0.47619050000000002</v>
      </c>
    </row>
    <row r="147" spans="1:10" x14ac:dyDescent="0.3">
      <c r="A147">
        <v>145</v>
      </c>
      <c r="B147">
        <v>2308</v>
      </c>
      <c r="C147" t="b">
        <v>1</v>
      </c>
      <c r="D147">
        <v>8048</v>
      </c>
      <c r="E147">
        <v>8117</v>
      </c>
      <c r="F147">
        <v>8.4</v>
      </c>
      <c r="G147">
        <v>8</v>
      </c>
      <c r="H147">
        <v>1.05</v>
      </c>
      <c r="I147">
        <v>-4.9999952E-2</v>
      </c>
      <c r="J147">
        <v>0.48780489999999999</v>
      </c>
    </row>
    <row r="148" spans="1:10" x14ac:dyDescent="0.3">
      <c r="A148">
        <v>146</v>
      </c>
      <c r="B148">
        <v>2324</v>
      </c>
      <c r="C148" t="b">
        <v>1</v>
      </c>
      <c r="D148">
        <v>8048</v>
      </c>
      <c r="E148">
        <v>8117</v>
      </c>
      <c r="F148">
        <v>8</v>
      </c>
      <c r="G148">
        <v>7.6</v>
      </c>
      <c r="H148">
        <v>1.0526316</v>
      </c>
      <c r="I148">
        <v>-5.2631589999999999E-2</v>
      </c>
      <c r="J148">
        <v>0.48717946000000001</v>
      </c>
    </row>
    <row r="149" spans="1:10" x14ac:dyDescent="0.3">
      <c r="A149">
        <v>147</v>
      </c>
      <c r="B149">
        <v>2340</v>
      </c>
      <c r="C149" t="b">
        <v>1</v>
      </c>
      <c r="D149">
        <v>8048</v>
      </c>
      <c r="E149">
        <v>8123</v>
      </c>
      <c r="F149">
        <v>8</v>
      </c>
      <c r="G149">
        <v>7.2</v>
      </c>
      <c r="H149">
        <v>1.1111112000000001</v>
      </c>
      <c r="I149">
        <v>-0.11111114</v>
      </c>
      <c r="J149">
        <v>0.4736842</v>
      </c>
    </row>
    <row r="150" spans="1:10" x14ac:dyDescent="0.3">
      <c r="A150">
        <v>148</v>
      </c>
      <c r="B150">
        <v>2356</v>
      </c>
      <c r="C150" t="b">
        <v>1</v>
      </c>
      <c r="D150">
        <v>8048</v>
      </c>
      <c r="E150">
        <v>8123</v>
      </c>
      <c r="F150">
        <v>8</v>
      </c>
      <c r="G150">
        <v>7.2</v>
      </c>
      <c r="H150">
        <v>1.1111112000000001</v>
      </c>
      <c r="I150">
        <v>-0.11111114</v>
      </c>
      <c r="J150">
        <v>0.4736842</v>
      </c>
    </row>
    <row r="151" spans="1:10" x14ac:dyDescent="0.3">
      <c r="A151">
        <v>149</v>
      </c>
      <c r="B151">
        <v>2372</v>
      </c>
      <c r="C151" t="b">
        <v>1</v>
      </c>
      <c r="D151">
        <v>8048</v>
      </c>
      <c r="E151">
        <v>8117</v>
      </c>
      <c r="F151">
        <v>8</v>
      </c>
      <c r="G151">
        <v>6.8</v>
      </c>
      <c r="H151">
        <v>1.1764705</v>
      </c>
      <c r="I151">
        <v>-0.17647055</v>
      </c>
      <c r="J151">
        <v>0.45945944999999999</v>
      </c>
    </row>
    <row r="152" spans="1:10" x14ac:dyDescent="0.3">
      <c r="A152">
        <v>150</v>
      </c>
      <c r="B152">
        <v>2388</v>
      </c>
      <c r="C152" t="b">
        <v>1</v>
      </c>
      <c r="D152">
        <v>8048</v>
      </c>
      <c r="E152">
        <v>8123</v>
      </c>
      <c r="F152">
        <v>8</v>
      </c>
      <c r="G152">
        <v>6.8</v>
      </c>
      <c r="H152">
        <v>1.1764705</v>
      </c>
      <c r="I152">
        <v>-0.17647055</v>
      </c>
      <c r="J152">
        <v>0.45945944999999999</v>
      </c>
    </row>
    <row r="153" spans="1:10" x14ac:dyDescent="0.3">
      <c r="A153">
        <v>151</v>
      </c>
      <c r="B153">
        <v>2404</v>
      </c>
      <c r="C153" t="b">
        <v>1</v>
      </c>
      <c r="D153">
        <v>8048</v>
      </c>
      <c r="E153">
        <v>8123</v>
      </c>
      <c r="F153">
        <v>8</v>
      </c>
      <c r="G153">
        <v>6.8</v>
      </c>
      <c r="H153">
        <v>1.1764705</v>
      </c>
      <c r="I153">
        <v>-0.17647055</v>
      </c>
      <c r="J153">
        <v>0.45945944999999999</v>
      </c>
    </row>
    <row r="154" spans="1:10" x14ac:dyDescent="0.3">
      <c r="A154">
        <v>152</v>
      </c>
      <c r="B154">
        <v>2420</v>
      </c>
      <c r="C154" t="b">
        <v>1</v>
      </c>
      <c r="D154">
        <v>8048</v>
      </c>
      <c r="E154">
        <v>8123</v>
      </c>
      <c r="F154">
        <v>8</v>
      </c>
      <c r="G154">
        <v>6.8</v>
      </c>
      <c r="H154">
        <v>1.1764705</v>
      </c>
      <c r="I154">
        <v>-0.17647055</v>
      </c>
      <c r="J154">
        <v>0.45945944999999999</v>
      </c>
    </row>
    <row r="155" spans="1:10" x14ac:dyDescent="0.3">
      <c r="A155">
        <v>153</v>
      </c>
      <c r="B155">
        <v>2435</v>
      </c>
      <c r="C155" t="b">
        <v>1</v>
      </c>
      <c r="D155">
        <v>8048</v>
      </c>
      <c r="E155">
        <v>8123</v>
      </c>
      <c r="F155">
        <v>8</v>
      </c>
      <c r="G155">
        <v>6.8</v>
      </c>
      <c r="H155">
        <v>1.1764705</v>
      </c>
      <c r="I155">
        <v>-0.17647055</v>
      </c>
      <c r="J155">
        <v>0.45945944999999999</v>
      </c>
    </row>
    <row r="156" spans="1:10" x14ac:dyDescent="0.3">
      <c r="A156">
        <v>154</v>
      </c>
      <c r="B156">
        <v>2451</v>
      </c>
      <c r="C156" t="b">
        <v>1</v>
      </c>
      <c r="D156">
        <v>8048</v>
      </c>
      <c r="E156">
        <v>8123</v>
      </c>
      <c r="F156">
        <v>8</v>
      </c>
      <c r="G156">
        <v>6.8</v>
      </c>
      <c r="H156">
        <v>1.1764705</v>
      </c>
      <c r="I156">
        <v>-0.17647055</v>
      </c>
      <c r="J156">
        <v>0.45945944999999999</v>
      </c>
    </row>
    <row r="157" spans="1:10" x14ac:dyDescent="0.3">
      <c r="A157">
        <v>155</v>
      </c>
      <c r="B157">
        <v>2467</v>
      </c>
      <c r="C157" t="b">
        <v>1</v>
      </c>
      <c r="D157">
        <v>8048</v>
      </c>
      <c r="E157">
        <v>8123</v>
      </c>
      <c r="F157">
        <v>8</v>
      </c>
      <c r="G157">
        <v>6.8</v>
      </c>
      <c r="H157">
        <v>1.1764705</v>
      </c>
      <c r="I157">
        <v>-0.17647055</v>
      </c>
      <c r="J157">
        <v>0.45945944999999999</v>
      </c>
    </row>
    <row r="158" spans="1:10" x14ac:dyDescent="0.3">
      <c r="A158">
        <v>156</v>
      </c>
      <c r="B158">
        <v>2483</v>
      </c>
      <c r="C158" t="b">
        <v>1</v>
      </c>
      <c r="D158">
        <v>8048</v>
      </c>
      <c r="E158">
        <v>8123</v>
      </c>
      <c r="F158">
        <v>8</v>
      </c>
      <c r="G158">
        <v>6.8</v>
      </c>
      <c r="H158">
        <v>1.1764705</v>
      </c>
      <c r="I158">
        <v>-0.17647055</v>
      </c>
      <c r="J158">
        <v>0.45945944999999999</v>
      </c>
    </row>
    <row r="159" spans="1:10" x14ac:dyDescent="0.3">
      <c r="A159">
        <v>157</v>
      </c>
      <c r="B159">
        <v>2498</v>
      </c>
      <c r="C159" t="b">
        <v>1</v>
      </c>
      <c r="D159">
        <v>8042</v>
      </c>
      <c r="E159">
        <v>8129</v>
      </c>
      <c r="F159">
        <v>8</v>
      </c>
      <c r="G159">
        <v>6.8</v>
      </c>
      <c r="H159">
        <v>1.1764705</v>
      </c>
      <c r="I159">
        <v>-0.17647055</v>
      </c>
      <c r="J159">
        <v>0.45945944999999999</v>
      </c>
    </row>
    <row r="160" spans="1:10" x14ac:dyDescent="0.3">
      <c r="A160">
        <v>158</v>
      </c>
      <c r="B160">
        <v>2514</v>
      </c>
      <c r="C160" t="b">
        <v>1</v>
      </c>
      <c r="D160">
        <v>8048</v>
      </c>
      <c r="E160">
        <v>8123</v>
      </c>
      <c r="F160">
        <v>8</v>
      </c>
      <c r="G160">
        <v>6.8</v>
      </c>
      <c r="H160">
        <v>1.1764705</v>
      </c>
      <c r="I160">
        <v>-0.17647055</v>
      </c>
      <c r="J160">
        <v>0.45945944999999999</v>
      </c>
    </row>
    <row r="161" spans="1:10" x14ac:dyDescent="0.3">
      <c r="A161">
        <v>159</v>
      </c>
      <c r="B161">
        <v>2530</v>
      </c>
      <c r="C161" t="b">
        <v>1</v>
      </c>
      <c r="D161">
        <v>8048</v>
      </c>
      <c r="E161">
        <v>8117</v>
      </c>
      <c r="F161">
        <v>8</v>
      </c>
      <c r="G161">
        <v>6.8</v>
      </c>
      <c r="H161">
        <v>1.1764705</v>
      </c>
      <c r="I161">
        <v>-0.17647055</v>
      </c>
      <c r="J161">
        <v>0.45945944999999999</v>
      </c>
    </row>
    <row r="162" spans="1:10" x14ac:dyDescent="0.3">
      <c r="A162">
        <v>160</v>
      </c>
      <c r="B162">
        <v>2546</v>
      </c>
      <c r="C162" t="b">
        <v>1</v>
      </c>
      <c r="D162">
        <v>8048</v>
      </c>
      <c r="E162">
        <v>8117</v>
      </c>
      <c r="F162">
        <v>8</v>
      </c>
      <c r="G162">
        <v>6.8</v>
      </c>
      <c r="H162">
        <v>1.1764705</v>
      </c>
      <c r="I162">
        <v>-0.17647055</v>
      </c>
      <c r="J162">
        <v>0.45945944999999999</v>
      </c>
    </row>
    <row r="163" spans="1:10" x14ac:dyDescent="0.3">
      <c r="A163">
        <v>161</v>
      </c>
      <c r="B163">
        <v>2562</v>
      </c>
      <c r="C163" t="b">
        <v>1</v>
      </c>
      <c r="D163">
        <v>8048</v>
      </c>
      <c r="E163">
        <v>8117</v>
      </c>
      <c r="F163">
        <v>8</v>
      </c>
      <c r="G163">
        <v>6.8</v>
      </c>
      <c r="H163">
        <v>1.1764705</v>
      </c>
      <c r="I163">
        <v>-0.17647055</v>
      </c>
      <c r="J163">
        <v>0.45945944999999999</v>
      </c>
    </row>
    <row r="164" spans="1:10" x14ac:dyDescent="0.3">
      <c r="A164">
        <v>162</v>
      </c>
      <c r="B164">
        <v>2578</v>
      </c>
      <c r="C164" t="b">
        <v>1</v>
      </c>
      <c r="D164">
        <v>8048</v>
      </c>
      <c r="E164">
        <v>8123</v>
      </c>
      <c r="F164">
        <v>8</v>
      </c>
      <c r="G164">
        <v>6.8</v>
      </c>
      <c r="H164">
        <v>1.1764705</v>
      </c>
      <c r="I164">
        <v>-0.17647055</v>
      </c>
      <c r="J164">
        <v>0.45945944999999999</v>
      </c>
    </row>
    <row r="165" spans="1:10" x14ac:dyDescent="0.3">
      <c r="A165">
        <v>163</v>
      </c>
      <c r="B165">
        <v>2594</v>
      </c>
      <c r="C165" t="b">
        <v>1</v>
      </c>
      <c r="D165">
        <v>8048</v>
      </c>
      <c r="E165">
        <v>8123</v>
      </c>
      <c r="F165">
        <v>8</v>
      </c>
      <c r="G165">
        <v>6.4</v>
      </c>
      <c r="H165">
        <v>1.25</v>
      </c>
      <c r="I165">
        <v>-0.24999999000000001</v>
      </c>
      <c r="J165">
        <v>0.44444447999999998</v>
      </c>
    </row>
    <row r="166" spans="1:10" x14ac:dyDescent="0.3">
      <c r="A166">
        <v>164</v>
      </c>
      <c r="B166">
        <v>2610</v>
      </c>
      <c r="C166" t="b">
        <v>1</v>
      </c>
      <c r="D166">
        <v>8048</v>
      </c>
      <c r="E166">
        <v>8123</v>
      </c>
      <c r="F166">
        <v>8</v>
      </c>
      <c r="G166">
        <v>6.8</v>
      </c>
      <c r="H166">
        <v>1.1764705</v>
      </c>
      <c r="I166">
        <v>-0.17647055</v>
      </c>
      <c r="J166">
        <v>0.45945944999999999</v>
      </c>
    </row>
    <row r="167" spans="1:10" x14ac:dyDescent="0.3">
      <c r="A167">
        <v>165</v>
      </c>
      <c r="B167">
        <v>2626</v>
      </c>
      <c r="C167" t="b">
        <v>1</v>
      </c>
      <c r="D167">
        <v>8048</v>
      </c>
      <c r="E167">
        <v>8123</v>
      </c>
      <c r="F167">
        <v>8</v>
      </c>
      <c r="G167">
        <v>6.8</v>
      </c>
      <c r="H167">
        <v>1.1764705</v>
      </c>
      <c r="I167">
        <v>-0.17647055</v>
      </c>
      <c r="J167">
        <v>0.45945944999999999</v>
      </c>
    </row>
    <row r="168" spans="1:10" x14ac:dyDescent="0.3">
      <c r="A168">
        <v>166</v>
      </c>
      <c r="B168">
        <v>2642</v>
      </c>
      <c r="C168" t="b">
        <v>1</v>
      </c>
      <c r="D168">
        <v>8048</v>
      </c>
      <c r="E168">
        <v>8123</v>
      </c>
      <c r="F168">
        <v>8</v>
      </c>
      <c r="G168">
        <v>6.8</v>
      </c>
      <c r="H168">
        <v>1.1764705</v>
      </c>
      <c r="I168">
        <v>-0.17647055</v>
      </c>
      <c r="J168">
        <v>0.45945944999999999</v>
      </c>
    </row>
    <row r="169" spans="1:10" x14ac:dyDescent="0.3">
      <c r="A169">
        <v>167</v>
      </c>
      <c r="B169">
        <v>2657</v>
      </c>
      <c r="C169" t="b">
        <v>1</v>
      </c>
      <c r="D169">
        <v>8048</v>
      </c>
      <c r="E169">
        <v>8123</v>
      </c>
      <c r="F169">
        <v>8</v>
      </c>
      <c r="G169">
        <v>6.8</v>
      </c>
      <c r="H169">
        <v>1.1764705</v>
      </c>
      <c r="I169">
        <v>-0.17647055</v>
      </c>
      <c r="J169">
        <v>0.45945944999999999</v>
      </c>
    </row>
    <row r="170" spans="1:10" x14ac:dyDescent="0.3">
      <c r="A170">
        <v>168</v>
      </c>
      <c r="B170">
        <v>2673</v>
      </c>
      <c r="C170" t="b">
        <v>1</v>
      </c>
      <c r="D170">
        <v>8048</v>
      </c>
      <c r="E170">
        <v>8123</v>
      </c>
      <c r="F170">
        <v>8</v>
      </c>
      <c r="G170">
        <v>6.8</v>
      </c>
      <c r="H170">
        <v>1.1764705</v>
      </c>
      <c r="I170">
        <v>-0.17647055</v>
      </c>
      <c r="J170">
        <v>0.45945944999999999</v>
      </c>
    </row>
    <row r="171" spans="1:10" x14ac:dyDescent="0.3">
      <c r="A171">
        <v>169</v>
      </c>
      <c r="B171">
        <v>2689</v>
      </c>
      <c r="C171" t="b">
        <v>1</v>
      </c>
      <c r="D171">
        <v>8048</v>
      </c>
      <c r="E171">
        <v>8123</v>
      </c>
      <c r="F171">
        <v>8</v>
      </c>
      <c r="G171">
        <v>6.8</v>
      </c>
      <c r="H171">
        <v>1.1764705</v>
      </c>
      <c r="I171">
        <v>-0.17647055</v>
      </c>
      <c r="J171">
        <v>0.45945944999999999</v>
      </c>
    </row>
    <row r="172" spans="1:10" x14ac:dyDescent="0.3">
      <c r="A172">
        <v>170</v>
      </c>
      <c r="B172">
        <v>2705</v>
      </c>
      <c r="C172" t="b">
        <v>1</v>
      </c>
      <c r="D172">
        <v>8048</v>
      </c>
      <c r="E172">
        <v>8123</v>
      </c>
      <c r="F172">
        <v>8</v>
      </c>
      <c r="G172">
        <v>6.8</v>
      </c>
      <c r="H172">
        <v>1.1764705</v>
      </c>
      <c r="I172">
        <v>-0.17647055</v>
      </c>
      <c r="J172">
        <v>0.45945944999999999</v>
      </c>
    </row>
    <row r="173" spans="1:10" x14ac:dyDescent="0.3">
      <c r="A173">
        <v>171</v>
      </c>
      <c r="B173">
        <v>2721</v>
      </c>
      <c r="C173" t="b">
        <v>1</v>
      </c>
      <c r="D173">
        <v>8048</v>
      </c>
      <c r="E173">
        <v>8123</v>
      </c>
      <c r="F173">
        <v>8</v>
      </c>
      <c r="G173">
        <v>6.8</v>
      </c>
      <c r="H173">
        <v>1.1764705</v>
      </c>
      <c r="I173">
        <v>-0.17647055</v>
      </c>
      <c r="J173">
        <v>0.45945944999999999</v>
      </c>
    </row>
    <row r="174" spans="1:10" x14ac:dyDescent="0.3">
      <c r="A174">
        <v>172</v>
      </c>
      <c r="B174">
        <v>2737</v>
      </c>
      <c r="C174" t="b">
        <v>1</v>
      </c>
      <c r="D174">
        <v>8048</v>
      </c>
      <c r="E174">
        <v>8123</v>
      </c>
      <c r="F174">
        <v>8</v>
      </c>
      <c r="G174">
        <v>6.8</v>
      </c>
      <c r="H174">
        <v>1.1764705</v>
      </c>
      <c r="I174">
        <v>-0.17647055</v>
      </c>
      <c r="J174">
        <v>0.45945944999999999</v>
      </c>
    </row>
    <row r="175" spans="1:10" x14ac:dyDescent="0.3">
      <c r="A175">
        <v>173</v>
      </c>
      <c r="B175">
        <v>2753</v>
      </c>
      <c r="C175" t="b">
        <v>1</v>
      </c>
      <c r="D175">
        <v>8048</v>
      </c>
      <c r="E175">
        <v>8123</v>
      </c>
      <c r="F175">
        <v>8</v>
      </c>
      <c r="G175">
        <v>6.8</v>
      </c>
      <c r="H175">
        <v>1.1764705</v>
      </c>
      <c r="I175">
        <v>-0.17647055</v>
      </c>
      <c r="J175">
        <v>0.45945944999999999</v>
      </c>
    </row>
    <row r="176" spans="1:10" x14ac:dyDescent="0.3">
      <c r="A176">
        <v>174</v>
      </c>
      <c r="B176">
        <v>2769</v>
      </c>
      <c r="C176" t="b">
        <v>1</v>
      </c>
      <c r="D176">
        <v>8048</v>
      </c>
      <c r="E176">
        <v>8123</v>
      </c>
      <c r="F176">
        <v>8</v>
      </c>
      <c r="G176">
        <v>6.8</v>
      </c>
      <c r="H176">
        <v>1.1764705</v>
      </c>
      <c r="I176">
        <v>-0.17647055</v>
      </c>
      <c r="J176">
        <v>0.45945944999999999</v>
      </c>
    </row>
    <row r="177" spans="1:10" x14ac:dyDescent="0.3">
      <c r="A177">
        <v>175</v>
      </c>
      <c r="B177">
        <v>2784</v>
      </c>
      <c r="C177" t="b">
        <v>1</v>
      </c>
      <c r="D177">
        <v>8048</v>
      </c>
      <c r="E177">
        <v>8129</v>
      </c>
      <c r="F177">
        <v>8</v>
      </c>
      <c r="G177">
        <v>6.8</v>
      </c>
      <c r="H177">
        <v>1.1764705</v>
      </c>
      <c r="I177">
        <v>-0.17647055</v>
      </c>
      <c r="J177">
        <v>0.45945944999999999</v>
      </c>
    </row>
    <row r="178" spans="1:10" x14ac:dyDescent="0.3">
      <c r="A178">
        <v>176</v>
      </c>
      <c r="B178">
        <v>2800</v>
      </c>
      <c r="C178" t="b">
        <v>1</v>
      </c>
      <c r="D178">
        <v>8048</v>
      </c>
      <c r="E178">
        <v>8123</v>
      </c>
      <c r="F178">
        <v>8</v>
      </c>
      <c r="G178">
        <v>7.2</v>
      </c>
      <c r="H178">
        <v>1.1111112000000001</v>
      </c>
      <c r="I178">
        <v>-0.11111114</v>
      </c>
      <c r="J178">
        <v>0.4736842</v>
      </c>
    </row>
    <row r="179" spans="1:10" x14ac:dyDescent="0.3">
      <c r="A179">
        <v>177</v>
      </c>
      <c r="B179">
        <v>2816</v>
      </c>
      <c r="C179" t="b">
        <v>1</v>
      </c>
      <c r="D179">
        <v>8042</v>
      </c>
      <c r="E179">
        <v>8123</v>
      </c>
      <c r="F179">
        <v>8</v>
      </c>
      <c r="G179">
        <v>7.6</v>
      </c>
      <c r="H179">
        <v>1.0526316</v>
      </c>
      <c r="I179">
        <v>-5.2631589999999999E-2</v>
      </c>
      <c r="J179">
        <v>0.48717946000000001</v>
      </c>
    </row>
    <row r="180" spans="1:10" x14ac:dyDescent="0.3">
      <c r="A180">
        <v>178</v>
      </c>
      <c r="B180">
        <v>2832</v>
      </c>
      <c r="C180" t="b">
        <v>1</v>
      </c>
      <c r="D180">
        <v>8048</v>
      </c>
      <c r="E180">
        <v>8129</v>
      </c>
      <c r="F180">
        <v>8</v>
      </c>
      <c r="G180">
        <v>8</v>
      </c>
      <c r="H180">
        <v>1</v>
      </c>
      <c r="I180">
        <v>0</v>
      </c>
      <c r="J180">
        <v>0.5</v>
      </c>
    </row>
    <row r="181" spans="1:10" x14ac:dyDescent="0.3">
      <c r="A181">
        <v>179</v>
      </c>
      <c r="B181">
        <v>2848</v>
      </c>
      <c r="C181" t="b">
        <v>1</v>
      </c>
      <c r="D181">
        <v>8048</v>
      </c>
      <c r="E181">
        <v>8123</v>
      </c>
      <c r="F181">
        <v>8</v>
      </c>
      <c r="G181">
        <v>8</v>
      </c>
      <c r="H181">
        <v>1</v>
      </c>
      <c r="I181">
        <v>0</v>
      </c>
      <c r="J181">
        <v>0.5</v>
      </c>
    </row>
    <row r="182" spans="1:10" x14ac:dyDescent="0.3">
      <c r="A182">
        <v>180</v>
      </c>
      <c r="B182">
        <v>2864</v>
      </c>
      <c r="C182" t="b">
        <v>1</v>
      </c>
      <c r="D182">
        <v>8048</v>
      </c>
      <c r="E182">
        <v>8123</v>
      </c>
      <c r="F182">
        <v>8</v>
      </c>
      <c r="G182">
        <v>8</v>
      </c>
      <c r="H182">
        <v>1</v>
      </c>
      <c r="I182">
        <v>0</v>
      </c>
      <c r="J182">
        <v>0.5</v>
      </c>
    </row>
    <row r="183" spans="1:10" x14ac:dyDescent="0.3">
      <c r="A183">
        <v>181</v>
      </c>
      <c r="B183">
        <v>2880</v>
      </c>
      <c r="C183" t="b">
        <v>1</v>
      </c>
      <c r="D183">
        <v>8048</v>
      </c>
      <c r="E183">
        <v>8117</v>
      </c>
      <c r="F183">
        <v>8</v>
      </c>
      <c r="G183">
        <v>8</v>
      </c>
      <c r="H183">
        <v>1</v>
      </c>
      <c r="I183">
        <v>0</v>
      </c>
      <c r="J183">
        <v>0.5</v>
      </c>
    </row>
    <row r="184" spans="1:10" x14ac:dyDescent="0.3">
      <c r="A184">
        <v>182</v>
      </c>
      <c r="B184">
        <v>2895</v>
      </c>
      <c r="C184" t="b">
        <v>1</v>
      </c>
      <c r="D184">
        <v>8054</v>
      </c>
      <c r="E184">
        <v>8117</v>
      </c>
      <c r="F184">
        <v>8</v>
      </c>
      <c r="G184">
        <v>8</v>
      </c>
      <c r="H184">
        <v>1</v>
      </c>
      <c r="I184">
        <v>0</v>
      </c>
      <c r="J184">
        <v>0.5</v>
      </c>
    </row>
    <row r="185" spans="1:10" x14ac:dyDescent="0.3">
      <c r="A185">
        <v>183</v>
      </c>
      <c r="B185">
        <v>2911</v>
      </c>
      <c r="C185" t="b">
        <v>1</v>
      </c>
      <c r="D185">
        <v>8054</v>
      </c>
      <c r="E185">
        <v>8123</v>
      </c>
      <c r="F185">
        <v>8</v>
      </c>
      <c r="G185">
        <v>8</v>
      </c>
      <c r="H185">
        <v>1</v>
      </c>
      <c r="I185">
        <v>0</v>
      </c>
      <c r="J185">
        <v>0.5</v>
      </c>
    </row>
    <row r="186" spans="1:10" x14ac:dyDescent="0.3">
      <c r="A186">
        <v>184</v>
      </c>
      <c r="B186">
        <v>2927</v>
      </c>
      <c r="C186" t="b">
        <v>1</v>
      </c>
      <c r="D186">
        <v>8048</v>
      </c>
      <c r="E186">
        <v>8123</v>
      </c>
      <c r="F186">
        <v>8</v>
      </c>
      <c r="G186">
        <v>8</v>
      </c>
      <c r="H186">
        <v>1</v>
      </c>
      <c r="I186">
        <v>0</v>
      </c>
      <c r="J186">
        <v>0.5</v>
      </c>
    </row>
    <row r="187" spans="1:10" x14ac:dyDescent="0.3">
      <c r="A187">
        <v>185</v>
      </c>
      <c r="B187">
        <v>2943</v>
      </c>
      <c r="C187" t="b">
        <v>1</v>
      </c>
      <c r="D187">
        <v>8054</v>
      </c>
      <c r="E187">
        <v>8123</v>
      </c>
      <c r="F187">
        <v>8.4</v>
      </c>
      <c r="G187">
        <v>8</v>
      </c>
      <c r="H187">
        <v>1.05</v>
      </c>
      <c r="I187">
        <v>-4.9999952E-2</v>
      </c>
      <c r="J187">
        <v>0.48780489999999999</v>
      </c>
    </row>
    <row r="188" spans="1:10" x14ac:dyDescent="0.3">
      <c r="A188">
        <v>186</v>
      </c>
      <c r="B188">
        <v>2959</v>
      </c>
      <c r="C188" t="b">
        <v>1</v>
      </c>
      <c r="D188">
        <v>8048</v>
      </c>
      <c r="E188">
        <v>8117</v>
      </c>
      <c r="F188">
        <v>8.8000000000000007</v>
      </c>
      <c r="G188">
        <v>8</v>
      </c>
      <c r="H188">
        <v>1.1000000000000001</v>
      </c>
      <c r="I188">
        <v>-0.10000002400000001</v>
      </c>
      <c r="J188">
        <v>0.47619050000000002</v>
      </c>
    </row>
    <row r="189" spans="1:10" x14ac:dyDescent="0.3">
      <c r="A189">
        <v>187</v>
      </c>
      <c r="B189">
        <v>2975</v>
      </c>
      <c r="C189" t="b">
        <v>1</v>
      </c>
      <c r="D189">
        <v>8048</v>
      </c>
      <c r="E189">
        <v>8123</v>
      </c>
      <c r="F189">
        <v>8.8000000000000007</v>
      </c>
      <c r="G189">
        <v>8</v>
      </c>
      <c r="H189">
        <v>1.1000000000000001</v>
      </c>
      <c r="I189">
        <v>-0.10000002400000001</v>
      </c>
      <c r="J189">
        <v>0.47619050000000002</v>
      </c>
    </row>
    <row r="190" spans="1:10" x14ac:dyDescent="0.3">
      <c r="A190">
        <v>188</v>
      </c>
      <c r="B190">
        <v>2991</v>
      </c>
      <c r="C190" t="b">
        <v>1</v>
      </c>
      <c r="D190">
        <v>8054</v>
      </c>
      <c r="E190">
        <v>8123</v>
      </c>
      <c r="F190">
        <v>8.8000000000000007</v>
      </c>
      <c r="G190">
        <v>8</v>
      </c>
      <c r="H190">
        <v>1.1000000000000001</v>
      </c>
      <c r="I190">
        <v>-0.10000002400000001</v>
      </c>
      <c r="J190">
        <v>0.47619050000000002</v>
      </c>
    </row>
    <row r="191" spans="1:10" x14ac:dyDescent="0.3">
      <c r="A191">
        <v>189</v>
      </c>
      <c r="B191">
        <v>3007</v>
      </c>
      <c r="C191" t="b">
        <v>1</v>
      </c>
      <c r="D191">
        <v>8048</v>
      </c>
      <c r="E191">
        <v>8123</v>
      </c>
      <c r="F191">
        <v>8.8000000000000007</v>
      </c>
      <c r="G191">
        <v>8</v>
      </c>
      <c r="H191">
        <v>1.1000000000000001</v>
      </c>
      <c r="I191">
        <v>-0.10000002400000001</v>
      </c>
      <c r="J191">
        <v>0.47619050000000002</v>
      </c>
    </row>
    <row r="192" spans="1:10" x14ac:dyDescent="0.3">
      <c r="A192">
        <v>190</v>
      </c>
      <c r="B192">
        <v>3023</v>
      </c>
      <c r="C192" t="b">
        <v>1</v>
      </c>
      <c r="D192">
        <v>8048</v>
      </c>
      <c r="E192">
        <v>8123</v>
      </c>
      <c r="F192">
        <v>8.8000000000000007</v>
      </c>
      <c r="G192">
        <v>8</v>
      </c>
      <c r="H192">
        <v>1.1000000000000001</v>
      </c>
      <c r="I192">
        <v>-0.10000002400000001</v>
      </c>
      <c r="J192">
        <v>0.47619050000000002</v>
      </c>
    </row>
    <row r="193" spans="1:10" x14ac:dyDescent="0.3">
      <c r="A193">
        <v>191</v>
      </c>
      <c r="B193">
        <v>3039</v>
      </c>
      <c r="C193" t="b">
        <v>1</v>
      </c>
      <c r="D193">
        <v>8048</v>
      </c>
      <c r="E193">
        <v>8129</v>
      </c>
      <c r="F193">
        <v>8.8000000000000007</v>
      </c>
      <c r="G193">
        <v>8</v>
      </c>
      <c r="H193">
        <v>1.1000000000000001</v>
      </c>
      <c r="I193">
        <v>-0.10000002400000001</v>
      </c>
      <c r="J193">
        <v>0.47619050000000002</v>
      </c>
    </row>
    <row r="194" spans="1:10" x14ac:dyDescent="0.3">
      <c r="A194">
        <v>192</v>
      </c>
      <c r="B194">
        <v>3055</v>
      </c>
      <c r="C194" t="b">
        <v>1</v>
      </c>
      <c r="D194">
        <v>8048</v>
      </c>
      <c r="E194">
        <v>8123</v>
      </c>
      <c r="F194">
        <v>8.8000000000000007</v>
      </c>
      <c r="G194">
        <v>8</v>
      </c>
      <c r="H194">
        <v>1.1000000000000001</v>
      </c>
      <c r="I194">
        <v>-0.10000002400000001</v>
      </c>
      <c r="J194">
        <v>0.47619050000000002</v>
      </c>
    </row>
    <row r="195" spans="1:10" x14ac:dyDescent="0.3">
      <c r="A195">
        <v>193</v>
      </c>
      <c r="B195">
        <v>3071</v>
      </c>
      <c r="C195" t="b">
        <v>1</v>
      </c>
      <c r="D195">
        <v>8048</v>
      </c>
      <c r="E195">
        <v>8117</v>
      </c>
      <c r="F195">
        <v>8.8000000000000007</v>
      </c>
      <c r="G195">
        <v>8</v>
      </c>
      <c r="H195">
        <v>1.1000000000000001</v>
      </c>
      <c r="I195">
        <v>-0.10000002400000001</v>
      </c>
      <c r="J195">
        <v>0.47619050000000002</v>
      </c>
    </row>
    <row r="196" spans="1:10" x14ac:dyDescent="0.3">
      <c r="A196">
        <v>194</v>
      </c>
      <c r="B196">
        <v>3086</v>
      </c>
      <c r="C196" t="b">
        <v>1</v>
      </c>
      <c r="D196">
        <v>8048</v>
      </c>
      <c r="E196">
        <v>8117</v>
      </c>
      <c r="F196">
        <v>8.8000000000000007</v>
      </c>
      <c r="G196">
        <v>8</v>
      </c>
      <c r="H196">
        <v>1.1000000000000001</v>
      </c>
      <c r="I196">
        <v>-0.10000002400000001</v>
      </c>
      <c r="J196">
        <v>0.47619050000000002</v>
      </c>
    </row>
    <row r="197" spans="1:10" x14ac:dyDescent="0.3">
      <c r="A197">
        <v>195</v>
      </c>
      <c r="B197">
        <v>3102</v>
      </c>
      <c r="C197" t="b">
        <v>1</v>
      </c>
      <c r="D197">
        <v>8048</v>
      </c>
      <c r="E197">
        <v>8117</v>
      </c>
      <c r="F197">
        <v>8.8000000000000007</v>
      </c>
      <c r="G197">
        <v>7.6</v>
      </c>
      <c r="H197">
        <v>1.1578946999999999</v>
      </c>
      <c r="I197">
        <v>-0.15789478000000001</v>
      </c>
      <c r="J197">
        <v>0.46341463999999999</v>
      </c>
    </row>
    <row r="198" spans="1:10" x14ac:dyDescent="0.3">
      <c r="A198">
        <v>196</v>
      </c>
      <c r="B198">
        <v>3118</v>
      </c>
      <c r="C198" t="b">
        <v>1</v>
      </c>
      <c r="D198">
        <v>8048</v>
      </c>
      <c r="E198">
        <v>8117</v>
      </c>
      <c r="F198">
        <v>8.8000000000000007</v>
      </c>
      <c r="G198">
        <v>7.2</v>
      </c>
      <c r="H198">
        <v>1.2222223000000001</v>
      </c>
      <c r="I198">
        <v>-0.22222227999999999</v>
      </c>
      <c r="J198">
        <v>0.45</v>
      </c>
    </row>
    <row r="199" spans="1:10" x14ac:dyDescent="0.3">
      <c r="A199">
        <v>197</v>
      </c>
      <c r="B199">
        <v>3134</v>
      </c>
      <c r="C199" t="b">
        <v>1</v>
      </c>
      <c r="D199">
        <v>8048</v>
      </c>
      <c r="E199">
        <v>8117</v>
      </c>
      <c r="F199">
        <v>8.8000000000000007</v>
      </c>
      <c r="G199">
        <v>6.8</v>
      </c>
      <c r="H199">
        <v>1.2941176999999999</v>
      </c>
      <c r="I199">
        <v>-0.29411763000000002</v>
      </c>
      <c r="J199">
        <v>0.43589744000000002</v>
      </c>
    </row>
    <row r="200" spans="1:10" x14ac:dyDescent="0.3">
      <c r="A200">
        <v>198</v>
      </c>
      <c r="B200">
        <v>3150</v>
      </c>
      <c r="C200" t="b">
        <v>1</v>
      </c>
      <c r="D200">
        <v>8048</v>
      </c>
      <c r="E200">
        <v>8117</v>
      </c>
      <c r="F200">
        <v>8.8000000000000007</v>
      </c>
      <c r="G200">
        <v>6.4</v>
      </c>
      <c r="H200">
        <v>1.375</v>
      </c>
      <c r="I200">
        <v>-0.375</v>
      </c>
      <c r="J200">
        <v>0.4210526</v>
      </c>
    </row>
    <row r="201" spans="1:10" x14ac:dyDescent="0.3">
      <c r="A201">
        <v>199</v>
      </c>
      <c r="B201">
        <v>3165</v>
      </c>
      <c r="C201" t="b">
        <v>1</v>
      </c>
      <c r="D201">
        <v>8048</v>
      </c>
      <c r="E201">
        <v>8123</v>
      </c>
      <c r="F201">
        <v>8.8000000000000007</v>
      </c>
      <c r="G201">
        <v>6</v>
      </c>
      <c r="H201">
        <v>1.4666667</v>
      </c>
      <c r="I201">
        <v>-0.46666669999999999</v>
      </c>
      <c r="J201">
        <v>0.40540540000000003</v>
      </c>
    </row>
    <row r="202" spans="1:10" x14ac:dyDescent="0.3">
      <c r="A202">
        <v>200</v>
      </c>
      <c r="B202">
        <v>3181</v>
      </c>
      <c r="C202" t="b">
        <v>1</v>
      </c>
      <c r="D202">
        <v>8048</v>
      </c>
      <c r="E202">
        <v>8123</v>
      </c>
      <c r="F202">
        <v>8.4</v>
      </c>
      <c r="G202">
        <v>5.6</v>
      </c>
      <c r="H202">
        <v>1.5</v>
      </c>
      <c r="I202">
        <v>-0.49999997000000002</v>
      </c>
      <c r="J202">
        <v>0.4</v>
      </c>
    </row>
    <row r="203" spans="1:10" x14ac:dyDescent="0.3">
      <c r="A203">
        <v>201</v>
      </c>
      <c r="B203">
        <v>3197</v>
      </c>
      <c r="C203" t="b">
        <v>1</v>
      </c>
      <c r="D203">
        <v>8048</v>
      </c>
      <c r="E203">
        <v>8134</v>
      </c>
      <c r="F203">
        <v>8</v>
      </c>
      <c r="G203">
        <v>5.6</v>
      </c>
      <c r="H203">
        <v>1.4285715000000001</v>
      </c>
      <c r="I203">
        <v>-0.42857146000000002</v>
      </c>
      <c r="J203">
        <v>0.41176467999999999</v>
      </c>
    </row>
    <row r="204" spans="1:10" x14ac:dyDescent="0.3">
      <c r="A204">
        <v>202</v>
      </c>
      <c r="B204">
        <v>3213</v>
      </c>
      <c r="C204" t="b">
        <v>1</v>
      </c>
      <c r="D204">
        <v>8048</v>
      </c>
      <c r="E204">
        <v>8123</v>
      </c>
      <c r="F204">
        <v>8</v>
      </c>
      <c r="G204">
        <v>5.6</v>
      </c>
      <c r="H204">
        <v>1.4285715000000001</v>
      </c>
      <c r="I204">
        <v>-0.42857146000000002</v>
      </c>
      <c r="J204">
        <v>0.41176467999999999</v>
      </c>
    </row>
    <row r="205" spans="1:10" x14ac:dyDescent="0.3">
      <c r="A205">
        <v>203</v>
      </c>
      <c r="B205">
        <v>3229</v>
      </c>
      <c r="C205" t="b">
        <v>1</v>
      </c>
      <c r="D205">
        <v>8048</v>
      </c>
      <c r="E205">
        <v>8123</v>
      </c>
      <c r="F205">
        <v>8</v>
      </c>
      <c r="G205">
        <v>5.6</v>
      </c>
      <c r="H205">
        <v>1.4285715000000001</v>
      </c>
      <c r="I205">
        <v>-0.42857146000000002</v>
      </c>
      <c r="J205">
        <v>0.41176467999999999</v>
      </c>
    </row>
    <row r="206" spans="1:10" x14ac:dyDescent="0.3">
      <c r="A206">
        <v>204</v>
      </c>
      <c r="B206">
        <v>3245</v>
      </c>
      <c r="C206" t="b">
        <v>1</v>
      </c>
      <c r="D206">
        <v>8048</v>
      </c>
      <c r="E206">
        <v>8123</v>
      </c>
      <c r="F206">
        <v>8</v>
      </c>
      <c r="G206">
        <v>5.6</v>
      </c>
      <c r="H206">
        <v>1.4285715000000001</v>
      </c>
      <c r="I206">
        <v>-0.42857146000000002</v>
      </c>
      <c r="J206">
        <v>0.41176467999999999</v>
      </c>
    </row>
    <row r="207" spans="1:10" x14ac:dyDescent="0.3">
      <c r="A207">
        <v>205</v>
      </c>
      <c r="B207">
        <v>3261</v>
      </c>
      <c r="C207" t="b">
        <v>1</v>
      </c>
      <c r="D207">
        <v>8048</v>
      </c>
      <c r="E207">
        <v>8123</v>
      </c>
      <c r="F207">
        <v>8</v>
      </c>
      <c r="G207">
        <v>5.6</v>
      </c>
      <c r="H207">
        <v>1.4285715000000001</v>
      </c>
      <c r="I207">
        <v>-0.42857146000000002</v>
      </c>
      <c r="J207">
        <v>0.41176467999999999</v>
      </c>
    </row>
    <row r="208" spans="1:10" x14ac:dyDescent="0.3">
      <c r="A208">
        <v>206</v>
      </c>
      <c r="B208">
        <v>3277</v>
      </c>
      <c r="C208" t="b">
        <v>1</v>
      </c>
      <c r="D208">
        <v>8048</v>
      </c>
      <c r="E208">
        <v>8111</v>
      </c>
      <c r="F208">
        <v>8</v>
      </c>
      <c r="G208">
        <v>5.6</v>
      </c>
      <c r="H208">
        <v>1.4285715000000001</v>
      </c>
      <c r="I208">
        <v>-0.42857146000000002</v>
      </c>
      <c r="J208">
        <v>0.41176467999999999</v>
      </c>
    </row>
    <row r="209" spans="1:10" x14ac:dyDescent="0.3">
      <c r="A209">
        <v>207</v>
      </c>
      <c r="B209">
        <v>3293</v>
      </c>
      <c r="C209" t="b">
        <v>1</v>
      </c>
      <c r="D209">
        <v>8048</v>
      </c>
      <c r="E209">
        <v>8117</v>
      </c>
      <c r="F209">
        <v>8</v>
      </c>
      <c r="G209">
        <v>5.6</v>
      </c>
      <c r="H209">
        <v>1.4285715000000001</v>
      </c>
      <c r="I209">
        <v>-0.42857146000000002</v>
      </c>
      <c r="J209">
        <v>0.41176467999999999</v>
      </c>
    </row>
    <row r="210" spans="1:10" x14ac:dyDescent="0.3">
      <c r="A210">
        <v>208</v>
      </c>
      <c r="B210">
        <v>3309</v>
      </c>
      <c r="C210" t="b">
        <v>1</v>
      </c>
      <c r="D210">
        <v>8048</v>
      </c>
      <c r="E210">
        <v>8111</v>
      </c>
      <c r="F210">
        <v>8</v>
      </c>
      <c r="G210">
        <v>5.2</v>
      </c>
      <c r="H210">
        <v>1.5384616</v>
      </c>
      <c r="I210">
        <v>-0.53846156999999994</v>
      </c>
      <c r="J210">
        <v>0.39393938000000001</v>
      </c>
    </row>
    <row r="211" spans="1:10" x14ac:dyDescent="0.3">
      <c r="A211">
        <v>209</v>
      </c>
      <c r="B211">
        <v>3324</v>
      </c>
      <c r="C211" t="b">
        <v>1</v>
      </c>
      <c r="D211">
        <v>8048</v>
      </c>
      <c r="E211">
        <v>8117</v>
      </c>
      <c r="F211">
        <v>8</v>
      </c>
      <c r="G211">
        <v>4.8</v>
      </c>
      <c r="H211">
        <v>1.6666666000000001</v>
      </c>
      <c r="I211">
        <v>-0.6666666</v>
      </c>
      <c r="J211">
        <v>0.375</v>
      </c>
    </row>
    <row r="212" spans="1:10" x14ac:dyDescent="0.3">
      <c r="A212">
        <v>210</v>
      </c>
      <c r="B212">
        <v>3340</v>
      </c>
      <c r="C212" t="b">
        <v>1</v>
      </c>
      <c r="D212">
        <v>8048</v>
      </c>
      <c r="E212">
        <v>8111</v>
      </c>
      <c r="F212">
        <v>8</v>
      </c>
      <c r="G212">
        <v>4.4000000000000004</v>
      </c>
      <c r="H212">
        <v>1.8181818000000001</v>
      </c>
      <c r="I212">
        <v>-0.81818175000000004</v>
      </c>
      <c r="J212">
        <v>0.35483872999999999</v>
      </c>
    </row>
    <row r="213" spans="1:10" x14ac:dyDescent="0.3">
      <c r="A213">
        <v>211</v>
      </c>
      <c r="B213">
        <v>3356</v>
      </c>
      <c r="C213" t="b">
        <v>1</v>
      </c>
      <c r="D213">
        <v>8048</v>
      </c>
      <c r="E213">
        <v>8117</v>
      </c>
      <c r="F213">
        <v>8</v>
      </c>
      <c r="G213">
        <v>4.4000000000000004</v>
      </c>
      <c r="H213">
        <v>1.8181818000000001</v>
      </c>
      <c r="I213">
        <v>-0.81818175000000004</v>
      </c>
      <c r="J213">
        <v>0.35483872999999999</v>
      </c>
    </row>
    <row r="214" spans="1:10" x14ac:dyDescent="0.3">
      <c r="A214">
        <v>212</v>
      </c>
      <c r="B214">
        <v>3372</v>
      </c>
      <c r="C214" t="b">
        <v>1</v>
      </c>
      <c r="D214">
        <v>8048</v>
      </c>
      <c r="E214">
        <v>8123</v>
      </c>
      <c r="F214">
        <v>8</v>
      </c>
      <c r="G214">
        <v>4.4000000000000004</v>
      </c>
      <c r="H214">
        <v>1.8181818000000001</v>
      </c>
      <c r="I214">
        <v>-0.81818175000000004</v>
      </c>
      <c r="J214">
        <v>0.35483872999999999</v>
      </c>
    </row>
    <row r="215" spans="1:10" x14ac:dyDescent="0.3">
      <c r="A215">
        <v>213</v>
      </c>
      <c r="B215">
        <v>3388</v>
      </c>
      <c r="C215" t="b">
        <v>1</v>
      </c>
      <c r="D215">
        <v>8048</v>
      </c>
      <c r="E215">
        <v>8123</v>
      </c>
      <c r="F215">
        <v>8</v>
      </c>
      <c r="G215">
        <v>4.4000000000000004</v>
      </c>
      <c r="H215">
        <v>1.8181818000000001</v>
      </c>
      <c r="I215">
        <v>-0.81818175000000004</v>
      </c>
      <c r="J215">
        <v>0.35483872999999999</v>
      </c>
    </row>
    <row r="216" spans="1:10" x14ac:dyDescent="0.3">
      <c r="A216">
        <v>214</v>
      </c>
      <c r="B216">
        <v>3404</v>
      </c>
      <c r="C216" t="b">
        <v>1</v>
      </c>
      <c r="D216">
        <v>8048</v>
      </c>
      <c r="E216">
        <v>8123</v>
      </c>
      <c r="F216">
        <v>8</v>
      </c>
      <c r="G216">
        <v>4.8</v>
      </c>
      <c r="H216">
        <v>1.6666666000000001</v>
      </c>
      <c r="I216">
        <v>-0.6666666</v>
      </c>
      <c r="J216">
        <v>0.375</v>
      </c>
    </row>
    <row r="217" spans="1:10" x14ac:dyDescent="0.3">
      <c r="A217">
        <v>215</v>
      </c>
      <c r="B217">
        <v>3420</v>
      </c>
      <c r="C217" t="b">
        <v>1</v>
      </c>
      <c r="D217">
        <v>8048</v>
      </c>
      <c r="E217">
        <v>8123</v>
      </c>
      <c r="F217">
        <v>8</v>
      </c>
      <c r="G217">
        <v>5.2</v>
      </c>
      <c r="H217">
        <v>1.5384616</v>
      </c>
      <c r="I217">
        <v>-0.53846156999999994</v>
      </c>
      <c r="J217">
        <v>0.39393938000000001</v>
      </c>
    </row>
    <row r="218" spans="1:10" x14ac:dyDescent="0.3">
      <c r="A218">
        <v>216</v>
      </c>
      <c r="B218">
        <v>3436</v>
      </c>
      <c r="C218" t="b">
        <v>1</v>
      </c>
      <c r="D218">
        <v>8048</v>
      </c>
      <c r="E218">
        <v>8123</v>
      </c>
      <c r="F218">
        <v>8</v>
      </c>
      <c r="G218">
        <v>5.2</v>
      </c>
      <c r="H218">
        <v>1.5384616</v>
      </c>
      <c r="I218">
        <v>-0.53846156999999994</v>
      </c>
      <c r="J218">
        <v>0.39393938000000001</v>
      </c>
    </row>
    <row r="219" spans="1:10" x14ac:dyDescent="0.3">
      <c r="A219">
        <v>217</v>
      </c>
      <c r="B219">
        <v>3452</v>
      </c>
      <c r="C219" t="b">
        <v>1</v>
      </c>
      <c r="D219">
        <v>8048</v>
      </c>
      <c r="E219">
        <v>8123</v>
      </c>
      <c r="F219">
        <v>8</v>
      </c>
      <c r="G219">
        <v>5.2</v>
      </c>
      <c r="H219">
        <v>1.5384616</v>
      </c>
      <c r="I219">
        <v>-0.53846156999999994</v>
      </c>
      <c r="J219">
        <v>0.39393938000000001</v>
      </c>
    </row>
    <row r="220" spans="1:10" x14ac:dyDescent="0.3">
      <c r="A220">
        <v>218</v>
      </c>
      <c r="B220">
        <v>3468</v>
      </c>
      <c r="C220" t="b">
        <v>1</v>
      </c>
      <c r="D220">
        <v>8042</v>
      </c>
      <c r="E220">
        <v>8123</v>
      </c>
      <c r="F220">
        <v>8</v>
      </c>
      <c r="G220">
        <v>5.2</v>
      </c>
      <c r="H220">
        <v>1.5384616</v>
      </c>
      <c r="I220">
        <v>-0.53846156999999994</v>
      </c>
      <c r="J220">
        <v>0.39393938000000001</v>
      </c>
    </row>
    <row r="221" spans="1:10" x14ac:dyDescent="0.3">
      <c r="A221">
        <v>219</v>
      </c>
      <c r="B221">
        <v>3484</v>
      </c>
      <c r="C221" t="b">
        <v>1</v>
      </c>
      <c r="D221">
        <v>8048</v>
      </c>
      <c r="E221">
        <v>8123</v>
      </c>
      <c r="F221">
        <v>8</v>
      </c>
      <c r="G221">
        <v>5.2</v>
      </c>
      <c r="H221">
        <v>1.5384616</v>
      </c>
      <c r="I221">
        <v>-0.53846156999999994</v>
      </c>
      <c r="J221">
        <v>0.39393938000000001</v>
      </c>
    </row>
    <row r="222" spans="1:10" x14ac:dyDescent="0.3">
      <c r="A222">
        <v>220</v>
      </c>
      <c r="B222">
        <v>3500</v>
      </c>
      <c r="C222" t="b">
        <v>1</v>
      </c>
      <c r="D222">
        <v>8048</v>
      </c>
      <c r="E222">
        <v>8117</v>
      </c>
      <c r="F222">
        <v>8</v>
      </c>
      <c r="G222">
        <v>5.2</v>
      </c>
      <c r="H222">
        <v>1.5384616</v>
      </c>
      <c r="I222">
        <v>-0.53846156999999994</v>
      </c>
      <c r="J222">
        <v>0.39393938000000001</v>
      </c>
    </row>
    <row r="223" spans="1:10" x14ac:dyDescent="0.3">
      <c r="A223">
        <v>221</v>
      </c>
      <c r="B223">
        <v>3516</v>
      </c>
      <c r="C223" t="b">
        <v>1</v>
      </c>
      <c r="D223">
        <v>8054</v>
      </c>
      <c r="E223">
        <v>8123</v>
      </c>
      <c r="F223">
        <v>8</v>
      </c>
      <c r="G223">
        <v>5.2</v>
      </c>
      <c r="H223">
        <v>1.5384616</v>
      </c>
      <c r="I223">
        <v>-0.53846156999999994</v>
      </c>
      <c r="J223">
        <v>0.39393938000000001</v>
      </c>
    </row>
    <row r="224" spans="1:10" x14ac:dyDescent="0.3">
      <c r="A224">
        <v>222</v>
      </c>
      <c r="B224">
        <v>3532</v>
      </c>
      <c r="C224" t="b">
        <v>1</v>
      </c>
      <c r="D224">
        <v>8048</v>
      </c>
      <c r="E224">
        <v>8123</v>
      </c>
      <c r="F224">
        <v>8</v>
      </c>
      <c r="G224">
        <v>5.2</v>
      </c>
      <c r="H224">
        <v>1.5384616</v>
      </c>
      <c r="I224">
        <v>-0.53846156999999994</v>
      </c>
      <c r="J224">
        <v>0.39393938000000001</v>
      </c>
    </row>
    <row r="225" spans="1:10" x14ac:dyDescent="0.3">
      <c r="A225">
        <v>223</v>
      </c>
      <c r="B225">
        <v>3548</v>
      </c>
      <c r="C225" t="b">
        <v>1</v>
      </c>
      <c r="D225">
        <v>8048</v>
      </c>
      <c r="E225">
        <v>8129</v>
      </c>
      <c r="F225">
        <v>8</v>
      </c>
      <c r="G225">
        <v>5.6</v>
      </c>
      <c r="H225">
        <v>1.4285715000000001</v>
      </c>
      <c r="I225">
        <v>-0.42857146000000002</v>
      </c>
      <c r="J225">
        <v>0.41176467999999999</v>
      </c>
    </row>
    <row r="226" spans="1:10" x14ac:dyDescent="0.3">
      <c r="A226">
        <v>224</v>
      </c>
      <c r="B226">
        <v>3564</v>
      </c>
      <c r="C226" t="b">
        <v>1</v>
      </c>
      <c r="D226">
        <v>8048</v>
      </c>
      <c r="E226">
        <v>8123</v>
      </c>
      <c r="F226">
        <v>8</v>
      </c>
      <c r="G226">
        <v>6</v>
      </c>
      <c r="H226">
        <v>1.3333333999999999</v>
      </c>
      <c r="I226">
        <v>-0.33333333999999998</v>
      </c>
      <c r="J226">
        <v>0.42857142999999998</v>
      </c>
    </row>
    <row r="227" spans="1:10" x14ac:dyDescent="0.3">
      <c r="A227">
        <v>225</v>
      </c>
      <c r="B227">
        <v>3580</v>
      </c>
      <c r="C227" t="b">
        <v>1</v>
      </c>
      <c r="D227">
        <v>8048</v>
      </c>
      <c r="E227">
        <v>8123</v>
      </c>
      <c r="F227">
        <v>8</v>
      </c>
      <c r="G227">
        <v>6.8</v>
      </c>
      <c r="H227">
        <v>1.1764705</v>
      </c>
      <c r="I227">
        <v>-0.17647055</v>
      </c>
      <c r="J227">
        <v>0.45945944999999999</v>
      </c>
    </row>
    <row r="228" spans="1:10" x14ac:dyDescent="0.3">
      <c r="A228">
        <v>226</v>
      </c>
      <c r="B228">
        <v>3595</v>
      </c>
      <c r="C228" t="b">
        <v>1</v>
      </c>
      <c r="D228">
        <v>8048</v>
      </c>
      <c r="E228">
        <v>8123</v>
      </c>
      <c r="F228">
        <v>8</v>
      </c>
      <c r="G228">
        <v>7.2</v>
      </c>
      <c r="H228">
        <v>1.1111112000000001</v>
      </c>
      <c r="I228">
        <v>-0.11111114</v>
      </c>
      <c r="J228">
        <v>0.4736842</v>
      </c>
    </row>
    <row r="229" spans="1:10" x14ac:dyDescent="0.3">
      <c r="A229">
        <v>227</v>
      </c>
      <c r="B229">
        <v>3611</v>
      </c>
      <c r="C229" t="b">
        <v>1</v>
      </c>
      <c r="D229">
        <v>8042</v>
      </c>
      <c r="E229">
        <v>8123</v>
      </c>
      <c r="F229">
        <v>8</v>
      </c>
      <c r="G229">
        <v>7.6</v>
      </c>
      <c r="H229">
        <v>1.0526316</v>
      </c>
      <c r="I229">
        <v>-5.2631589999999999E-2</v>
      </c>
      <c r="J229">
        <v>0.48717946000000001</v>
      </c>
    </row>
    <row r="230" spans="1:10" x14ac:dyDescent="0.3">
      <c r="A230">
        <v>228</v>
      </c>
      <c r="B230">
        <v>3627</v>
      </c>
      <c r="C230" t="b">
        <v>1</v>
      </c>
      <c r="D230">
        <v>8042</v>
      </c>
      <c r="E230">
        <v>8123</v>
      </c>
      <c r="F230">
        <v>8</v>
      </c>
      <c r="G230">
        <v>8</v>
      </c>
      <c r="H230">
        <v>1</v>
      </c>
      <c r="I230">
        <v>0</v>
      </c>
      <c r="J230">
        <v>0.5</v>
      </c>
    </row>
    <row r="231" spans="1:10" x14ac:dyDescent="0.3">
      <c r="A231">
        <v>229</v>
      </c>
      <c r="B231">
        <v>3644</v>
      </c>
      <c r="C231" t="b">
        <v>1</v>
      </c>
      <c r="D231">
        <v>8037</v>
      </c>
      <c r="E231">
        <v>8123</v>
      </c>
      <c r="F231">
        <v>7.6</v>
      </c>
      <c r="G231">
        <v>8</v>
      </c>
      <c r="H231">
        <v>0.95</v>
      </c>
      <c r="I231">
        <v>5.0000012000000003E-2</v>
      </c>
      <c r="J231">
        <v>0.51282050000000001</v>
      </c>
    </row>
    <row r="232" spans="1:10" x14ac:dyDescent="0.3">
      <c r="A232">
        <v>230</v>
      </c>
      <c r="B232">
        <v>3660</v>
      </c>
      <c r="C232" t="b">
        <v>1</v>
      </c>
      <c r="D232">
        <v>8042</v>
      </c>
      <c r="E232">
        <v>8123</v>
      </c>
      <c r="F232">
        <v>7.2</v>
      </c>
      <c r="G232">
        <v>8</v>
      </c>
      <c r="H232">
        <v>0.9</v>
      </c>
      <c r="I232">
        <v>0.10000002400000001</v>
      </c>
      <c r="J232">
        <v>0.5263158</v>
      </c>
    </row>
    <row r="233" spans="1:10" x14ac:dyDescent="0.3">
      <c r="A233">
        <v>231</v>
      </c>
      <c r="B233">
        <v>3675</v>
      </c>
      <c r="C233" t="b">
        <v>1</v>
      </c>
      <c r="D233">
        <v>8042</v>
      </c>
      <c r="E233">
        <v>8123</v>
      </c>
      <c r="F233">
        <v>6.8</v>
      </c>
      <c r="G233">
        <v>8</v>
      </c>
      <c r="H233">
        <v>0.85</v>
      </c>
      <c r="I233">
        <v>0.14999998</v>
      </c>
      <c r="J233">
        <v>0.54054049999999998</v>
      </c>
    </row>
    <row r="234" spans="1:10" x14ac:dyDescent="0.3">
      <c r="A234">
        <v>232</v>
      </c>
      <c r="B234">
        <v>3691</v>
      </c>
      <c r="C234" t="b">
        <v>1</v>
      </c>
      <c r="D234">
        <v>8042</v>
      </c>
      <c r="E234">
        <v>8123</v>
      </c>
      <c r="F234">
        <v>6.4</v>
      </c>
      <c r="G234">
        <v>8</v>
      </c>
      <c r="H234">
        <v>0.8</v>
      </c>
      <c r="I234">
        <v>0.19999998999999999</v>
      </c>
      <c r="J234">
        <v>0.55555560000000004</v>
      </c>
    </row>
    <row r="235" spans="1:10" x14ac:dyDescent="0.3">
      <c r="A235">
        <v>233</v>
      </c>
      <c r="B235">
        <v>3707</v>
      </c>
      <c r="C235" t="b">
        <v>1</v>
      </c>
      <c r="D235">
        <v>8054</v>
      </c>
      <c r="E235">
        <v>8123</v>
      </c>
      <c r="F235">
        <v>6</v>
      </c>
      <c r="G235">
        <v>8</v>
      </c>
      <c r="H235">
        <v>0.75</v>
      </c>
      <c r="I235">
        <v>0.25</v>
      </c>
      <c r="J235">
        <v>0.57142859999999995</v>
      </c>
    </row>
    <row r="236" spans="1:10" x14ac:dyDescent="0.3">
      <c r="A236">
        <v>234</v>
      </c>
      <c r="B236">
        <v>3723</v>
      </c>
      <c r="C236" t="b">
        <v>1</v>
      </c>
      <c r="D236">
        <v>8054</v>
      </c>
      <c r="E236">
        <v>8123</v>
      </c>
      <c r="F236">
        <v>5.6</v>
      </c>
      <c r="G236">
        <v>8</v>
      </c>
      <c r="H236">
        <v>0.7</v>
      </c>
      <c r="I236">
        <v>0.3</v>
      </c>
      <c r="J236">
        <v>0.58823526000000004</v>
      </c>
    </row>
    <row r="237" spans="1:10" x14ac:dyDescent="0.3">
      <c r="A237">
        <v>235</v>
      </c>
      <c r="B237">
        <v>3739</v>
      </c>
      <c r="C237" t="b">
        <v>1</v>
      </c>
      <c r="D237">
        <v>8054</v>
      </c>
      <c r="E237">
        <v>8117</v>
      </c>
      <c r="F237">
        <v>6</v>
      </c>
      <c r="G237">
        <v>8</v>
      </c>
      <c r="H237">
        <v>0.75</v>
      </c>
      <c r="I237">
        <v>0.25</v>
      </c>
      <c r="J237">
        <v>0.57142859999999995</v>
      </c>
    </row>
    <row r="238" spans="1:10" x14ac:dyDescent="0.3">
      <c r="A238">
        <v>236</v>
      </c>
      <c r="B238">
        <v>3755</v>
      </c>
      <c r="C238" t="b">
        <v>1</v>
      </c>
      <c r="D238">
        <v>8054</v>
      </c>
      <c r="E238">
        <v>8123</v>
      </c>
      <c r="F238">
        <v>6.4</v>
      </c>
      <c r="G238">
        <v>8</v>
      </c>
      <c r="H238">
        <v>0.8</v>
      </c>
      <c r="I238">
        <v>0.19999998999999999</v>
      </c>
      <c r="J238">
        <v>0.55555560000000004</v>
      </c>
    </row>
    <row r="239" spans="1:10" x14ac:dyDescent="0.3">
      <c r="A239">
        <v>237</v>
      </c>
      <c r="B239">
        <v>3771</v>
      </c>
      <c r="C239" t="b">
        <v>1</v>
      </c>
      <c r="D239">
        <v>8054</v>
      </c>
      <c r="E239">
        <v>8117</v>
      </c>
      <c r="F239">
        <v>6.8</v>
      </c>
      <c r="G239">
        <v>8</v>
      </c>
      <c r="H239">
        <v>0.85</v>
      </c>
      <c r="I239">
        <v>0.14999998</v>
      </c>
      <c r="J239">
        <v>0.54054049999999998</v>
      </c>
    </row>
    <row r="240" spans="1:10" x14ac:dyDescent="0.3">
      <c r="A240">
        <v>238</v>
      </c>
      <c r="B240">
        <v>3787</v>
      </c>
      <c r="C240" t="b">
        <v>1</v>
      </c>
      <c r="D240">
        <v>8054</v>
      </c>
      <c r="E240">
        <v>8123</v>
      </c>
      <c r="F240">
        <v>7.2</v>
      </c>
      <c r="G240">
        <v>8</v>
      </c>
      <c r="H240">
        <v>0.9</v>
      </c>
      <c r="I240">
        <v>0.10000002400000001</v>
      </c>
      <c r="J240">
        <v>0.5263158</v>
      </c>
    </row>
    <row r="241" spans="1:10" x14ac:dyDescent="0.3">
      <c r="A241">
        <v>239</v>
      </c>
      <c r="B241">
        <v>3803</v>
      </c>
      <c r="C241" t="b">
        <v>1</v>
      </c>
      <c r="D241">
        <v>8054</v>
      </c>
      <c r="E241">
        <v>8123</v>
      </c>
      <c r="F241">
        <v>7.6</v>
      </c>
      <c r="G241">
        <v>8</v>
      </c>
      <c r="H241">
        <v>0.95</v>
      </c>
      <c r="I241">
        <v>5.0000012000000003E-2</v>
      </c>
      <c r="J241">
        <v>0.51282050000000001</v>
      </c>
    </row>
    <row r="242" spans="1:10" x14ac:dyDescent="0.3">
      <c r="A242">
        <v>240</v>
      </c>
      <c r="B242">
        <v>3819</v>
      </c>
      <c r="C242" t="b">
        <v>1</v>
      </c>
      <c r="D242">
        <v>8048</v>
      </c>
      <c r="E242">
        <v>8123</v>
      </c>
      <c r="F242">
        <v>8</v>
      </c>
      <c r="G242">
        <v>8</v>
      </c>
      <c r="H242">
        <v>1</v>
      </c>
      <c r="I242">
        <v>0</v>
      </c>
      <c r="J242">
        <v>0.5</v>
      </c>
    </row>
    <row r="243" spans="1:10" x14ac:dyDescent="0.3">
      <c r="A243">
        <v>241</v>
      </c>
      <c r="B243">
        <v>3835</v>
      </c>
      <c r="C243" t="b">
        <v>1</v>
      </c>
      <c r="D243">
        <v>8048</v>
      </c>
      <c r="E243">
        <v>8123</v>
      </c>
      <c r="F243">
        <v>8.4</v>
      </c>
      <c r="G243">
        <v>8</v>
      </c>
      <c r="H243">
        <v>1.05</v>
      </c>
      <c r="I243">
        <v>-4.9999952E-2</v>
      </c>
      <c r="J243">
        <v>0.48780489999999999</v>
      </c>
    </row>
    <row r="244" spans="1:10" x14ac:dyDescent="0.3">
      <c r="A244">
        <v>242</v>
      </c>
      <c r="B244">
        <v>3851</v>
      </c>
      <c r="C244" t="b">
        <v>1</v>
      </c>
      <c r="D244">
        <v>8054</v>
      </c>
      <c r="E244">
        <v>8117</v>
      </c>
      <c r="F244">
        <v>8.8000000000000007</v>
      </c>
      <c r="G244">
        <v>8</v>
      </c>
      <c r="H244">
        <v>1.1000000000000001</v>
      </c>
      <c r="I244">
        <v>-0.10000002400000001</v>
      </c>
      <c r="J244">
        <v>0.47619050000000002</v>
      </c>
    </row>
    <row r="245" spans="1:10" x14ac:dyDescent="0.3">
      <c r="A245">
        <v>243</v>
      </c>
      <c r="B245">
        <v>3867</v>
      </c>
      <c r="C245" t="b">
        <v>1</v>
      </c>
      <c r="D245">
        <v>8054</v>
      </c>
      <c r="E245">
        <v>8123</v>
      </c>
      <c r="F245">
        <v>9.1999999999999993</v>
      </c>
      <c r="G245">
        <v>8</v>
      </c>
      <c r="H245">
        <v>1.1499999999999999</v>
      </c>
      <c r="I245">
        <v>-0.14999998</v>
      </c>
      <c r="J245">
        <v>0.46511626</v>
      </c>
    </row>
    <row r="246" spans="1:10" x14ac:dyDescent="0.3">
      <c r="A246">
        <v>244</v>
      </c>
      <c r="B246">
        <v>3882</v>
      </c>
      <c r="C246" t="b">
        <v>1</v>
      </c>
      <c r="D246">
        <v>8048</v>
      </c>
      <c r="E246">
        <v>8123</v>
      </c>
      <c r="F246">
        <v>9.6</v>
      </c>
      <c r="G246">
        <v>8</v>
      </c>
      <c r="H246">
        <v>1.2</v>
      </c>
      <c r="I246">
        <v>-0.20000005000000001</v>
      </c>
      <c r="J246">
        <v>0.45454544000000002</v>
      </c>
    </row>
    <row r="247" spans="1:10" x14ac:dyDescent="0.3">
      <c r="A247">
        <v>245</v>
      </c>
      <c r="B247">
        <v>3898</v>
      </c>
      <c r="C247" t="b">
        <v>1</v>
      </c>
      <c r="D247">
        <v>8048</v>
      </c>
      <c r="E247">
        <v>8123</v>
      </c>
      <c r="F247">
        <v>10</v>
      </c>
      <c r="G247">
        <v>8</v>
      </c>
      <c r="H247">
        <v>1.25</v>
      </c>
      <c r="I247">
        <v>-0.25</v>
      </c>
      <c r="J247">
        <v>0.44444444999999999</v>
      </c>
    </row>
    <row r="248" spans="1:10" x14ac:dyDescent="0.3">
      <c r="A248">
        <v>246</v>
      </c>
      <c r="B248">
        <v>3914</v>
      </c>
      <c r="C248" t="b">
        <v>1</v>
      </c>
      <c r="D248">
        <v>8048</v>
      </c>
      <c r="E248">
        <v>8123</v>
      </c>
      <c r="F248">
        <v>10.4</v>
      </c>
      <c r="G248">
        <v>8</v>
      </c>
      <c r="H248">
        <v>1.3</v>
      </c>
      <c r="I248">
        <v>-0.29999995000000002</v>
      </c>
      <c r="J248">
        <v>0.43478262000000001</v>
      </c>
    </row>
    <row r="249" spans="1:10" x14ac:dyDescent="0.3">
      <c r="A249">
        <v>247</v>
      </c>
      <c r="B249">
        <v>3930</v>
      </c>
      <c r="C249" t="b">
        <v>1</v>
      </c>
      <c r="D249">
        <v>8054</v>
      </c>
      <c r="E249">
        <v>8123</v>
      </c>
      <c r="F249">
        <v>10.8</v>
      </c>
      <c r="G249">
        <v>8</v>
      </c>
      <c r="H249">
        <v>1.35</v>
      </c>
      <c r="I249">
        <v>-0.35000002000000002</v>
      </c>
      <c r="J249">
        <v>0.42553192000000001</v>
      </c>
    </row>
    <row r="250" spans="1:10" x14ac:dyDescent="0.3">
      <c r="A250">
        <v>248</v>
      </c>
      <c r="B250">
        <v>3946</v>
      </c>
      <c r="C250" t="b">
        <v>1</v>
      </c>
      <c r="D250">
        <v>8048</v>
      </c>
      <c r="E250">
        <v>8123</v>
      </c>
      <c r="F250">
        <v>11.2</v>
      </c>
      <c r="G250">
        <v>8</v>
      </c>
      <c r="H250">
        <v>1.4</v>
      </c>
      <c r="I250">
        <v>-0.39999997999999998</v>
      </c>
      <c r="J250">
        <v>0.41666666000000002</v>
      </c>
    </row>
    <row r="251" spans="1:10" x14ac:dyDescent="0.3">
      <c r="A251">
        <v>249</v>
      </c>
      <c r="B251">
        <v>3962</v>
      </c>
      <c r="C251" t="b">
        <v>1</v>
      </c>
      <c r="D251">
        <v>8048</v>
      </c>
      <c r="E251">
        <v>8123</v>
      </c>
      <c r="F251">
        <v>11.6</v>
      </c>
      <c r="G251">
        <v>8</v>
      </c>
      <c r="H251">
        <v>1.45</v>
      </c>
      <c r="I251">
        <v>-0.45000004999999998</v>
      </c>
      <c r="J251">
        <v>0.40816324999999998</v>
      </c>
    </row>
    <row r="252" spans="1:10" x14ac:dyDescent="0.3">
      <c r="A252">
        <v>250</v>
      </c>
      <c r="B252">
        <v>3978</v>
      </c>
      <c r="C252" t="b">
        <v>1</v>
      </c>
      <c r="D252">
        <v>8048</v>
      </c>
      <c r="E252">
        <v>8123</v>
      </c>
      <c r="F252">
        <v>11.2</v>
      </c>
      <c r="G252">
        <v>8</v>
      </c>
      <c r="H252">
        <v>1.4</v>
      </c>
      <c r="I252">
        <v>-0.39999997999999998</v>
      </c>
      <c r="J252">
        <v>0.41666666000000002</v>
      </c>
    </row>
    <row r="253" spans="1:10" x14ac:dyDescent="0.3">
      <c r="A253">
        <v>251</v>
      </c>
      <c r="B253">
        <v>3994</v>
      </c>
      <c r="C253" t="b">
        <v>1</v>
      </c>
      <c r="D253">
        <v>8048</v>
      </c>
      <c r="E253">
        <v>8117</v>
      </c>
      <c r="F253">
        <v>10.8</v>
      </c>
      <c r="G253">
        <v>8</v>
      </c>
      <c r="H253">
        <v>1.35</v>
      </c>
      <c r="I253">
        <v>-0.35000002000000002</v>
      </c>
      <c r="J253">
        <v>0.42553192000000001</v>
      </c>
    </row>
    <row r="254" spans="1:10" x14ac:dyDescent="0.3">
      <c r="A254">
        <v>252</v>
      </c>
      <c r="B254">
        <v>4010</v>
      </c>
      <c r="C254" t="b">
        <v>1</v>
      </c>
      <c r="D254">
        <v>8048</v>
      </c>
      <c r="E254">
        <v>8123</v>
      </c>
      <c r="F254">
        <v>10.4</v>
      </c>
      <c r="G254">
        <v>8</v>
      </c>
      <c r="H254">
        <v>1.3</v>
      </c>
      <c r="I254">
        <v>-0.29999995000000002</v>
      </c>
      <c r="J254">
        <v>0.43478262000000001</v>
      </c>
    </row>
    <row r="255" spans="1:10" x14ac:dyDescent="0.3">
      <c r="A255">
        <v>253</v>
      </c>
      <c r="B255">
        <v>4026</v>
      </c>
      <c r="C255" t="b">
        <v>1</v>
      </c>
      <c r="D255">
        <v>8054</v>
      </c>
      <c r="E255">
        <v>8117</v>
      </c>
      <c r="F255">
        <v>10</v>
      </c>
      <c r="G255">
        <v>8</v>
      </c>
      <c r="H255">
        <v>1.25</v>
      </c>
      <c r="I255">
        <v>-0.25</v>
      </c>
      <c r="J255">
        <v>0.44444444999999999</v>
      </c>
    </row>
    <row r="256" spans="1:10" x14ac:dyDescent="0.3">
      <c r="A256">
        <v>254</v>
      </c>
      <c r="B256">
        <v>4042</v>
      </c>
      <c r="C256" t="b">
        <v>1</v>
      </c>
      <c r="D256">
        <v>8048</v>
      </c>
      <c r="E256">
        <v>8117</v>
      </c>
      <c r="F256">
        <v>9.6</v>
      </c>
      <c r="G256">
        <v>7.6</v>
      </c>
      <c r="H256">
        <v>1.263158</v>
      </c>
      <c r="I256">
        <v>-0.26315796000000002</v>
      </c>
      <c r="J256">
        <v>0.44186044000000002</v>
      </c>
    </row>
    <row r="257" spans="1:10" x14ac:dyDescent="0.3">
      <c r="A257">
        <v>255</v>
      </c>
      <c r="B257">
        <v>4058</v>
      </c>
      <c r="C257" t="b">
        <v>1</v>
      </c>
      <c r="D257">
        <v>8048</v>
      </c>
      <c r="E257">
        <v>8123</v>
      </c>
      <c r="F257">
        <v>9.1999999999999993</v>
      </c>
      <c r="G257">
        <v>7.2</v>
      </c>
      <c r="H257">
        <v>1.2777778</v>
      </c>
      <c r="I257">
        <v>-0.27777780000000002</v>
      </c>
      <c r="J257">
        <v>0.43902439999999998</v>
      </c>
    </row>
    <row r="258" spans="1:10" x14ac:dyDescent="0.3">
      <c r="A258">
        <v>256</v>
      </c>
      <c r="B258">
        <v>4073</v>
      </c>
      <c r="C258" t="b">
        <v>1</v>
      </c>
      <c r="D258">
        <v>8054</v>
      </c>
      <c r="E258">
        <v>8123</v>
      </c>
      <c r="F258">
        <v>8.8000000000000007</v>
      </c>
      <c r="G258">
        <v>7.2</v>
      </c>
      <c r="H258">
        <v>1.2222223000000001</v>
      </c>
      <c r="I258">
        <v>-0.22222227999999999</v>
      </c>
      <c r="J258">
        <v>0.45</v>
      </c>
    </row>
    <row r="259" spans="1:10" x14ac:dyDescent="0.3">
      <c r="A259">
        <v>257</v>
      </c>
      <c r="B259">
        <v>4089</v>
      </c>
      <c r="C259" t="b">
        <v>1</v>
      </c>
      <c r="D259">
        <v>8048</v>
      </c>
      <c r="E259">
        <v>8117</v>
      </c>
      <c r="F259">
        <v>8.4</v>
      </c>
      <c r="G259">
        <v>6.8</v>
      </c>
      <c r="H259">
        <v>1.2352939999999999</v>
      </c>
      <c r="I259">
        <v>-0.23529402999999999</v>
      </c>
      <c r="J259">
        <v>0.44736843999999998</v>
      </c>
    </row>
    <row r="260" spans="1:10" x14ac:dyDescent="0.3">
      <c r="A260">
        <v>258</v>
      </c>
      <c r="B260">
        <v>4105</v>
      </c>
      <c r="C260" t="b">
        <v>1</v>
      </c>
      <c r="D260">
        <v>8048</v>
      </c>
      <c r="E260">
        <v>8123</v>
      </c>
      <c r="F260">
        <v>8</v>
      </c>
      <c r="G260">
        <v>6.8</v>
      </c>
      <c r="H260">
        <v>1.1764705</v>
      </c>
      <c r="I260">
        <v>-0.17647055</v>
      </c>
      <c r="J260">
        <v>0.45945944999999999</v>
      </c>
    </row>
    <row r="261" spans="1:10" x14ac:dyDescent="0.3">
      <c r="A261">
        <v>259</v>
      </c>
      <c r="B261">
        <v>4121</v>
      </c>
      <c r="C261" t="b">
        <v>1</v>
      </c>
      <c r="D261">
        <v>8048</v>
      </c>
      <c r="E261">
        <v>8123</v>
      </c>
      <c r="F261">
        <v>8</v>
      </c>
      <c r="G261">
        <v>6.8</v>
      </c>
      <c r="H261">
        <v>1.1764705</v>
      </c>
      <c r="I261">
        <v>-0.17647055</v>
      </c>
      <c r="J261">
        <v>0.45945944999999999</v>
      </c>
    </row>
    <row r="262" spans="1:10" x14ac:dyDescent="0.3">
      <c r="A262">
        <v>260</v>
      </c>
      <c r="B262">
        <v>4137</v>
      </c>
      <c r="C262" t="b">
        <v>1</v>
      </c>
      <c r="D262">
        <v>8054</v>
      </c>
      <c r="E262">
        <v>8123</v>
      </c>
      <c r="F262">
        <v>8</v>
      </c>
      <c r="G262">
        <v>6.8</v>
      </c>
      <c r="H262">
        <v>1.1764705</v>
      </c>
      <c r="I262">
        <v>-0.17647055</v>
      </c>
      <c r="J262">
        <v>0.45945944999999999</v>
      </c>
    </row>
    <row r="263" spans="1:10" x14ac:dyDescent="0.3">
      <c r="A263">
        <v>261</v>
      </c>
      <c r="B263">
        <v>4153</v>
      </c>
      <c r="C263" t="b">
        <v>1</v>
      </c>
      <c r="D263">
        <v>8054</v>
      </c>
      <c r="E263">
        <v>8123</v>
      </c>
      <c r="F263">
        <v>8</v>
      </c>
      <c r="G263">
        <v>6.8</v>
      </c>
      <c r="H263">
        <v>1.1764705</v>
      </c>
      <c r="I263">
        <v>-0.17647055</v>
      </c>
      <c r="J263">
        <v>0.45945944999999999</v>
      </c>
    </row>
    <row r="264" spans="1:10" x14ac:dyDescent="0.3">
      <c r="A264">
        <v>262</v>
      </c>
      <c r="B264">
        <v>4169</v>
      </c>
      <c r="C264" t="b">
        <v>1</v>
      </c>
      <c r="D264">
        <v>8054</v>
      </c>
      <c r="E264">
        <v>8117</v>
      </c>
      <c r="F264">
        <v>8.4</v>
      </c>
      <c r="G264">
        <v>6.8</v>
      </c>
      <c r="H264">
        <v>1.2352939999999999</v>
      </c>
      <c r="I264">
        <v>-0.23529402999999999</v>
      </c>
      <c r="J264">
        <v>0.44736843999999998</v>
      </c>
    </row>
    <row r="265" spans="1:10" x14ac:dyDescent="0.3">
      <c r="A265">
        <v>263</v>
      </c>
      <c r="B265">
        <v>4185</v>
      </c>
      <c r="C265" t="b">
        <v>1</v>
      </c>
      <c r="D265">
        <v>8054</v>
      </c>
      <c r="E265">
        <v>8123</v>
      </c>
      <c r="F265">
        <v>8.8000000000000007</v>
      </c>
      <c r="G265">
        <v>6.8</v>
      </c>
      <c r="H265">
        <v>1.2941176999999999</v>
      </c>
      <c r="I265">
        <v>-0.29411763000000002</v>
      </c>
      <c r="J265">
        <v>0.43589744000000002</v>
      </c>
    </row>
    <row r="266" spans="1:10" x14ac:dyDescent="0.3">
      <c r="A266">
        <v>264</v>
      </c>
      <c r="B266">
        <v>4201</v>
      </c>
      <c r="C266" t="b">
        <v>1</v>
      </c>
      <c r="D266">
        <v>8048</v>
      </c>
      <c r="E266">
        <v>8117</v>
      </c>
      <c r="F266">
        <v>9.1999999999999993</v>
      </c>
      <c r="G266">
        <v>6.8</v>
      </c>
      <c r="H266">
        <v>1.3529412000000001</v>
      </c>
      <c r="I266">
        <v>-0.35294110000000001</v>
      </c>
      <c r="J266">
        <v>0.42499999999999999</v>
      </c>
    </row>
    <row r="267" spans="1:10" x14ac:dyDescent="0.3">
      <c r="A267">
        <v>265</v>
      </c>
      <c r="B267">
        <v>4217</v>
      </c>
      <c r="C267" t="b">
        <v>1</v>
      </c>
      <c r="D267">
        <v>8048</v>
      </c>
      <c r="E267">
        <v>8117</v>
      </c>
      <c r="F267">
        <v>9.6</v>
      </c>
      <c r="G267">
        <v>6.4</v>
      </c>
      <c r="H267">
        <v>1.5</v>
      </c>
      <c r="I267">
        <v>-0.50000005999999997</v>
      </c>
      <c r="J267">
        <v>0.4</v>
      </c>
    </row>
    <row r="268" spans="1:10" x14ac:dyDescent="0.3">
      <c r="A268">
        <v>266</v>
      </c>
      <c r="B268">
        <v>4232</v>
      </c>
      <c r="C268" t="b">
        <v>1</v>
      </c>
      <c r="D268">
        <v>8054</v>
      </c>
      <c r="E268">
        <v>8123</v>
      </c>
      <c r="F268">
        <v>10</v>
      </c>
      <c r="G268">
        <v>6</v>
      </c>
      <c r="H268">
        <v>1.6666666000000001</v>
      </c>
      <c r="I268">
        <v>-0.66666669999999995</v>
      </c>
      <c r="J268">
        <v>0.375</v>
      </c>
    </row>
    <row r="269" spans="1:10" x14ac:dyDescent="0.3">
      <c r="A269">
        <v>267</v>
      </c>
      <c r="B269">
        <v>4248</v>
      </c>
      <c r="C269" t="b">
        <v>1</v>
      </c>
      <c r="D269">
        <v>8048</v>
      </c>
      <c r="E269">
        <v>8123</v>
      </c>
      <c r="F269">
        <v>10</v>
      </c>
      <c r="G269">
        <v>6</v>
      </c>
      <c r="H269">
        <v>1.6666666000000001</v>
      </c>
      <c r="I269">
        <v>-0.66666669999999995</v>
      </c>
      <c r="J269">
        <v>0.375</v>
      </c>
    </row>
    <row r="270" spans="1:10" x14ac:dyDescent="0.3">
      <c r="A270">
        <v>268</v>
      </c>
      <c r="B270">
        <v>4264</v>
      </c>
      <c r="C270" t="b">
        <v>1</v>
      </c>
      <c r="D270">
        <v>8048</v>
      </c>
      <c r="E270">
        <v>8117</v>
      </c>
      <c r="F270">
        <v>10</v>
      </c>
      <c r="G270">
        <v>5.6</v>
      </c>
      <c r="H270">
        <v>1.7857143</v>
      </c>
      <c r="I270">
        <v>-0.78571429999999998</v>
      </c>
      <c r="J270">
        <v>0.35897434</v>
      </c>
    </row>
    <row r="271" spans="1:10" x14ac:dyDescent="0.3">
      <c r="A271">
        <v>269</v>
      </c>
      <c r="B271">
        <v>4279</v>
      </c>
      <c r="C271" t="b">
        <v>1</v>
      </c>
      <c r="D271">
        <v>8048</v>
      </c>
      <c r="E271">
        <v>8123</v>
      </c>
      <c r="F271">
        <v>10</v>
      </c>
      <c r="G271">
        <v>6</v>
      </c>
      <c r="H271">
        <v>1.6666666000000001</v>
      </c>
      <c r="I271">
        <v>-0.66666669999999995</v>
      </c>
      <c r="J271">
        <v>0.375</v>
      </c>
    </row>
    <row r="272" spans="1:10" x14ac:dyDescent="0.3">
      <c r="A272">
        <v>270</v>
      </c>
      <c r="B272">
        <v>4295</v>
      </c>
      <c r="C272" t="b">
        <v>1</v>
      </c>
      <c r="D272">
        <v>8048</v>
      </c>
      <c r="E272">
        <v>8123</v>
      </c>
      <c r="F272">
        <v>10</v>
      </c>
      <c r="G272">
        <v>6.4</v>
      </c>
      <c r="H272">
        <v>1.5625</v>
      </c>
      <c r="I272">
        <v>-0.5625</v>
      </c>
      <c r="J272">
        <v>0.39024392000000002</v>
      </c>
    </row>
    <row r="273" spans="1:10" x14ac:dyDescent="0.3">
      <c r="A273">
        <v>271</v>
      </c>
      <c r="B273">
        <v>4311</v>
      </c>
      <c r="C273" t="b">
        <v>1</v>
      </c>
      <c r="D273">
        <v>8048</v>
      </c>
      <c r="E273">
        <v>8123</v>
      </c>
      <c r="F273">
        <v>10</v>
      </c>
      <c r="G273">
        <v>6.4</v>
      </c>
      <c r="H273">
        <v>1.5625</v>
      </c>
      <c r="I273">
        <v>-0.5625</v>
      </c>
      <c r="J273">
        <v>0.39024392000000002</v>
      </c>
    </row>
    <row r="274" spans="1:10" x14ac:dyDescent="0.3">
      <c r="A274">
        <v>272</v>
      </c>
      <c r="B274">
        <v>4327</v>
      </c>
      <c r="C274" t="b">
        <v>1</v>
      </c>
      <c r="D274">
        <v>8048</v>
      </c>
      <c r="E274">
        <v>8117</v>
      </c>
      <c r="F274">
        <v>10</v>
      </c>
      <c r="G274">
        <v>6.8</v>
      </c>
      <c r="H274">
        <v>1.4705881999999999</v>
      </c>
      <c r="I274">
        <v>-0.47058820000000001</v>
      </c>
      <c r="J274">
        <v>0.40476193999999999</v>
      </c>
    </row>
    <row r="275" spans="1:10" x14ac:dyDescent="0.3">
      <c r="A275">
        <v>273</v>
      </c>
      <c r="B275">
        <v>4343</v>
      </c>
      <c r="C275" t="b">
        <v>1</v>
      </c>
      <c r="D275">
        <v>8048</v>
      </c>
      <c r="E275">
        <v>8123</v>
      </c>
      <c r="F275">
        <v>10</v>
      </c>
      <c r="G275">
        <v>6.8</v>
      </c>
      <c r="H275">
        <v>1.4705881999999999</v>
      </c>
      <c r="I275">
        <v>-0.47058820000000001</v>
      </c>
      <c r="J275">
        <v>0.40476193999999999</v>
      </c>
    </row>
    <row r="276" spans="1:10" x14ac:dyDescent="0.3">
      <c r="A276">
        <v>274</v>
      </c>
      <c r="B276">
        <v>4359</v>
      </c>
      <c r="C276" t="b">
        <v>1</v>
      </c>
      <c r="D276">
        <v>8048</v>
      </c>
      <c r="E276">
        <v>8123</v>
      </c>
      <c r="F276">
        <v>10</v>
      </c>
      <c r="G276">
        <v>6.8</v>
      </c>
      <c r="H276">
        <v>1.4705881999999999</v>
      </c>
      <c r="I276">
        <v>-0.47058820000000001</v>
      </c>
      <c r="J276">
        <v>0.40476193999999999</v>
      </c>
    </row>
    <row r="277" spans="1:10" x14ac:dyDescent="0.3">
      <c r="A277">
        <v>275</v>
      </c>
      <c r="B277">
        <v>4375</v>
      </c>
      <c r="C277" t="b">
        <v>1</v>
      </c>
      <c r="D277">
        <v>8054</v>
      </c>
      <c r="E277">
        <v>8117</v>
      </c>
      <c r="F277">
        <v>10</v>
      </c>
      <c r="G277">
        <v>6.8</v>
      </c>
      <c r="H277">
        <v>1.4705881999999999</v>
      </c>
      <c r="I277">
        <v>-0.47058820000000001</v>
      </c>
      <c r="J277">
        <v>0.40476193999999999</v>
      </c>
    </row>
    <row r="278" spans="1:10" x14ac:dyDescent="0.3">
      <c r="A278">
        <v>276</v>
      </c>
      <c r="B278">
        <v>4391</v>
      </c>
      <c r="C278" t="b">
        <v>1</v>
      </c>
      <c r="D278">
        <v>8048</v>
      </c>
      <c r="E278">
        <v>8117</v>
      </c>
      <c r="F278">
        <v>10</v>
      </c>
      <c r="G278">
        <v>6.4</v>
      </c>
      <c r="H278">
        <v>1.5625</v>
      </c>
      <c r="I278">
        <v>-0.5625</v>
      </c>
      <c r="J278">
        <v>0.39024392000000002</v>
      </c>
    </row>
    <row r="279" spans="1:10" x14ac:dyDescent="0.3">
      <c r="A279">
        <v>277</v>
      </c>
      <c r="B279">
        <v>4407</v>
      </c>
      <c r="C279" t="b">
        <v>1</v>
      </c>
      <c r="D279">
        <v>8048</v>
      </c>
      <c r="E279">
        <v>8123</v>
      </c>
      <c r="F279">
        <v>9.6</v>
      </c>
      <c r="G279">
        <v>6.4</v>
      </c>
      <c r="H279">
        <v>1.5</v>
      </c>
      <c r="I279">
        <v>-0.50000005999999997</v>
      </c>
      <c r="J279">
        <v>0.4</v>
      </c>
    </row>
    <row r="280" spans="1:10" x14ac:dyDescent="0.3">
      <c r="A280">
        <v>278</v>
      </c>
      <c r="B280">
        <v>4422</v>
      </c>
      <c r="C280" t="b">
        <v>1</v>
      </c>
      <c r="D280">
        <v>8048</v>
      </c>
      <c r="E280">
        <v>8123</v>
      </c>
      <c r="F280">
        <v>9.1999999999999993</v>
      </c>
      <c r="G280">
        <v>6.4</v>
      </c>
      <c r="H280">
        <v>1.4375</v>
      </c>
      <c r="I280">
        <v>-0.43749993999999998</v>
      </c>
      <c r="J280">
        <v>0.41025642000000001</v>
      </c>
    </row>
    <row r="281" spans="1:10" x14ac:dyDescent="0.3">
      <c r="A281">
        <v>279</v>
      </c>
      <c r="B281">
        <v>4438</v>
      </c>
      <c r="C281" t="b">
        <v>1</v>
      </c>
      <c r="D281">
        <v>8048</v>
      </c>
      <c r="E281">
        <v>8123</v>
      </c>
      <c r="F281">
        <v>8.8000000000000007</v>
      </c>
      <c r="G281">
        <v>6.4</v>
      </c>
      <c r="H281">
        <v>1.375</v>
      </c>
      <c r="I281">
        <v>-0.375</v>
      </c>
      <c r="J281">
        <v>0.4210526</v>
      </c>
    </row>
    <row r="282" spans="1:10" x14ac:dyDescent="0.3">
      <c r="A282">
        <v>280</v>
      </c>
      <c r="B282">
        <v>4454</v>
      </c>
      <c r="C282" t="b">
        <v>1</v>
      </c>
      <c r="D282">
        <v>8048</v>
      </c>
      <c r="E282">
        <v>8129</v>
      </c>
      <c r="F282">
        <v>8.4</v>
      </c>
      <c r="G282">
        <v>6.8</v>
      </c>
      <c r="H282">
        <v>1.2352939999999999</v>
      </c>
      <c r="I282">
        <v>-0.23529402999999999</v>
      </c>
      <c r="J282">
        <v>0.44736843999999998</v>
      </c>
    </row>
    <row r="283" spans="1:10" x14ac:dyDescent="0.3">
      <c r="A283">
        <v>281</v>
      </c>
      <c r="B283">
        <v>4470</v>
      </c>
      <c r="C283" t="b">
        <v>1</v>
      </c>
      <c r="D283">
        <v>8048</v>
      </c>
      <c r="E283">
        <v>8129</v>
      </c>
      <c r="F283">
        <v>8</v>
      </c>
      <c r="G283">
        <v>7.2</v>
      </c>
      <c r="H283">
        <v>1.1111112000000001</v>
      </c>
      <c r="I283">
        <v>-0.11111114</v>
      </c>
      <c r="J283">
        <v>0.4736842</v>
      </c>
    </row>
    <row r="284" spans="1:10" x14ac:dyDescent="0.3">
      <c r="A284">
        <v>282</v>
      </c>
      <c r="B284">
        <v>4486</v>
      </c>
      <c r="C284" t="b">
        <v>1</v>
      </c>
      <c r="D284">
        <v>8048</v>
      </c>
      <c r="E284">
        <v>8123</v>
      </c>
      <c r="F284">
        <v>8</v>
      </c>
      <c r="G284">
        <v>7.2</v>
      </c>
      <c r="H284">
        <v>1.1111112000000001</v>
      </c>
      <c r="I284">
        <v>-0.11111114</v>
      </c>
      <c r="J284">
        <v>0.4736842</v>
      </c>
    </row>
    <row r="285" spans="1:10" x14ac:dyDescent="0.3">
      <c r="A285">
        <v>283</v>
      </c>
      <c r="B285">
        <v>4502</v>
      </c>
      <c r="C285" t="b">
        <v>1</v>
      </c>
      <c r="D285">
        <v>8048</v>
      </c>
      <c r="E285">
        <v>8129</v>
      </c>
      <c r="F285">
        <v>8</v>
      </c>
      <c r="G285">
        <v>8</v>
      </c>
      <c r="H285">
        <v>1</v>
      </c>
      <c r="I285">
        <v>0</v>
      </c>
      <c r="J285">
        <v>0.5</v>
      </c>
    </row>
    <row r="286" spans="1:10" x14ac:dyDescent="0.3">
      <c r="A286">
        <v>284</v>
      </c>
      <c r="B286">
        <v>4518</v>
      </c>
      <c r="C286" t="b">
        <v>1</v>
      </c>
      <c r="D286">
        <v>8054</v>
      </c>
      <c r="E286">
        <v>8123</v>
      </c>
      <c r="F286">
        <v>8</v>
      </c>
      <c r="G286">
        <v>8.4</v>
      </c>
      <c r="H286">
        <v>0.95238100000000003</v>
      </c>
      <c r="I286">
        <v>4.7619003999999999E-2</v>
      </c>
      <c r="J286">
        <v>0.51219510000000001</v>
      </c>
    </row>
    <row r="287" spans="1:10" x14ac:dyDescent="0.3">
      <c r="A287">
        <v>285</v>
      </c>
      <c r="B287">
        <v>4534</v>
      </c>
      <c r="C287" t="b">
        <v>1</v>
      </c>
      <c r="D287">
        <v>8054</v>
      </c>
      <c r="E287">
        <v>8129</v>
      </c>
      <c r="F287">
        <v>8</v>
      </c>
      <c r="G287">
        <v>8.8000000000000007</v>
      </c>
      <c r="H287">
        <v>0.90909090000000004</v>
      </c>
      <c r="I287">
        <v>9.0909110000000001E-2</v>
      </c>
      <c r="J287">
        <v>0.52380954999999996</v>
      </c>
    </row>
    <row r="288" spans="1:10" x14ac:dyDescent="0.3">
      <c r="A288">
        <v>286</v>
      </c>
      <c r="B288">
        <v>4550</v>
      </c>
      <c r="C288" t="b">
        <v>1</v>
      </c>
      <c r="D288">
        <v>8048</v>
      </c>
      <c r="E288">
        <v>8117</v>
      </c>
      <c r="F288">
        <v>8</v>
      </c>
      <c r="G288">
        <v>8.8000000000000007</v>
      </c>
      <c r="H288">
        <v>0.90909090000000004</v>
      </c>
      <c r="I288">
        <v>9.0909110000000001E-2</v>
      </c>
      <c r="J288">
        <v>0.52380954999999996</v>
      </c>
    </row>
    <row r="289" spans="1:10" x14ac:dyDescent="0.3">
      <c r="A289">
        <v>287</v>
      </c>
      <c r="B289">
        <v>4566</v>
      </c>
      <c r="C289" t="b">
        <v>1</v>
      </c>
      <c r="D289">
        <v>8048</v>
      </c>
      <c r="E289">
        <v>8123</v>
      </c>
      <c r="F289">
        <v>8</v>
      </c>
      <c r="G289">
        <v>8.8000000000000007</v>
      </c>
      <c r="H289">
        <v>0.90909090000000004</v>
      </c>
      <c r="I289">
        <v>9.0909110000000001E-2</v>
      </c>
      <c r="J289">
        <v>0.52380954999999996</v>
      </c>
    </row>
    <row r="290" spans="1:10" x14ac:dyDescent="0.3">
      <c r="A290">
        <v>288</v>
      </c>
      <c r="B290">
        <v>4581</v>
      </c>
      <c r="C290" t="b">
        <v>1</v>
      </c>
      <c r="D290">
        <v>8048</v>
      </c>
      <c r="E290">
        <v>8123</v>
      </c>
      <c r="F290">
        <v>8</v>
      </c>
      <c r="G290">
        <v>8.8000000000000007</v>
      </c>
      <c r="H290">
        <v>0.90909090000000004</v>
      </c>
      <c r="I290">
        <v>9.0909110000000001E-2</v>
      </c>
      <c r="J290">
        <v>0.52380954999999996</v>
      </c>
    </row>
    <row r="291" spans="1:10" x14ac:dyDescent="0.3">
      <c r="A291">
        <v>289</v>
      </c>
      <c r="B291">
        <v>4597</v>
      </c>
      <c r="C291" t="b">
        <v>1</v>
      </c>
      <c r="D291">
        <v>8048</v>
      </c>
      <c r="E291">
        <v>8123</v>
      </c>
      <c r="F291">
        <v>8</v>
      </c>
      <c r="G291">
        <v>8.8000000000000007</v>
      </c>
      <c r="H291">
        <v>0.90909090000000004</v>
      </c>
      <c r="I291">
        <v>9.0909110000000001E-2</v>
      </c>
      <c r="J291">
        <v>0.52380954999999996</v>
      </c>
    </row>
    <row r="292" spans="1:10" x14ac:dyDescent="0.3">
      <c r="A292">
        <v>290</v>
      </c>
      <c r="B292">
        <v>4613</v>
      </c>
      <c r="C292" t="b">
        <v>1</v>
      </c>
      <c r="D292">
        <v>8054</v>
      </c>
      <c r="E292">
        <v>8123</v>
      </c>
      <c r="F292">
        <v>8</v>
      </c>
      <c r="G292">
        <v>8.8000000000000007</v>
      </c>
      <c r="H292">
        <v>0.90909090000000004</v>
      </c>
      <c r="I292">
        <v>9.0909110000000001E-2</v>
      </c>
      <c r="J292">
        <v>0.52380954999999996</v>
      </c>
    </row>
    <row r="293" spans="1:10" x14ac:dyDescent="0.3">
      <c r="A293">
        <v>291</v>
      </c>
      <c r="B293">
        <v>4629</v>
      </c>
      <c r="C293" t="b">
        <v>1</v>
      </c>
      <c r="D293">
        <v>8048</v>
      </c>
      <c r="E293">
        <v>8123</v>
      </c>
      <c r="F293">
        <v>8</v>
      </c>
      <c r="G293">
        <v>9.1999999999999993</v>
      </c>
      <c r="H293">
        <v>0.86956524999999996</v>
      </c>
      <c r="I293">
        <v>0.13043477000000001</v>
      </c>
      <c r="J293">
        <v>0.53488369999999996</v>
      </c>
    </row>
    <row r="294" spans="1:10" x14ac:dyDescent="0.3">
      <c r="A294">
        <v>292</v>
      </c>
      <c r="B294">
        <v>4645</v>
      </c>
      <c r="C294" t="b">
        <v>1</v>
      </c>
      <c r="D294">
        <v>8048</v>
      </c>
      <c r="E294">
        <v>8123</v>
      </c>
      <c r="F294">
        <v>8</v>
      </c>
      <c r="G294">
        <v>9.1999999999999993</v>
      </c>
      <c r="H294">
        <v>0.86956524999999996</v>
      </c>
      <c r="I294">
        <v>0.13043477000000001</v>
      </c>
      <c r="J294">
        <v>0.53488369999999996</v>
      </c>
    </row>
    <row r="295" spans="1:10" x14ac:dyDescent="0.3">
      <c r="A295">
        <v>293</v>
      </c>
      <c r="B295">
        <v>4661</v>
      </c>
      <c r="C295" t="b">
        <v>1</v>
      </c>
      <c r="D295">
        <v>8048</v>
      </c>
      <c r="E295">
        <v>8123</v>
      </c>
      <c r="F295">
        <v>8</v>
      </c>
      <c r="G295">
        <v>9.1999999999999993</v>
      </c>
      <c r="H295">
        <v>0.86956524999999996</v>
      </c>
      <c r="I295">
        <v>0.13043477000000001</v>
      </c>
      <c r="J295">
        <v>0.53488369999999996</v>
      </c>
    </row>
    <row r="296" spans="1:10" x14ac:dyDescent="0.3">
      <c r="A296">
        <v>294</v>
      </c>
      <c r="B296">
        <v>4677</v>
      </c>
      <c r="C296" t="b">
        <v>1</v>
      </c>
      <c r="D296">
        <v>8048</v>
      </c>
      <c r="E296">
        <v>8123</v>
      </c>
      <c r="F296">
        <v>8</v>
      </c>
      <c r="G296">
        <v>9.1999999999999993</v>
      </c>
      <c r="H296">
        <v>0.86956524999999996</v>
      </c>
      <c r="I296">
        <v>0.13043477000000001</v>
      </c>
      <c r="J296">
        <v>0.53488369999999996</v>
      </c>
    </row>
    <row r="297" spans="1:10" x14ac:dyDescent="0.3">
      <c r="A297">
        <v>295</v>
      </c>
      <c r="B297">
        <v>4693</v>
      </c>
      <c r="C297" t="b">
        <v>1</v>
      </c>
      <c r="D297">
        <v>8048</v>
      </c>
      <c r="E297">
        <v>8123</v>
      </c>
      <c r="F297">
        <v>8</v>
      </c>
      <c r="G297">
        <v>9.1999999999999993</v>
      </c>
      <c r="H297">
        <v>0.86956524999999996</v>
      </c>
      <c r="I297">
        <v>0.13043477000000001</v>
      </c>
      <c r="J297">
        <v>0.53488369999999996</v>
      </c>
    </row>
    <row r="298" spans="1:10" x14ac:dyDescent="0.3">
      <c r="A298">
        <v>296</v>
      </c>
      <c r="B298">
        <v>4709</v>
      </c>
      <c r="C298" t="b">
        <v>1</v>
      </c>
      <c r="D298">
        <v>8048</v>
      </c>
      <c r="E298">
        <v>8123</v>
      </c>
      <c r="F298">
        <v>8</v>
      </c>
      <c r="G298">
        <v>9.1999999999999993</v>
      </c>
      <c r="H298">
        <v>0.86956524999999996</v>
      </c>
      <c r="I298">
        <v>0.13043477000000001</v>
      </c>
      <c r="J298">
        <v>0.53488369999999996</v>
      </c>
    </row>
    <row r="299" spans="1:10" x14ac:dyDescent="0.3">
      <c r="A299">
        <v>297</v>
      </c>
      <c r="B299">
        <v>4725</v>
      </c>
      <c r="C299" t="b">
        <v>1</v>
      </c>
      <c r="D299">
        <v>8054</v>
      </c>
      <c r="E299">
        <v>8123</v>
      </c>
      <c r="F299">
        <v>8</v>
      </c>
      <c r="G299">
        <v>9.1999999999999993</v>
      </c>
      <c r="H299">
        <v>0.86956524999999996</v>
      </c>
      <c r="I299">
        <v>0.13043477000000001</v>
      </c>
      <c r="J299">
        <v>0.53488369999999996</v>
      </c>
    </row>
    <row r="300" spans="1:10" x14ac:dyDescent="0.3">
      <c r="A300">
        <v>298</v>
      </c>
      <c r="B300">
        <v>4741</v>
      </c>
      <c r="C300" t="b">
        <v>1</v>
      </c>
      <c r="D300">
        <v>8048</v>
      </c>
      <c r="E300">
        <v>8117</v>
      </c>
      <c r="F300">
        <v>8</v>
      </c>
      <c r="G300">
        <v>8.8000000000000007</v>
      </c>
      <c r="H300">
        <v>0.90909090000000004</v>
      </c>
      <c r="I300">
        <v>9.0909110000000001E-2</v>
      </c>
      <c r="J300">
        <v>0.52380954999999996</v>
      </c>
    </row>
    <row r="301" spans="1:10" x14ac:dyDescent="0.3">
      <c r="A301">
        <v>299</v>
      </c>
      <c r="B301">
        <v>4757</v>
      </c>
      <c r="C301" t="b">
        <v>1</v>
      </c>
      <c r="D301">
        <v>8048</v>
      </c>
      <c r="E301">
        <v>8123</v>
      </c>
      <c r="F301">
        <v>8</v>
      </c>
      <c r="G301">
        <v>8.4</v>
      </c>
      <c r="H301">
        <v>0.95238100000000003</v>
      </c>
      <c r="I301">
        <v>4.7619003999999999E-2</v>
      </c>
      <c r="J301">
        <v>0.51219510000000001</v>
      </c>
    </row>
    <row r="302" spans="1:10" x14ac:dyDescent="0.3">
      <c r="A302">
        <v>300</v>
      </c>
      <c r="B302">
        <v>4772</v>
      </c>
      <c r="C302" t="b">
        <v>1</v>
      </c>
      <c r="D302">
        <v>8048</v>
      </c>
      <c r="E302">
        <v>8123</v>
      </c>
      <c r="F302">
        <v>8</v>
      </c>
      <c r="G302">
        <v>8</v>
      </c>
      <c r="H302">
        <v>1</v>
      </c>
      <c r="I302">
        <v>0</v>
      </c>
      <c r="J302">
        <v>0.5</v>
      </c>
    </row>
    <row r="303" spans="1:10" x14ac:dyDescent="0.3">
      <c r="A303">
        <v>301</v>
      </c>
      <c r="B303">
        <v>4788</v>
      </c>
      <c r="C303" t="b">
        <v>1</v>
      </c>
      <c r="D303">
        <v>8048</v>
      </c>
      <c r="E303">
        <v>8117</v>
      </c>
      <c r="F303">
        <v>8</v>
      </c>
      <c r="G303">
        <v>8</v>
      </c>
      <c r="H303">
        <v>1</v>
      </c>
      <c r="I303">
        <v>0</v>
      </c>
      <c r="J303">
        <v>0.5</v>
      </c>
    </row>
    <row r="304" spans="1:10" x14ac:dyDescent="0.3">
      <c r="A304">
        <v>302</v>
      </c>
      <c r="B304">
        <v>4804</v>
      </c>
      <c r="C304" t="b">
        <v>1</v>
      </c>
      <c r="D304">
        <v>8048</v>
      </c>
      <c r="E304">
        <v>8117</v>
      </c>
      <c r="F304">
        <v>8</v>
      </c>
      <c r="G304">
        <v>7.6</v>
      </c>
      <c r="H304">
        <v>1.0526316</v>
      </c>
      <c r="I304">
        <v>-5.2631589999999999E-2</v>
      </c>
      <c r="J304">
        <v>0.48717946000000001</v>
      </c>
    </row>
    <row r="305" spans="1:10" x14ac:dyDescent="0.3">
      <c r="A305">
        <v>303</v>
      </c>
      <c r="B305">
        <v>4820</v>
      </c>
      <c r="C305" t="b">
        <v>1</v>
      </c>
      <c r="D305">
        <v>8048</v>
      </c>
      <c r="E305">
        <v>8117</v>
      </c>
      <c r="F305">
        <v>8</v>
      </c>
      <c r="G305">
        <v>7.2</v>
      </c>
      <c r="H305">
        <v>1.1111112000000001</v>
      </c>
      <c r="I305">
        <v>-0.11111114</v>
      </c>
      <c r="J305">
        <v>0.4736842</v>
      </c>
    </row>
    <row r="306" spans="1:10" x14ac:dyDescent="0.3">
      <c r="A306">
        <v>304</v>
      </c>
      <c r="B306">
        <v>4836</v>
      </c>
      <c r="C306" t="b">
        <v>1</v>
      </c>
      <c r="D306">
        <v>8048</v>
      </c>
      <c r="E306">
        <v>8123</v>
      </c>
      <c r="F306">
        <v>8</v>
      </c>
      <c r="G306">
        <v>6.8</v>
      </c>
      <c r="H306">
        <v>1.1764705</v>
      </c>
      <c r="I306">
        <v>-0.17647055</v>
      </c>
      <c r="J306">
        <v>0.45945944999999999</v>
      </c>
    </row>
    <row r="307" spans="1:10" x14ac:dyDescent="0.3">
      <c r="A307">
        <v>305</v>
      </c>
      <c r="B307">
        <v>4852</v>
      </c>
      <c r="C307" t="b">
        <v>1</v>
      </c>
      <c r="D307">
        <v>8054</v>
      </c>
      <c r="E307">
        <v>8123</v>
      </c>
      <c r="F307">
        <v>8</v>
      </c>
      <c r="G307">
        <v>6.4</v>
      </c>
      <c r="H307">
        <v>1.25</v>
      </c>
      <c r="I307">
        <v>-0.24999999000000001</v>
      </c>
      <c r="J307">
        <v>0.44444447999999998</v>
      </c>
    </row>
    <row r="308" spans="1:10" x14ac:dyDescent="0.3">
      <c r="A308">
        <v>306</v>
      </c>
      <c r="B308">
        <v>4867</v>
      </c>
      <c r="C308" t="b">
        <v>1</v>
      </c>
      <c r="D308">
        <v>8048</v>
      </c>
      <c r="E308">
        <v>8129</v>
      </c>
      <c r="F308">
        <v>8</v>
      </c>
      <c r="G308">
        <v>6.4</v>
      </c>
      <c r="H308">
        <v>1.25</v>
      </c>
      <c r="I308">
        <v>-0.24999999000000001</v>
      </c>
      <c r="J308">
        <v>0.44444447999999998</v>
      </c>
    </row>
    <row r="309" spans="1:10" x14ac:dyDescent="0.3">
      <c r="A309">
        <v>307</v>
      </c>
      <c r="B309">
        <v>4883</v>
      </c>
      <c r="C309" t="b">
        <v>1</v>
      </c>
      <c r="D309">
        <v>8048</v>
      </c>
      <c r="E309">
        <v>8129</v>
      </c>
      <c r="F309">
        <v>8</v>
      </c>
      <c r="G309">
        <v>6.4</v>
      </c>
      <c r="H309">
        <v>1.25</v>
      </c>
      <c r="I309">
        <v>-0.24999999000000001</v>
      </c>
      <c r="J309">
        <v>0.44444447999999998</v>
      </c>
    </row>
    <row r="310" spans="1:10" x14ac:dyDescent="0.3">
      <c r="A310">
        <v>308</v>
      </c>
      <c r="B310">
        <v>4899</v>
      </c>
      <c r="C310" t="b">
        <v>1</v>
      </c>
      <c r="D310">
        <v>8048</v>
      </c>
      <c r="E310">
        <v>8129</v>
      </c>
      <c r="F310">
        <v>8</v>
      </c>
      <c r="G310">
        <v>6.8</v>
      </c>
      <c r="H310">
        <v>1.1764705</v>
      </c>
      <c r="I310">
        <v>-0.17647055</v>
      </c>
      <c r="J310">
        <v>0.45945944999999999</v>
      </c>
    </row>
    <row r="311" spans="1:10" x14ac:dyDescent="0.3">
      <c r="A311">
        <v>309</v>
      </c>
      <c r="B311">
        <v>4914</v>
      </c>
      <c r="C311" t="b">
        <v>1</v>
      </c>
      <c r="D311">
        <v>8048</v>
      </c>
      <c r="E311">
        <v>8129</v>
      </c>
      <c r="F311">
        <v>8</v>
      </c>
      <c r="G311">
        <v>7.2</v>
      </c>
      <c r="H311">
        <v>1.1111112000000001</v>
      </c>
      <c r="I311">
        <v>-0.11111114</v>
      </c>
      <c r="J311">
        <v>0.4736842</v>
      </c>
    </row>
    <row r="312" spans="1:10" x14ac:dyDescent="0.3">
      <c r="A312">
        <v>310</v>
      </c>
      <c r="B312">
        <v>4930</v>
      </c>
      <c r="C312" t="b">
        <v>1</v>
      </c>
      <c r="D312">
        <v>8054</v>
      </c>
      <c r="E312">
        <v>8129</v>
      </c>
      <c r="F312">
        <v>8</v>
      </c>
      <c r="G312">
        <v>7.6</v>
      </c>
      <c r="H312">
        <v>1.0526316</v>
      </c>
      <c r="I312">
        <v>-5.2631589999999999E-2</v>
      </c>
      <c r="J312">
        <v>0.48717946000000001</v>
      </c>
    </row>
    <row r="313" spans="1:10" x14ac:dyDescent="0.3">
      <c r="A313">
        <v>311</v>
      </c>
      <c r="B313">
        <v>4945</v>
      </c>
      <c r="C313" t="b">
        <v>1</v>
      </c>
      <c r="D313">
        <v>8048</v>
      </c>
      <c r="E313">
        <v>8123</v>
      </c>
      <c r="F313">
        <v>8</v>
      </c>
      <c r="G313">
        <v>8</v>
      </c>
      <c r="H313">
        <v>1</v>
      </c>
      <c r="I313">
        <v>0</v>
      </c>
      <c r="J313">
        <v>0.5</v>
      </c>
    </row>
    <row r="314" spans="1:10" x14ac:dyDescent="0.3">
      <c r="A314">
        <v>312</v>
      </c>
      <c r="B314">
        <v>4961</v>
      </c>
      <c r="C314" t="b">
        <v>1</v>
      </c>
      <c r="D314">
        <v>8054</v>
      </c>
      <c r="E314">
        <v>8123</v>
      </c>
      <c r="F314">
        <v>8</v>
      </c>
      <c r="G314">
        <v>8.4</v>
      </c>
      <c r="H314">
        <v>0.95238100000000003</v>
      </c>
      <c r="I314">
        <v>4.7619003999999999E-2</v>
      </c>
      <c r="J314">
        <v>0.51219510000000001</v>
      </c>
    </row>
    <row r="315" spans="1:10" x14ac:dyDescent="0.3">
      <c r="A315">
        <v>313</v>
      </c>
      <c r="B315">
        <v>4977</v>
      </c>
      <c r="C315" t="b">
        <v>1</v>
      </c>
      <c r="D315">
        <v>8048</v>
      </c>
      <c r="E315">
        <v>8123</v>
      </c>
      <c r="F315">
        <v>8</v>
      </c>
      <c r="G315">
        <v>8.4</v>
      </c>
      <c r="H315">
        <v>0.95238100000000003</v>
      </c>
      <c r="I315">
        <v>4.7619003999999999E-2</v>
      </c>
      <c r="J315">
        <v>0.51219510000000001</v>
      </c>
    </row>
    <row r="316" spans="1:10" x14ac:dyDescent="0.3">
      <c r="A316">
        <v>314</v>
      </c>
      <c r="B316">
        <v>4993</v>
      </c>
      <c r="C316" t="b">
        <v>1</v>
      </c>
      <c r="D316">
        <v>8054</v>
      </c>
      <c r="E316">
        <v>8123</v>
      </c>
      <c r="F316">
        <v>8.4</v>
      </c>
      <c r="G316">
        <v>8.4</v>
      </c>
      <c r="H316">
        <v>1</v>
      </c>
      <c r="I316">
        <v>0</v>
      </c>
      <c r="J316">
        <v>0.5</v>
      </c>
    </row>
    <row r="317" spans="1:10" x14ac:dyDescent="0.3">
      <c r="A317">
        <v>315</v>
      </c>
      <c r="B317">
        <v>5009</v>
      </c>
      <c r="C317" t="b">
        <v>1</v>
      </c>
      <c r="D317">
        <v>8054</v>
      </c>
      <c r="E317">
        <v>8117</v>
      </c>
      <c r="F317">
        <v>8.8000000000000007</v>
      </c>
      <c r="G317">
        <v>8.4</v>
      </c>
      <c r="H317">
        <v>1.0476190999999999</v>
      </c>
      <c r="I317">
        <v>-4.7619120000000001E-2</v>
      </c>
      <c r="J317">
        <v>0.48837206</v>
      </c>
    </row>
    <row r="318" spans="1:10" x14ac:dyDescent="0.3">
      <c r="A318">
        <v>316</v>
      </c>
      <c r="B318">
        <v>5025</v>
      </c>
      <c r="C318" t="b">
        <v>1</v>
      </c>
      <c r="D318">
        <v>8042</v>
      </c>
      <c r="E318">
        <v>8117</v>
      </c>
      <c r="F318">
        <v>9.1999999999999993</v>
      </c>
      <c r="G318">
        <v>8.4</v>
      </c>
      <c r="H318">
        <v>1.0952381</v>
      </c>
      <c r="I318">
        <v>-9.5238119999999996E-2</v>
      </c>
      <c r="J318">
        <v>0.47727275000000002</v>
      </c>
    </row>
    <row r="319" spans="1:10" x14ac:dyDescent="0.3">
      <c r="A319">
        <v>317</v>
      </c>
      <c r="B319">
        <v>5041</v>
      </c>
      <c r="C319" t="b">
        <v>1</v>
      </c>
      <c r="D319">
        <v>8042</v>
      </c>
      <c r="E319">
        <v>8123</v>
      </c>
      <c r="F319">
        <v>9.1999999999999993</v>
      </c>
      <c r="G319">
        <v>8.8000000000000007</v>
      </c>
      <c r="H319">
        <v>1.0454545</v>
      </c>
      <c r="I319">
        <v>-4.5454502000000001E-2</v>
      </c>
      <c r="J319">
        <v>0.48888890000000002</v>
      </c>
    </row>
    <row r="320" spans="1:10" x14ac:dyDescent="0.3">
      <c r="A320">
        <v>318</v>
      </c>
      <c r="B320">
        <v>5057</v>
      </c>
      <c r="C320" t="b">
        <v>1</v>
      </c>
      <c r="D320">
        <v>8042</v>
      </c>
      <c r="E320">
        <v>8123</v>
      </c>
      <c r="F320">
        <v>8.8000000000000007</v>
      </c>
      <c r="G320">
        <v>9.1999999999999993</v>
      </c>
      <c r="H320">
        <v>0.95652179999999998</v>
      </c>
      <c r="I320">
        <v>4.3478219999999998E-2</v>
      </c>
      <c r="J320">
        <v>0.51111110000000004</v>
      </c>
    </row>
    <row r="321" spans="1:10" x14ac:dyDescent="0.3">
      <c r="A321">
        <v>319</v>
      </c>
      <c r="B321">
        <v>5072</v>
      </c>
      <c r="C321" t="b">
        <v>1</v>
      </c>
      <c r="D321">
        <v>8042</v>
      </c>
      <c r="E321">
        <v>8123</v>
      </c>
      <c r="F321">
        <v>8.4</v>
      </c>
      <c r="G321">
        <v>9.6</v>
      </c>
      <c r="H321">
        <v>0.87499994000000003</v>
      </c>
      <c r="I321">
        <v>0.12500006999999999</v>
      </c>
      <c r="J321">
        <v>0.53333335999999998</v>
      </c>
    </row>
    <row r="322" spans="1:10" x14ac:dyDescent="0.3">
      <c r="A322">
        <v>320</v>
      </c>
      <c r="B322">
        <v>5088</v>
      </c>
      <c r="C322" t="b">
        <v>1</v>
      </c>
      <c r="D322">
        <v>8042</v>
      </c>
      <c r="E322">
        <v>8123</v>
      </c>
      <c r="F322">
        <v>8</v>
      </c>
      <c r="G322">
        <v>10</v>
      </c>
      <c r="H322">
        <v>0.8</v>
      </c>
      <c r="I322">
        <v>0.2</v>
      </c>
      <c r="J322">
        <v>0.55555560000000004</v>
      </c>
    </row>
    <row r="323" spans="1:10" x14ac:dyDescent="0.3">
      <c r="A323">
        <v>321</v>
      </c>
      <c r="B323">
        <v>5103</v>
      </c>
      <c r="C323" t="b">
        <v>1</v>
      </c>
      <c r="D323">
        <v>8042</v>
      </c>
      <c r="E323">
        <v>8123</v>
      </c>
      <c r="F323">
        <v>7.6</v>
      </c>
      <c r="G323">
        <v>10</v>
      </c>
      <c r="H323">
        <v>0.76</v>
      </c>
      <c r="I323">
        <v>0.24000001000000001</v>
      </c>
      <c r="J323">
        <v>0.56818179999999996</v>
      </c>
    </row>
    <row r="324" spans="1:10" x14ac:dyDescent="0.3">
      <c r="A324">
        <v>322</v>
      </c>
      <c r="B324">
        <v>5118</v>
      </c>
      <c r="C324" t="b">
        <v>1</v>
      </c>
      <c r="D324">
        <v>8042</v>
      </c>
      <c r="E324">
        <v>8117</v>
      </c>
      <c r="F324">
        <v>7.2</v>
      </c>
      <c r="G324">
        <v>10</v>
      </c>
      <c r="H324">
        <v>0.71999997000000004</v>
      </c>
      <c r="I324">
        <v>0.28000003000000001</v>
      </c>
      <c r="J324">
        <v>0.58139529999999995</v>
      </c>
    </row>
    <row r="325" spans="1:10" x14ac:dyDescent="0.3">
      <c r="A325">
        <v>323</v>
      </c>
      <c r="B325">
        <v>5134</v>
      </c>
      <c r="C325" t="b">
        <v>1</v>
      </c>
      <c r="D325">
        <v>8048</v>
      </c>
      <c r="E325">
        <v>8117</v>
      </c>
      <c r="F325">
        <v>6.8</v>
      </c>
      <c r="G325">
        <v>9.6</v>
      </c>
      <c r="H325">
        <v>0.70833330000000005</v>
      </c>
      <c r="I325">
        <v>0.2916667</v>
      </c>
      <c r="J325">
        <v>0.58536582999999998</v>
      </c>
    </row>
    <row r="326" spans="1:10" x14ac:dyDescent="0.3">
      <c r="A326">
        <v>324</v>
      </c>
      <c r="B326">
        <v>5150</v>
      </c>
      <c r="C326" t="b">
        <v>1</v>
      </c>
      <c r="D326">
        <v>8048</v>
      </c>
      <c r="E326">
        <v>8117</v>
      </c>
      <c r="F326">
        <v>6.4</v>
      </c>
      <c r="G326">
        <v>8.8000000000000007</v>
      </c>
      <c r="H326">
        <v>0.72727275000000002</v>
      </c>
      <c r="I326">
        <v>0.27272728000000002</v>
      </c>
      <c r="J326">
        <v>0.57894736999999996</v>
      </c>
    </row>
    <row r="327" spans="1:10" x14ac:dyDescent="0.3">
      <c r="A327">
        <v>325</v>
      </c>
      <c r="B327">
        <v>5166</v>
      </c>
      <c r="C327" t="b">
        <v>1</v>
      </c>
      <c r="D327">
        <v>8048</v>
      </c>
      <c r="E327">
        <v>8117</v>
      </c>
      <c r="F327">
        <v>6.4</v>
      </c>
      <c r="G327">
        <v>8</v>
      </c>
      <c r="H327">
        <v>0.8</v>
      </c>
      <c r="I327">
        <v>0.19999998999999999</v>
      </c>
      <c r="J327">
        <v>0.55555560000000004</v>
      </c>
    </row>
    <row r="328" spans="1:10" x14ac:dyDescent="0.3">
      <c r="A328">
        <v>326</v>
      </c>
      <c r="B328">
        <v>5182</v>
      </c>
      <c r="C328" t="b">
        <v>1</v>
      </c>
      <c r="D328">
        <v>8048</v>
      </c>
      <c r="E328">
        <v>8123</v>
      </c>
      <c r="F328">
        <v>6.4</v>
      </c>
      <c r="G328">
        <v>7.2</v>
      </c>
      <c r="H328">
        <v>0.88888895999999995</v>
      </c>
      <c r="I328">
        <v>0.111111075</v>
      </c>
      <c r="J328">
        <v>0.52941172999999997</v>
      </c>
    </row>
    <row r="329" spans="1:10" x14ac:dyDescent="0.3">
      <c r="A329">
        <v>327</v>
      </c>
      <c r="B329">
        <v>5197</v>
      </c>
      <c r="C329" t="b">
        <v>1</v>
      </c>
      <c r="D329">
        <v>8048</v>
      </c>
      <c r="E329">
        <v>8123</v>
      </c>
      <c r="F329">
        <v>6.4</v>
      </c>
      <c r="G329">
        <v>6.4</v>
      </c>
      <c r="H329">
        <v>1</v>
      </c>
      <c r="I329">
        <v>0</v>
      </c>
      <c r="J329">
        <v>0.5</v>
      </c>
    </row>
    <row r="330" spans="1:10" x14ac:dyDescent="0.3">
      <c r="A330">
        <v>328</v>
      </c>
      <c r="B330">
        <v>5213</v>
      </c>
      <c r="C330" t="b">
        <v>1</v>
      </c>
      <c r="D330">
        <v>8048</v>
      </c>
      <c r="E330">
        <v>8117</v>
      </c>
      <c r="F330">
        <v>6.4</v>
      </c>
      <c r="G330">
        <v>6</v>
      </c>
      <c r="H330">
        <v>1.0666667000000001</v>
      </c>
      <c r="I330">
        <v>-6.6666685000000003E-2</v>
      </c>
      <c r="J330">
        <v>0.48387098000000001</v>
      </c>
    </row>
    <row r="331" spans="1:10" x14ac:dyDescent="0.3">
      <c r="A331">
        <v>329</v>
      </c>
      <c r="B331">
        <v>5229</v>
      </c>
      <c r="C331" t="b">
        <v>1</v>
      </c>
      <c r="D331">
        <v>8054</v>
      </c>
      <c r="E331">
        <v>8117</v>
      </c>
      <c r="F331">
        <v>6</v>
      </c>
      <c r="G331">
        <v>5.6</v>
      </c>
      <c r="H331">
        <v>1.0714284999999999</v>
      </c>
      <c r="I331">
        <v>-7.142859E-2</v>
      </c>
      <c r="J331">
        <v>0.48275859999999998</v>
      </c>
    </row>
    <row r="332" spans="1:10" x14ac:dyDescent="0.3">
      <c r="A332">
        <v>330</v>
      </c>
      <c r="B332">
        <v>5244</v>
      </c>
      <c r="C332" t="b">
        <v>1</v>
      </c>
      <c r="D332">
        <v>8048</v>
      </c>
      <c r="E332">
        <v>8123</v>
      </c>
      <c r="F332">
        <v>5.6</v>
      </c>
      <c r="G332">
        <v>5.6</v>
      </c>
      <c r="H332">
        <v>1</v>
      </c>
      <c r="I332">
        <v>0</v>
      </c>
      <c r="J332">
        <v>0.5</v>
      </c>
    </row>
    <row r="333" spans="1:10" x14ac:dyDescent="0.3">
      <c r="A333">
        <v>331</v>
      </c>
      <c r="B333">
        <v>5260</v>
      </c>
      <c r="C333" t="b">
        <v>1</v>
      </c>
      <c r="D333">
        <v>8048</v>
      </c>
      <c r="E333">
        <v>8129</v>
      </c>
      <c r="F333">
        <v>5.2</v>
      </c>
      <c r="G333">
        <v>5.6</v>
      </c>
      <c r="H333">
        <v>0.92857140000000005</v>
      </c>
      <c r="I333">
        <v>7.142859E-2</v>
      </c>
      <c r="J333">
        <v>0.51851857000000001</v>
      </c>
    </row>
    <row r="334" spans="1:10" x14ac:dyDescent="0.3">
      <c r="A334">
        <v>332</v>
      </c>
      <c r="B334">
        <v>5275</v>
      </c>
      <c r="C334" t="b">
        <v>1</v>
      </c>
      <c r="D334">
        <v>8048</v>
      </c>
      <c r="E334">
        <v>8123</v>
      </c>
      <c r="F334">
        <v>5.2</v>
      </c>
      <c r="G334">
        <v>5.6</v>
      </c>
      <c r="H334">
        <v>0.92857140000000005</v>
      </c>
      <c r="I334">
        <v>7.142859E-2</v>
      </c>
      <c r="J334">
        <v>0.51851857000000001</v>
      </c>
    </row>
    <row r="335" spans="1:10" x14ac:dyDescent="0.3">
      <c r="A335">
        <v>333</v>
      </c>
      <c r="B335">
        <v>5291</v>
      </c>
      <c r="C335" t="b">
        <v>1</v>
      </c>
      <c r="D335">
        <v>8048</v>
      </c>
      <c r="E335">
        <v>8117</v>
      </c>
      <c r="F335">
        <v>5.6</v>
      </c>
      <c r="G335">
        <v>5.6</v>
      </c>
      <c r="H335">
        <v>1</v>
      </c>
      <c r="I335">
        <v>0</v>
      </c>
      <c r="J335">
        <v>0.5</v>
      </c>
    </row>
    <row r="336" spans="1:10" x14ac:dyDescent="0.3">
      <c r="A336">
        <v>334</v>
      </c>
      <c r="B336">
        <v>5307</v>
      </c>
      <c r="C336" t="b">
        <v>1</v>
      </c>
      <c r="D336">
        <v>8048</v>
      </c>
      <c r="E336">
        <v>8123</v>
      </c>
      <c r="F336">
        <v>6</v>
      </c>
      <c r="G336">
        <v>5.6</v>
      </c>
      <c r="H336">
        <v>1.0714284999999999</v>
      </c>
      <c r="I336">
        <v>-7.142859E-2</v>
      </c>
      <c r="J336">
        <v>0.48275859999999998</v>
      </c>
    </row>
    <row r="337" spans="1:10" x14ac:dyDescent="0.3">
      <c r="A337">
        <v>335</v>
      </c>
      <c r="B337">
        <v>5322</v>
      </c>
      <c r="C337" t="b">
        <v>1</v>
      </c>
      <c r="D337">
        <v>8048</v>
      </c>
      <c r="E337">
        <v>8123</v>
      </c>
      <c r="F337">
        <v>6.4</v>
      </c>
      <c r="G337">
        <v>5.6</v>
      </c>
      <c r="H337">
        <v>1.1428571999999999</v>
      </c>
      <c r="I337">
        <v>-0.14285718</v>
      </c>
      <c r="J337">
        <v>0.46666667000000001</v>
      </c>
    </row>
    <row r="338" spans="1:10" x14ac:dyDescent="0.3">
      <c r="A338">
        <v>336</v>
      </c>
      <c r="B338">
        <v>5338</v>
      </c>
      <c r="C338" t="b">
        <v>1</v>
      </c>
      <c r="D338">
        <v>8048</v>
      </c>
      <c r="E338">
        <v>8123</v>
      </c>
      <c r="F338">
        <v>6.8</v>
      </c>
      <c r="G338">
        <v>5.6</v>
      </c>
      <c r="H338">
        <v>1.2142857</v>
      </c>
      <c r="I338">
        <v>-0.21428578000000001</v>
      </c>
      <c r="J338">
        <v>0.45161291999999997</v>
      </c>
    </row>
    <row r="339" spans="1:10" x14ac:dyDescent="0.3">
      <c r="A339">
        <v>337</v>
      </c>
      <c r="B339">
        <v>5354</v>
      </c>
      <c r="C339" t="b">
        <v>1</v>
      </c>
      <c r="D339">
        <v>8042</v>
      </c>
      <c r="E339">
        <v>8123</v>
      </c>
      <c r="F339">
        <v>7.2</v>
      </c>
      <c r="G339">
        <v>5.6</v>
      </c>
      <c r="H339">
        <v>1.2857143</v>
      </c>
      <c r="I339">
        <v>-0.28571426999999999</v>
      </c>
      <c r="J339">
        <v>0.43750002999999998</v>
      </c>
    </row>
    <row r="340" spans="1:10" x14ac:dyDescent="0.3">
      <c r="A340">
        <v>338</v>
      </c>
      <c r="B340">
        <v>5370</v>
      </c>
      <c r="C340" t="b">
        <v>1</v>
      </c>
      <c r="D340">
        <v>8042</v>
      </c>
      <c r="E340">
        <v>8123</v>
      </c>
      <c r="F340">
        <v>7.6</v>
      </c>
      <c r="G340">
        <v>5.6</v>
      </c>
      <c r="H340">
        <v>1.3571428000000001</v>
      </c>
      <c r="I340">
        <v>-0.35714287</v>
      </c>
      <c r="J340">
        <v>0.42424244</v>
      </c>
    </row>
    <row r="341" spans="1:10" x14ac:dyDescent="0.3">
      <c r="A341">
        <v>339</v>
      </c>
      <c r="B341">
        <v>5386</v>
      </c>
      <c r="C341" t="b">
        <v>1</v>
      </c>
      <c r="D341">
        <v>8048</v>
      </c>
      <c r="E341">
        <v>8123</v>
      </c>
      <c r="F341">
        <v>8</v>
      </c>
      <c r="G341">
        <v>6</v>
      </c>
      <c r="H341">
        <v>1.3333333999999999</v>
      </c>
      <c r="I341">
        <v>-0.33333333999999998</v>
      </c>
      <c r="J341">
        <v>0.42857142999999998</v>
      </c>
    </row>
    <row r="342" spans="1:10" x14ac:dyDescent="0.3">
      <c r="A342">
        <v>340</v>
      </c>
      <c r="B342">
        <v>5401</v>
      </c>
      <c r="C342" t="b">
        <v>1</v>
      </c>
      <c r="D342">
        <v>8048</v>
      </c>
      <c r="E342">
        <v>8123</v>
      </c>
      <c r="F342">
        <v>8</v>
      </c>
      <c r="G342">
        <v>6.4</v>
      </c>
      <c r="H342">
        <v>1.25</v>
      </c>
      <c r="I342">
        <v>-0.24999999000000001</v>
      </c>
      <c r="J342">
        <v>0.44444447999999998</v>
      </c>
    </row>
    <row r="343" spans="1:10" x14ac:dyDescent="0.3">
      <c r="A343">
        <v>341</v>
      </c>
      <c r="B343">
        <v>5417</v>
      </c>
      <c r="C343" t="b">
        <v>1</v>
      </c>
      <c r="D343">
        <v>8048</v>
      </c>
      <c r="E343">
        <v>8123</v>
      </c>
      <c r="F343">
        <v>8</v>
      </c>
      <c r="G343">
        <v>6.8</v>
      </c>
      <c r="H343">
        <v>1.1764705</v>
      </c>
      <c r="I343">
        <v>-0.17647055</v>
      </c>
      <c r="J343">
        <v>0.45945944999999999</v>
      </c>
    </row>
    <row r="344" spans="1:10" x14ac:dyDescent="0.3">
      <c r="A344">
        <v>342</v>
      </c>
      <c r="B344">
        <v>5433</v>
      </c>
      <c r="C344" t="b">
        <v>1</v>
      </c>
      <c r="D344">
        <v>8048</v>
      </c>
      <c r="E344">
        <v>8129</v>
      </c>
      <c r="F344">
        <v>8</v>
      </c>
      <c r="G344">
        <v>7.2</v>
      </c>
      <c r="H344">
        <v>1.1111112000000001</v>
      </c>
      <c r="I344">
        <v>-0.11111114</v>
      </c>
      <c r="J344">
        <v>0.4736842</v>
      </c>
    </row>
    <row r="345" spans="1:10" x14ac:dyDescent="0.3">
      <c r="A345">
        <v>343</v>
      </c>
      <c r="B345">
        <v>5449</v>
      </c>
      <c r="C345" t="b">
        <v>1</v>
      </c>
      <c r="D345">
        <v>8048</v>
      </c>
      <c r="E345">
        <v>8129</v>
      </c>
      <c r="F345">
        <v>8</v>
      </c>
      <c r="G345">
        <v>7.6</v>
      </c>
      <c r="H345">
        <v>1.0526316</v>
      </c>
      <c r="I345">
        <v>-5.2631589999999999E-2</v>
      </c>
      <c r="J345">
        <v>0.48717946000000001</v>
      </c>
    </row>
    <row r="346" spans="1:10" x14ac:dyDescent="0.3">
      <c r="A346">
        <v>344</v>
      </c>
      <c r="B346">
        <v>5465</v>
      </c>
      <c r="C346" t="b">
        <v>1</v>
      </c>
      <c r="D346">
        <v>8048</v>
      </c>
      <c r="E346">
        <v>8129</v>
      </c>
      <c r="F346">
        <v>8</v>
      </c>
      <c r="G346">
        <v>8.4</v>
      </c>
      <c r="H346">
        <v>0.95238100000000003</v>
      </c>
      <c r="I346">
        <v>4.7619003999999999E-2</v>
      </c>
      <c r="J346">
        <v>0.51219510000000001</v>
      </c>
    </row>
    <row r="347" spans="1:10" x14ac:dyDescent="0.3">
      <c r="A347">
        <v>345</v>
      </c>
      <c r="B347">
        <v>5481</v>
      </c>
      <c r="C347" t="b">
        <v>1</v>
      </c>
      <c r="D347">
        <v>8048</v>
      </c>
      <c r="E347">
        <v>8129</v>
      </c>
      <c r="F347">
        <v>8</v>
      </c>
      <c r="G347">
        <v>8.8000000000000007</v>
      </c>
      <c r="H347">
        <v>0.90909090000000004</v>
      </c>
      <c r="I347">
        <v>9.0909110000000001E-2</v>
      </c>
      <c r="J347">
        <v>0.52380954999999996</v>
      </c>
    </row>
    <row r="348" spans="1:10" x14ac:dyDescent="0.3">
      <c r="A348">
        <v>346</v>
      </c>
      <c r="B348">
        <v>5496</v>
      </c>
      <c r="C348" t="b">
        <v>1</v>
      </c>
      <c r="D348">
        <v>8048</v>
      </c>
      <c r="E348">
        <v>8129</v>
      </c>
      <c r="F348">
        <v>8</v>
      </c>
      <c r="G348">
        <v>9.1999999999999993</v>
      </c>
      <c r="H348">
        <v>0.86956524999999996</v>
      </c>
      <c r="I348">
        <v>0.13043477000000001</v>
      </c>
      <c r="J348">
        <v>0.53488369999999996</v>
      </c>
    </row>
    <row r="349" spans="1:10" x14ac:dyDescent="0.3">
      <c r="A349">
        <v>347</v>
      </c>
      <c r="B349">
        <v>5512</v>
      </c>
      <c r="C349" t="b">
        <v>1</v>
      </c>
      <c r="D349">
        <v>8048</v>
      </c>
      <c r="E349">
        <v>8129</v>
      </c>
      <c r="F349">
        <v>8</v>
      </c>
      <c r="G349">
        <v>9.6</v>
      </c>
      <c r="H349">
        <v>0.83333330000000005</v>
      </c>
      <c r="I349">
        <v>0.1666667</v>
      </c>
      <c r="J349">
        <v>0.54545456000000003</v>
      </c>
    </row>
    <row r="350" spans="1:10" x14ac:dyDescent="0.3">
      <c r="A350">
        <v>348</v>
      </c>
      <c r="B350">
        <v>5528</v>
      </c>
      <c r="C350" t="b">
        <v>1</v>
      </c>
      <c r="D350">
        <v>8054</v>
      </c>
      <c r="E350">
        <v>8117</v>
      </c>
      <c r="F350">
        <v>8</v>
      </c>
      <c r="G350">
        <v>10</v>
      </c>
      <c r="H350">
        <v>0.8</v>
      </c>
      <c r="I350">
        <v>0.2</v>
      </c>
      <c r="J350">
        <v>0.55555560000000004</v>
      </c>
    </row>
    <row r="351" spans="1:10" x14ac:dyDescent="0.3">
      <c r="A351">
        <v>349</v>
      </c>
      <c r="B351">
        <v>5544</v>
      </c>
      <c r="C351" t="b">
        <v>1</v>
      </c>
      <c r="D351">
        <v>8048</v>
      </c>
      <c r="E351">
        <v>8123</v>
      </c>
      <c r="F351">
        <v>8</v>
      </c>
      <c r="G351">
        <v>10.4</v>
      </c>
      <c r="H351">
        <v>0.76923079999999999</v>
      </c>
      <c r="I351">
        <v>0.23076920000000001</v>
      </c>
      <c r="J351">
        <v>0.56521739999999998</v>
      </c>
    </row>
    <row r="352" spans="1:10" x14ac:dyDescent="0.3">
      <c r="A352">
        <v>350</v>
      </c>
      <c r="B352">
        <v>5560</v>
      </c>
      <c r="C352" t="b">
        <v>1</v>
      </c>
      <c r="D352">
        <v>8048</v>
      </c>
      <c r="E352">
        <v>8117</v>
      </c>
      <c r="F352">
        <v>8</v>
      </c>
      <c r="G352">
        <v>10.4</v>
      </c>
      <c r="H352">
        <v>0.76923079999999999</v>
      </c>
      <c r="I352">
        <v>0.23076920000000001</v>
      </c>
      <c r="J352">
        <v>0.56521739999999998</v>
      </c>
    </row>
    <row r="353" spans="1:10" x14ac:dyDescent="0.3">
      <c r="A353">
        <v>351</v>
      </c>
      <c r="B353">
        <v>5576</v>
      </c>
      <c r="C353" t="b">
        <v>1</v>
      </c>
      <c r="D353">
        <v>8048</v>
      </c>
      <c r="E353">
        <v>8117</v>
      </c>
      <c r="F353">
        <v>8</v>
      </c>
      <c r="G353">
        <v>10</v>
      </c>
      <c r="H353">
        <v>0.8</v>
      </c>
      <c r="I353">
        <v>0.2</v>
      </c>
      <c r="J353">
        <v>0.55555560000000004</v>
      </c>
    </row>
    <row r="354" spans="1:10" x14ac:dyDescent="0.3">
      <c r="A354">
        <v>352</v>
      </c>
      <c r="B354">
        <v>5592</v>
      </c>
      <c r="C354" t="b">
        <v>1</v>
      </c>
      <c r="D354">
        <v>8048</v>
      </c>
      <c r="E354">
        <v>8117</v>
      </c>
      <c r="F354">
        <v>8</v>
      </c>
      <c r="G354">
        <v>9.6</v>
      </c>
      <c r="H354">
        <v>0.83333330000000005</v>
      </c>
      <c r="I354">
        <v>0.1666667</v>
      </c>
      <c r="J354">
        <v>0.54545456000000003</v>
      </c>
    </row>
    <row r="355" spans="1:10" x14ac:dyDescent="0.3">
      <c r="A355">
        <v>353</v>
      </c>
      <c r="B355">
        <v>5608</v>
      </c>
      <c r="C355" t="b">
        <v>1</v>
      </c>
      <c r="D355">
        <v>8048</v>
      </c>
      <c r="E355">
        <v>8123</v>
      </c>
      <c r="F355">
        <v>8</v>
      </c>
      <c r="G355">
        <v>9.1999999999999993</v>
      </c>
      <c r="H355">
        <v>0.86956524999999996</v>
      </c>
      <c r="I355">
        <v>0.13043477000000001</v>
      </c>
      <c r="J355">
        <v>0.53488369999999996</v>
      </c>
    </row>
    <row r="356" spans="1:10" x14ac:dyDescent="0.3">
      <c r="A356">
        <v>354</v>
      </c>
      <c r="B356">
        <v>5624</v>
      </c>
      <c r="C356" t="b">
        <v>1</v>
      </c>
      <c r="D356">
        <v>8048</v>
      </c>
      <c r="E356">
        <v>8111</v>
      </c>
      <c r="F356">
        <v>8</v>
      </c>
      <c r="G356">
        <v>8.8000000000000007</v>
      </c>
      <c r="H356">
        <v>0.90909090000000004</v>
      </c>
      <c r="I356">
        <v>9.0909110000000001E-2</v>
      </c>
      <c r="J356">
        <v>0.52380954999999996</v>
      </c>
    </row>
    <row r="357" spans="1:10" x14ac:dyDescent="0.3">
      <c r="A357">
        <v>355</v>
      </c>
      <c r="B357">
        <v>5640</v>
      </c>
      <c r="C357" t="b">
        <v>1</v>
      </c>
      <c r="D357">
        <v>8054</v>
      </c>
      <c r="E357">
        <v>8123</v>
      </c>
      <c r="F357">
        <v>8</v>
      </c>
      <c r="G357">
        <v>8.4</v>
      </c>
      <c r="H357">
        <v>0.95238100000000003</v>
      </c>
      <c r="I357">
        <v>4.7619003999999999E-2</v>
      </c>
      <c r="J357">
        <v>0.51219510000000001</v>
      </c>
    </row>
    <row r="358" spans="1:10" x14ac:dyDescent="0.3">
      <c r="A358">
        <v>356</v>
      </c>
      <c r="B358">
        <v>5656</v>
      </c>
      <c r="C358" t="b">
        <v>1</v>
      </c>
      <c r="D358">
        <v>8048</v>
      </c>
      <c r="E358">
        <v>8123</v>
      </c>
      <c r="F358">
        <v>8</v>
      </c>
      <c r="G358">
        <v>8.4</v>
      </c>
      <c r="H358">
        <v>0.95238100000000003</v>
      </c>
      <c r="I358">
        <v>4.7619003999999999E-2</v>
      </c>
      <c r="J358">
        <v>0.51219510000000001</v>
      </c>
    </row>
    <row r="359" spans="1:10" x14ac:dyDescent="0.3">
      <c r="A359">
        <v>357</v>
      </c>
      <c r="B359">
        <v>5672</v>
      </c>
      <c r="C359" t="b">
        <v>1</v>
      </c>
      <c r="D359">
        <v>8048</v>
      </c>
      <c r="E359">
        <v>8123</v>
      </c>
      <c r="F359">
        <v>8</v>
      </c>
      <c r="G359">
        <v>8.4</v>
      </c>
      <c r="H359">
        <v>0.95238100000000003</v>
      </c>
      <c r="I359">
        <v>4.7619003999999999E-2</v>
      </c>
      <c r="J359">
        <v>0.51219510000000001</v>
      </c>
    </row>
    <row r="360" spans="1:10" x14ac:dyDescent="0.3">
      <c r="A360">
        <v>358</v>
      </c>
      <c r="B360">
        <v>5688</v>
      </c>
      <c r="C360" t="b">
        <v>1</v>
      </c>
      <c r="D360">
        <v>8048</v>
      </c>
      <c r="E360">
        <v>8123</v>
      </c>
      <c r="F360">
        <v>8</v>
      </c>
      <c r="G360">
        <v>8.4</v>
      </c>
      <c r="H360">
        <v>0.95238100000000003</v>
      </c>
      <c r="I360">
        <v>4.7619003999999999E-2</v>
      </c>
      <c r="J360">
        <v>0.51219510000000001</v>
      </c>
    </row>
    <row r="361" spans="1:10" x14ac:dyDescent="0.3">
      <c r="A361">
        <v>359</v>
      </c>
      <c r="B361">
        <v>5703</v>
      </c>
      <c r="C361" t="b">
        <v>1</v>
      </c>
      <c r="D361">
        <v>8048</v>
      </c>
      <c r="E361">
        <v>8117</v>
      </c>
      <c r="F361">
        <v>8</v>
      </c>
      <c r="G361">
        <v>8</v>
      </c>
      <c r="H361">
        <v>1</v>
      </c>
      <c r="I361">
        <v>0</v>
      </c>
      <c r="J361">
        <v>0.5</v>
      </c>
    </row>
    <row r="362" spans="1:10" x14ac:dyDescent="0.3">
      <c r="A362">
        <v>360</v>
      </c>
      <c r="B362">
        <v>5719</v>
      </c>
      <c r="C362" t="b">
        <v>1</v>
      </c>
      <c r="D362">
        <v>8048</v>
      </c>
      <c r="E362">
        <v>8123</v>
      </c>
      <c r="F362">
        <v>8</v>
      </c>
      <c r="G362">
        <v>7.6</v>
      </c>
      <c r="H362">
        <v>1.0526316</v>
      </c>
      <c r="I362">
        <v>-5.2631589999999999E-2</v>
      </c>
      <c r="J362">
        <v>0.48717946000000001</v>
      </c>
    </row>
    <row r="363" spans="1:10" x14ac:dyDescent="0.3">
      <c r="A363">
        <v>361</v>
      </c>
      <c r="B363">
        <v>5735</v>
      </c>
      <c r="C363" t="b">
        <v>1</v>
      </c>
      <c r="D363">
        <v>8048</v>
      </c>
      <c r="E363">
        <v>8123</v>
      </c>
      <c r="F363">
        <v>8</v>
      </c>
      <c r="G363">
        <v>7.2</v>
      </c>
      <c r="H363">
        <v>1.1111112000000001</v>
      </c>
      <c r="I363">
        <v>-0.11111114</v>
      </c>
      <c r="J363">
        <v>0.4736842</v>
      </c>
    </row>
    <row r="364" spans="1:10" x14ac:dyDescent="0.3">
      <c r="A364">
        <v>362</v>
      </c>
      <c r="B364">
        <v>5751</v>
      </c>
      <c r="C364" t="b">
        <v>1</v>
      </c>
      <c r="D364">
        <v>8048</v>
      </c>
      <c r="E364">
        <v>8123</v>
      </c>
      <c r="F364">
        <v>8</v>
      </c>
      <c r="G364">
        <v>6.8</v>
      </c>
      <c r="H364">
        <v>1.1764705</v>
      </c>
      <c r="I364">
        <v>-0.17647055</v>
      </c>
      <c r="J364">
        <v>0.45945944999999999</v>
      </c>
    </row>
    <row r="365" spans="1:10" x14ac:dyDescent="0.3">
      <c r="A365">
        <v>363</v>
      </c>
      <c r="B365">
        <v>5766</v>
      </c>
      <c r="C365" t="b">
        <v>1</v>
      </c>
      <c r="D365">
        <v>8048</v>
      </c>
      <c r="E365">
        <v>8123</v>
      </c>
      <c r="F365">
        <v>8</v>
      </c>
      <c r="G365">
        <v>6.4</v>
      </c>
      <c r="H365">
        <v>1.25</v>
      </c>
      <c r="I365">
        <v>-0.24999999000000001</v>
      </c>
      <c r="J365">
        <v>0.44444447999999998</v>
      </c>
    </row>
    <row r="366" spans="1:10" x14ac:dyDescent="0.3">
      <c r="A366">
        <v>364</v>
      </c>
      <c r="B366">
        <v>5782</v>
      </c>
      <c r="C366" t="b">
        <v>1</v>
      </c>
      <c r="D366">
        <v>8048</v>
      </c>
      <c r="E366">
        <v>8123</v>
      </c>
      <c r="F366">
        <v>8</v>
      </c>
      <c r="G366">
        <v>6</v>
      </c>
      <c r="H366">
        <v>1.3333333999999999</v>
      </c>
      <c r="I366">
        <v>-0.33333333999999998</v>
      </c>
      <c r="J366">
        <v>0.42857142999999998</v>
      </c>
    </row>
    <row r="367" spans="1:10" x14ac:dyDescent="0.3">
      <c r="A367">
        <v>365</v>
      </c>
      <c r="B367">
        <v>5798</v>
      </c>
      <c r="C367" t="b">
        <v>1</v>
      </c>
      <c r="D367">
        <v>8042</v>
      </c>
      <c r="E367">
        <v>8123</v>
      </c>
      <c r="F367">
        <v>8</v>
      </c>
      <c r="G367">
        <v>6</v>
      </c>
      <c r="H367">
        <v>1.3333333999999999</v>
      </c>
      <c r="I367">
        <v>-0.33333333999999998</v>
      </c>
      <c r="J367">
        <v>0.42857142999999998</v>
      </c>
    </row>
    <row r="368" spans="1:10" x14ac:dyDescent="0.3">
      <c r="A368">
        <v>366</v>
      </c>
      <c r="B368">
        <v>5814</v>
      </c>
      <c r="C368" t="b">
        <v>1</v>
      </c>
      <c r="D368">
        <v>8048</v>
      </c>
      <c r="E368">
        <v>8123</v>
      </c>
      <c r="F368">
        <v>8</v>
      </c>
      <c r="G368">
        <v>6.4</v>
      </c>
      <c r="H368">
        <v>1.25</v>
      </c>
      <c r="I368">
        <v>-0.24999999000000001</v>
      </c>
      <c r="J368">
        <v>0.44444447999999998</v>
      </c>
    </row>
    <row r="369" spans="1:10" x14ac:dyDescent="0.3">
      <c r="A369">
        <v>367</v>
      </c>
      <c r="B369">
        <v>5830</v>
      </c>
      <c r="C369" t="b">
        <v>1</v>
      </c>
      <c r="D369">
        <v>8048</v>
      </c>
      <c r="E369">
        <v>8123</v>
      </c>
      <c r="F369">
        <v>8</v>
      </c>
      <c r="G369">
        <v>6.8</v>
      </c>
      <c r="H369">
        <v>1.1764705</v>
      </c>
      <c r="I369">
        <v>-0.17647055</v>
      </c>
      <c r="J369">
        <v>0.45945944999999999</v>
      </c>
    </row>
    <row r="370" spans="1:10" x14ac:dyDescent="0.3">
      <c r="A370">
        <v>368</v>
      </c>
      <c r="B370">
        <v>5846</v>
      </c>
      <c r="C370" t="b">
        <v>1</v>
      </c>
      <c r="D370">
        <v>8054</v>
      </c>
      <c r="E370">
        <v>8117</v>
      </c>
      <c r="F370">
        <v>8</v>
      </c>
      <c r="G370">
        <v>7.2</v>
      </c>
      <c r="H370">
        <v>1.1111112000000001</v>
      </c>
      <c r="I370">
        <v>-0.11111114</v>
      </c>
      <c r="J370">
        <v>0.4736842</v>
      </c>
    </row>
    <row r="371" spans="1:10" x14ac:dyDescent="0.3">
      <c r="A371">
        <v>369</v>
      </c>
      <c r="B371">
        <v>5862</v>
      </c>
      <c r="C371" t="b">
        <v>1</v>
      </c>
      <c r="D371">
        <v>8048</v>
      </c>
      <c r="E371">
        <v>8123</v>
      </c>
      <c r="F371">
        <v>8</v>
      </c>
      <c r="G371">
        <v>7.6</v>
      </c>
      <c r="H371">
        <v>1.0526316</v>
      </c>
      <c r="I371">
        <v>-5.2631589999999999E-2</v>
      </c>
      <c r="J371">
        <v>0.48717946000000001</v>
      </c>
    </row>
    <row r="372" spans="1:10" x14ac:dyDescent="0.3">
      <c r="A372">
        <v>370</v>
      </c>
      <c r="B372">
        <v>5878</v>
      </c>
      <c r="C372" t="b">
        <v>1</v>
      </c>
      <c r="D372">
        <v>8048</v>
      </c>
      <c r="E372">
        <v>8117</v>
      </c>
      <c r="F372">
        <v>8</v>
      </c>
      <c r="G372">
        <v>8</v>
      </c>
      <c r="H372">
        <v>1</v>
      </c>
      <c r="I372">
        <v>0</v>
      </c>
      <c r="J372">
        <v>0.5</v>
      </c>
    </row>
    <row r="373" spans="1:10" x14ac:dyDescent="0.3">
      <c r="A373">
        <v>371</v>
      </c>
      <c r="B373">
        <v>5894</v>
      </c>
      <c r="C373" t="b">
        <v>1</v>
      </c>
      <c r="D373">
        <v>8048</v>
      </c>
      <c r="E373">
        <v>8117</v>
      </c>
      <c r="F373">
        <v>8</v>
      </c>
      <c r="G373">
        <v>7.6</v>
      </c>
      <c r="H373">
        <v>1.0526316</v>
      </c>
      <c r="I373">
        <v>-5.2631589999999999E-2</v>
      </c>
      <c r="J373">
        <v>0.48717946000000001</v>
      </c>
    </row>
    <row r="374" spans="1:10" x14ac:dyDescent="0.3">
      <c r="A374">
        <v>372</v>
      </c>
      <c r="B374">
        <v>5910</v>
      </c>
      <c r="C374" t="b">
        <v>1</v>
      </c>
      <c r="D374">
        <v>8048</v>
      </c>
      <c r="E374">
        <v>8123</v>
      </c>
      <c r="F374">
        <v>8</v>
      </c>
      <c r="G374">
        <v>7.2</v>
      </c>
      <c r="H374">
        <v>1.1111112000000001</v>
      </c>
      <c r="I374">
        <v>-0.11111114</v>
      </c>
      <c r="J374">
        <v>0.4736842</v>
      </c>
    </row>
    <row r="375" spans="1:10" x14ac:dyDescent="0.3">
      <c r="A375">
        <v>373</v>
      </c>
      <c r="B375">
        <v>5926</v>
      </c>
      <c r="C375" t="b">
        <v>1</v>
      </c>
      <c r="D375">
        <v>8048</v>
      </c>
      <c r="E375">
        <v>8117</v>
      </c>
      <c r="F375">
        <v>8</v>
      </c>
      <c r="G375">
        <v>6.8</v>
      </c>
      <c r="H375">
        <v>1.1764705</v>
      </c>
      <c r="I375">
        <v>-0.17647055</v>
      </c>
      <c r="J375">
        <v>0.45945944999999999</v>
      </c>
    </row>
    <row r="376" spans="1:10" x14ac:dyDescent="0.3">
      <c r="A376">
        <v>374</v>
      </c>
      <c r="B376">
        <v>5942</v>
      </c>
      <c r="C376" t="b">
        <v>1</v>
      </c>
      <c r="D376">
        <v>8048</v>
      </c>
      <c r="E376">
        <v>8123</v>
      </c>
      <c r="F376">
        <v>8</v>
      </c>
      <c r="G376">
        <v>6.4</v>
      </c>
      <c r="H376">
        <v>1.25</v>
      </c>
      <c r="I376">
        <v>-0.24999999000000001</v>
      </c>
      <c r="J376">
        <v>0.44444447999999998</v>
      </c>
    </row>
    <row r="377" spans="1:10" x14ac:dyDescent="0.3">
      <c r="A377">
        <v>375</v>
      </c>
      <c r="B377">
        <v>5957</v>
      </c>
      <c r="C377" t="b">
        <v>1</v>
      </c>
      <c r="D377">
        <v>8048</v>
      </c>
      <c r="E377">
        <v>8117</v>
      </c>
      <c r="F377">
        <v>8</v>
      </c>
      <c r="G377">
        <v>6</v>
      </c>
      <c r="H377">
        <v>1.3333333999999999</v>
      </c>
      <c r="I377">
        <v>-0.33333333999999998</v>
      </c>
      <c r="J377">
        <v>0.42857142999999998</v>
      </c>
    </row>
    <row r="378" spans="1:10" x14ac:dyDescent="0.3">
      <c r="A378">
        <v>376</v>
      </c>
      <c r="B378">
        <v>5973</v>
      </c>
      <c r="C378" t="b">
        <v>1</v>
      </c>
      <c r="D378">
        <v>8048</v>
      </c>
      <c r="E378">
        <v>8117</v>
      </c>
      <c r="F378">
        <v>8</v>
      </c>
      <c r="G378">
        <v>5.6</v>
      </c>
      <c r="H378">
        <v>1.4285715000000001</v>
      </c>
      <c r="I378">
        <v>-0.42857146000000002</v>
      </c>
      <c r="J378">
        <v>0.41176467999999999</v>
      </c>
    </row>
    <row r="379" spans="1:10" x14ac:dyDescent="0.3">
      <c r="A379">
        <v>377</v>
      </c>
      <c r="B379">
        <v>5989</v>
      </c>
      <c r="C379" t="b">
        <v>1</v>
      </c>
      <c r="D379">
        <v>8048</v>
      </c>
      <c r="E379">
        <v>8117</v>
      </c>
      <c r="F379">
        <v>8</v>
      </c>
      <c r="G379">
        <v>5.2</v>
      </c>
      <c r="H379">
        <v>1.5384616</v>
      </c>
      <c r="I379">
        <v>-0.53846156999999994</v>
      </c>
      <c r="J379">
        <v>0.39393938000000001</v>
      </c>
    </row>
    <row r="380" spans="1:10" x14ac:dyDescent="0.3">
      <c r="A380">
        <v>378</v>
      </c>
      <c r="B380">
        <v>6005</v>
      </c>
      <c r="C380" t="b">
        <v>1</v>
      </c>
      <c r="D380">
        <v>8048</v>
      </c>
      <c r="E380">
        <v>8123</v>
      </c>
      <c r="F380">
        <v>8</v>
      </c>
      <c r="G380">
        <v>4.8</v>
      </c>
      <c r="H380">
        <v>1.6666666000000001</v>
      </c>
      <c r="I380">
        <v>-0.6666666</v>
      </c>
      <c r="J380">
        <v>0.375</v>
      </c>
    </row>
    <row r="381" spans="1:10" x14ac:dyDescent="0.3">
      <c r="A381">
        <v>379</v>
      </c>
      <c r="B381">
        <v>6021</v>
      </c>
      <c r="C381" t="b">
        <v>1</v>
      </c>
      <c r="D381">
        <v>8048</v>
      </c>
      <c r="E381">
        <v>8123</v>
      </c>
      <c r="F381">
        <v>8</v>
      </c>
      <c r="G381">
        <v>4.4000000000000004</v>
      </c>
      <c r="H381">
        <v>1.8181818000000001</v>
      </c>
      <c r="I381">
        <v>-0.81818175000000004</v>
      </c>
      <c r="J381">
        <v>0.35483872999999999</v>
      </c>
    </row>
    <row r="382" spans="1:10" x14ac:dyDescent="0.3">
      <c r="A382">
        <v>380</v>
      </c>
      <c r="B382">
        <v>6037</v>
      </c>
      <c r="C382" t="b">
        <v>1</v>
      </c>
      <c r="D382">
        <v>8048</v>
      </c>
      <c r="E382">
        <v>8123</v>
      </c>
      <c r="F382">
        <v>8</v>
      </c>
      <c r="G382">
        <v>4.4000000000000004</v>
      </c>
      <c r="H382">
        <v>1.8181818000000001</v>
      </c>
      <c r="I382">
        <v>-0.81818175000000004</v>
      </c>
      <c r="J382">
        <v>0.35483872999999999</v>
      </c>
    </row>
    <row r="383" spans="1:10" x14ac:dyDescent="0.3">
      <c r="A383">
        <v>381</v>
      </c>
      <c r="B383">
        <v>6053</v>
      </c>
      <c r="C383" t="b">
        <v>1</v>
      </c>
      <c r="D383">
        <v>8048</v>
      </c>
      <c r="E383">
        <v>8117</v>
      </c>
      <c r="F383">
        <v>8</v>
      </c>
      <c r="G383">
        <v>4.4000000000000004</v>
      </c>
      <c r="H383">
        <v>1.8181818000000001</v>
      </c>
      <c r="I383">
        <v>-0.81818175000000004</v>
      </c>
      <c r="J383">
        <v>0.35483872999999999</v>
      </c>
    </row>
    <row r="384" spans="1:10" x14ac:dyDescent="0.3">
      <c r="A384">
        <v>382</v>
      </c>
      <c r="B384">
        <v>6068</v>
      </c>
      <c r="C384" t="b">
        <v>1</v>
      </c>
      <c r="D384">
        <v>8048</v>
      </c>
      <c r="E384">
        <v>8123</v>
      </c>
      <c r="F384">
        <v>8</v>
      </c>
      <c r="G384">
        <v>4.4000000000000004</v>
      </c>
      <c r="H384">
        <v>1.8181818000000001</v>
      </c>
      <c r="I384">
        <v>-0.81818175000000004</v>
      </c>
      <c r="J384">
        <v>0.35483872999999999</v>
      </c>
    </row>
    <row r="385" spans="1:10" x14ac:dyDescent="0.3">
      <c r="A385">
        <v>383</v>
      </c>
      <c r="B385">
        <v>6084</v>
      </c>
      <c r="C385" t="b">
        <v>1</v>
      </c>
      <c r="D385">
        <v>8048</v>
      </c>
      <c r="E385">
        <v>8117</v>
      </c>
      <c r="F385">
        <v>8</v>
      </c>
      <c r="G385">
        <v>4.4000000000000004</v>
      </c>
      <c r="H385">
        <v>1.8181818000000001</v>
      </c>
      <c r="I385">
        <v>-0.81818175000000004</v>
      </c>
      <c r="J385">
        <v>0.35483872999999999</v>
      </c>
    </row>
    <row r="386" spans="1:10" x14ac:dyDescent="0.3">
      <c r="A386">
        <v>384</v>
      </c>
      <c r="B386">
        <v>6100</v>
      </c>
      <c r="C386" t="b">
        <v>1</v>
      </c>
      <c r="D386">
        <v>8048</v>
      </c>
      <c r="E386">
        <v>8123</v>
      </c>
      <c r="F386">
        <v>8</v>
      </c>
      <c r="G386">
        <v>4.4000000000000004</v>
      </c>
      <c r="H386">
        <v>1.8181818000000001</v>
      </c>
      <c r="I386">
        <v>-0.81818175000000004</v>
      </c>
      <c r="J386">
        <v>0.35483872999999999</v>
      </c>
    </row>
    <row r="387" spans="1:10" x14ac:dyDescent="0.3">
      <c r="A387">
        <v>385</v>
      </c>
      <c r="B387">
        <v>6116</v>
      </c>
      <c r="C387" t="b">
        <v>1</v>
      </c>
      <c r="D387">
        <v>8048</v>
      </c>
      <c r="E387">
        <v>8117</v>
      </c>
      <c r="F387">
        <v>8</v>
      </c>
      <c r="G387">
        <v>4</v>
      </c>
      <c r="H387">
        <v>2</v>
      </c>
      <c r="I387">
        <v>-1</v>
      </c>
      <c r="J387">
        <v>0.33333333999999998</v>
      </c>
    </row>
    <row r="388" spans="1:10" x14ac:dyDescent="0.3">
      <c r="A388">
        <v>386</v>
      </c>
      <c r="B388">
        <v>6131</v>
      </c>
      <c r="C388" t="b">
        <v>1</v>
      </c>
      <c r="D388">
        <v>8054</v>
      </c>
      <c r="E388">
        <v>8123</v>
      </c>
      <c r="F388">
        <v>8</v>
      </c>
      <c r="G388">
        <v>4.4000000000000004</v>
      </c>
      <c r="H388">
        <v>1.8181818000000001</v>
      </c>
      <c r="I388">
        <v>-0.81818175000000004</v>
      </c>
      <c r="J388">
        <v>0.35483872999999999</v>
      </c>
    </row>
    <row r="389" spans="1:10" x14ac:dyDescent="0.3">
      <c r="A389">
        <v>387</v>
      </c>
      <c r="B389">
        <v>6147</v>
      </c>
      <c r="C389" t="b">
        <v>1</v>
      </c>
      <c r="D389">
        <v>8048</v>
      </c>
      <c r="E389">
        <v>8123</v>
      </c>
      <c r="F389">
        <v>8</v>
      </c>
      <c r="G389">
        <v>4.8</v>
      </c>
      <c r="H389">
        <v>1.6666666000000001</v>
      </c>
      <c r="I389">
        <v>-0.6666666</v>
      </c>
      <c r="J389">
        <v>0.375</v>
      </c>
    </row>
    <row r="390" spans="1:10" x14ac:dyDescent="0.3">
      <c r="A390">
        <v>388</v>
      </c>
      <c r="B390">
        <v>6163</v>
      </c>
      <c r="C390" t="b">
        <v>1</v>
      </c>
      <c r="D390">
        <v>8048</v>
      </c>
      <c r="E390">
        <v>8123</v>
      </c>
      <c r="F390">
        <v>8</v>
      </c>
      <c r="G390">
        <v>5.2</v>
      </c>
      <c r="H390">
        <v>1.5384616</v>
      </c>
      <c r="I390">
        <v>-0.53846156999999994</v>
      </c>
      <c r="J390">
        <v>0.39393938000000001</v>
      </c>
    </row>
    <row r="391" spans="1:10" x14ac:dyDescent="0.3">
      <c r="A391">
        <v>389</v>
      </c>
      <c r="B391">
        <v>6179</v>
      </c>
      <c r="C391" t="b">
        <v>1</v>
      </c>
      <c r="D391">
        <v>8048</v>
      </c>
      <c r="E391">
        <v>8123</v>
      </c>
      <c r="F391">
        <v>8</v>
      </c>
      <c r="G391">
        <v>5.6</v>
      </c>
      <c r="H391">
        <v>1.4285715000000001</v>
      </c>
      <c r="I391">
        <v>-0.42857146000000002</v>
      </c>
      <c r="J391">
        <v>0.41176467999999999</v>
      </c>
    </row>
    <row r="392" spans="1:10" x14ac:dyDescent="0.3">
      <c r="A392">
        <v>390</v>
      </c>
      <c r="B392">
        <v>6195</v>
      </c>
      <c r="C392" t="b">
        <v>1</v>
      </c>
      <c r="D392">
        <v>8048</v>
      </c>
      <c r="E392">
        <v>8123</v>
      </c>
      <c r="F392">
        <v>8</v>
      </c>
      <c r="G392">
        <v>6</v>
      </c>
      <c r="H392">
        <v>1.3333333999999999</v>
      </c>
      <c r="I392">
        <v>-0.33333333999999998</v>
      </c>
      <c r="J392">
        <v>0.42857142999999998</v>
      </c>
    </row>
    <row r="393" spans="1:10" x14ac:dyDescent="0.3">
      <c r="A393">
        <v>391</v>
      </c>
      <c r="B393">
        <v>6211</v>
      </c>
      <c r="C393" t="b">
        <v>1</v>
      </c>
      <c r="D393">
        <v>8048</v>
      </c>
      <c r="E393">
        <v>8123</v>
      </c>
      <c r="F393">
        <v>8</v>
      </c>
      <c r="G393">
        <v>6.4</v>
      </c>
      <c r="H393">
        <v>1.25</v>
      </c>
      <c r="I393">
        <v>-0.24999999000000001</v>
      </c>
      <c r="J393">
        <v>0.44444447999999998</v>
      </c>
    </row>
    <row r="394" spans="1:10" x14ac:dyDescent="0.3">
      <c r="A394">
        <v>392</v>
      </c>
      <c r="B394">
        <v>6227</v>
      </c>
      <c r="C394" t="b">
        <v>1</v>
      </c>
      <c r="D394">
        <v>8048</v>
      </c>
      <c r="E394">
        <v>8123</v>
      </c>
      <c r="F394">
        <v>8</v>
      </c>
      <c r="G394">
        <v>6.8</v>
      </c>
      <c r="H394">
        <v>1.1764705</v>
      </c>
      <c r="I394">
        <v>-0.17647055</v>
      </c>
      <c r="J394">
        <v>0.45945944999999999</v>
      </c>
    </row>
    <row r="395" spans="1:10" x14ac:dyDescent="0.3">
      <c r="A395">
        <v>393</v>
      </c>
      <c r="B395">
        <v>6243</v>
      </c>
      <c r="C395" t="b">
        <v>1</v>
      </c>
      <c r="D395">
        <v>8048</v>
      </c>
      <c r="E395">
        <v>8123</v>
      </c>
      <c r="F395">
        <v>8</v>
      </c>
      <c r="G395">
        <v>7.2</v>
      </c>
      <c r="H395">
        <v>1.1111112000000001</v>
      </c>
      <c r="I395">
        <v>-0.11111114</v>
      </c>
      <c r="J395">
        <v>0.4736842</v>
      </c>
    </row>
    <row r="396" spans="1:10" x14ac:dyDescent="0.3">
      <c r="A396">
        <v>394</v>
      </c>
      <c r="B396">
        <v>6261</v>
      </c>
      <c r="C396" t="b">
        <v>1</v>
      </c>
      <c r="D396">
        <v>8048</v>
      </c>
      <c r="E396">
        <v>8123</v>
      </c>
      <c r="F396">
        <v>8</v>
      </c>
      <c r="G396">
        <v>7.6</v>
      </c>
      <c r="H396">
        <v>1.0526316</v>
      </c>
      <c r="I396">
        <v>-5.2631589999999999E-2</v>
      </c>
      <c r="J396">
        <v>0.48717946000000001</v>
      </c>
    </row>
    <row r="397" spans="1:10" x14ac:dyDescent="0.3">
      <c r="A397">
        <v>395</v>
      </c>
      <c r="B397">
        <v>6277</v>
      </c>
      <c r="C397" t="b">
        <v>1</v>
      </c>
      <c r="D397">
        <v>8048</v>
      </c>
      <c r="E397">
        <v>8123</v>
      </c>
      <c r="F397">
        <v>8</v>
      </c>
      <c r="G397">
        <v>7.6</v>
      </c>
      <c r="H397">
        <v>1.0526316</v>
      </c>
      <c r="I397">
        <v>-5.2631589999999999E-2</v>
      </c>
      <c r="J397">
        <v>0.48717946000000001</v>
      </c>
    </row>
    <row r="398" spans="1:10" x14ac:dyDescent="0.3">
      <c r="A398">
        <v>396</v>
      </c>
      <c r="B398">
        <v>6293</v>
      </c>
      <c r="C398" t="b">
        <v>1</v>
      </c>
      <c r="D398">
        <v>8048</v>
      </c>
      <c r="E398">
        <v>8123</v>
      </c>
      <c r="F398">
        <v>8</v>
      </c>
      <c r="G398">
        <v>7.6</v>
      </c>
      <c r="H398">
        <v>1.0526316</v>
      </c>
      <c r="I398">
        <v>-5.2631589999999999E-2</v>
      </c>
      <c r="J398">
        <v>0.48717946000000001</v>
      </c>
    </row>
    <row r="399" spans="1:10" x14ac:dyDescent="0.3">
      <c r="A399">
        <v>397</v>
      </c>
      <c r="B399">
        <v>6309</v>
      </c>
      <c r="C399" t="b">
        <v>1</v>
      </c>
      <c r="D399">
        <v>8054</v>
      </c>
      <c r="E399">
        <v>8129</v>
      </c>
      <c r="F399">
        <v>8</v>
      </c>
      <c r="G399">
        <v>7.6</v>
      </c>
      <c r="H399">
        <v>1.0526316</v>
      </c>
      <c r="I399">
        <v>-5.2631589999999999E-2</v>
      </c>
      <c r="J399">
        <v>0.48717946000000001</v>
      </c>
    </row>
    <row r="400" spans="1:10" x14ac:dyDescent="0.3">
      <c r="A400">
        <v>398</v>
      </c>
      <c r="B400">
        <v>6325</v>
      </c>
      <c r="C400" t="b">
        <v>1</v>
      </c>
      <c r="D400">
        <v>8048</v>
      </c>
      <c r="E400">
        <v>8123</v>
      </c>
      <c r="F400">
        <v>8</v>
      </c>
      <c r="G400">
        <v>7.6</v>
      </c>
      <c r="H400">
        <v>1.0526316</v>
      </c>
      <c r="I400">
        <v>-5.2631589999999999E-2</v>
      </c>
      <c r="J400">
        <v>0.48717946000000001</v>
      </c>
    </row>
    <row r="401" spans="1:10" x14ac:dyDescent="0.3">
      <c r="A401">
        <v>399</v>
      </c>
      <c r="B401">
        <v>6341</v>
      </c>
      <c r="C401" t="b">
        <v>1</v>
      </c>
      <c r="D401">
        <v>8048</v>
      </c>
      <c r="E401">
        <v>8123</v>
      </c>
      <c r="F401">
        <v>8</v>
      </c>
      <c r="G401">
        <v>7.6</v>
      </c>
      <c r="H401">
        <v>1.0526316</v>
      </c>
      <c r="I401">
        <v>-5.2631589999999999E-2</v>
      </c>
      <c r="J401">
        <v>0.48717946000000001</v>
      </c>
    </row>
    <row r="402" spans="1:10" x14ac:dyDescent="0.3">
      <c r="A402">
        <v>400</v>
      </c>
      <c r="B402">
        <v>6357</v>
      </c>
      <c r="C402" t="b">
        <v>1</v>
      </c>
      <c r="D402">
        <v>8042</v>
      </c>
      <c r="E402">
        <v>8117</v>
      </c>
      <c r="F402">
        <v>8</v>
      </c>
      <c r="G402">
        <v>8</v>
      </c>
      <c r="H402">
        <v>1</v>
      </c>
      <c r="I402">
        <v>0</v>
      </c>
      <c r="J402">
        <v>0.5</v>
      </c>
    </row>
    <row r="403" spans="1:10" x14ac:dyDescent="0.3">
      <c r="A403">
        <v>401</v>
      </c>
      <c r="B403">
        <v>6372</v>
      </c>
      <c r="C403" t="b">
        <v>1</v>
      </c>
      <c r="D403">
        <v>8042</v>
      </c>
      <c r="E403">
        <v>8129</v>
      </c>
      <c r="F403">
        <v>8</v>
      </c>
      <c r="G403">
        <v>8</v>
      </c>
      <c r="H403">
        <v>1</v>
      </c>
      <c r="I403">
        <v>0</v>
      </c>
      <c r="J403">
        <v>0.5</v>
      </c>
    </row>
    <row r="404" spans="1:10" x14ac:dyDescent="0.3">
      <c r="A404">
        <v>402</v>
      </c>
      <c r="B404">
        <v>6388</v>
      </c>
      <c r="C404" t="b">
        <v>1</v>
      </c>
      <c r="D404">
        <v>8042</v>
      </c>
      <c r="E404">
        <v>8123</v>
      </c>
      <c r="F404">
        <v>7.6</v>
      </c>
      <c r="G404">
        <v>8</v>
      </c>
      <c r="H404">
        <v>0.95</v>
      </c>
      <c r="I404">
        <v>5.0000012000000003E-2</v>
      </c>
      <c r="J404">
        <v>0.51282050000000001</v>
      </c>
    </row>
    <row r="405" spans="1:10" x14ac:dyDescent="0.3">
      <c r="A405">
        <v>403</v>
      </c>
      <c r="B405">
        <v>6404</v>
      </c>
      <c r="C405" t="b">
        <v>1</v>
      </c>
      <c r="D405">
        <v>8042</v>
      </c>
      <c r="E405">
        <v>8123</v>
      </c>
      <c r="F405">
        <v>7.2</v>
      </c>
      <c r="G405">
        <v>8</v>
      </c>
      <c r="H405">
        <v>0.9</v>
      </c>
      <c r="I405">
        <v>0.10000002400000001</v>
      </c>
      <c r="J405">
        <v>0.5263158</v>
      </c>
    </row>
    <row r="406" spans="1:10" x14ac:dyDescent="0.3">
      <c r="A406">
        <v>404</v>
      </c>
      <c r="B406">
        <v>6420</v>
      </c>
      <c r="C406" t="b">
        <v>1</v>
      </c>
      <c r="D406">
        <v>8042</v>
      </c>
      <c r="E406">
        <v>8117</v>
      </c>
      <c r="F406">
        <v>6.8</v>
      </c>
      <c r="G406">
        <v>8</v>
      </c>
      <c r="H406">
        <v>0.85</v>
      </c>
      <c r="I406">
        <v>0.14999998</v>
      </c>
      <c r="J406">
        <v>0.54054049999999998</v>
      </c>
    </row>
    <row r="407" spans="1:10" x14ac:dyDescent="0.3">
      <c r="A407">
        <v>405</v>
      </c>
      <c r="B407">
        <v>6436</v>
      </c>
      <c r="C407" t="b">
        <v>1</v>
      </c>
      <c r="D407">
        <v>8042</v>
      </c>
      <c r="E407">
        <v>8117</v>
      </c>
      <c r="F407">
        <v>6.4</v>
      </c>
      <c r="G407">
        <v>8</v>
      </c>
      <c r="H407">
        <v>0.8</v>
      </c>
      <c r="I407">
        <v>0.19999998999999999</v>
      </c>
      <c r="J407">
        <v>0.55555560000000004</v>
      </c>
    </row>
    <row r="408" spans="1:10" x14ac:dyDescent="0.3">
      <c r="A408">
        <v>406</v>
      </c>
      <c r="B408">
        <v>6452</v>
      </c>
      <c r="C408" t="b">
        <v>1</v>
      </c>
      <c r="D408">
        <v>8048</v>
      </c>
      <c r="E408">
        <v>8117</v>
      </c>
      <c r="F408">
        <v>6</v>
      </c>
      <c r="G408">
        <v>7.6</v>
      </c>
      <c r="H408">
        <v>0.78947369999999994</v>
      </c>
      <c r="I408">
        <v>0.2105263</v>
      </c>
      <c r="J408">
        <v>0.55882350000000003</v>
      </c>
    </row>
    <row r="409" spans="1:10" x14ac:dyDescent="0.3">
      <c r="A409">
        <v>407</v>
      </c>
      <c r="B409">
        <v>6467</v>
      </c>
      <c r="C409" t="b">
        <v>1</v>
      </c>
      <c r="D409">
        <v>8048</v>
      </c>
      <c r="E409">
        <v>8117</v>
      </c>
      <c r="F409">
        <v>5.6</v>
      </c>
      <c r="G409">
        <v>7.2</v>
      </c>
      <c r="H409">
        <v>0.77777779999999996</v>
      </c>
      <c r="I409">
        <v>0.22222221</v>
      </c>
      <c r="J409">
        <v>0.5625</v>
      </c>
    </row>
    <row r="410" spans="1:10" x14ac:dyDescent="0.3">
      <c r="A410">
        <v>408</v>
      </c>
      <c r="B410">
        <v>6484</v>
      </c>
      <c r="C410" t="b">
        <v>1</v>
      </c>
      <c r="D410">
        <v>8048</v>
      </c>
      <c r="E410">
        <v>8117</v>
      </c>
      <c r="F410">
        <v>5.6</v>
      </c>
      <c r="G410">
        <v>6.8</v>
      </c>
      <c r="H410">
        <v>0.82352935999999999</v>
      </c>
      <c r="I410">
        <v>0.17647061999999999</v>
      </c>
      <c r="J410">
        <v>0.54838710000000002</v>
      </c>
    </row>
    <row r="411" spans="1:10" x14ac:dyDescent="0.3">
      <c r="A411">
        <v>409</v>
      </c>
      <c r="B411">
        <v>6499</v>
      </c>
      <c r="C411" t="b">
        <v>1</v>
      </c>
      <c r="D411">
        <v>8048</v>
      </c>
      <c r="E411">
        <v>8117</v>
      </c>
      <c r="F411">
        <v>5.6</v>
      </c>
      <c r="G411">
        <v>6.4</v>
      </c>
      <c r="H411">
        <v>0.875</v>
      </c>
      <c r="I411">
        <v>0.12500003000000001</v>
      </c>
      <c r="J411">
        <v>0.53333335999999998</v>
      </c>
    </row>
    <row r="412" spans="1:10" x14ac:dyDescent="0.3">
      <c r="A412">
        <v>410</v>
      </c>
      <c r="B412">
        <v>6515</v>
      </c>
      <c r="C412" t="b">
        <v>1</v>
      </c>
      <c r="D412">
        <v>8048</v>
      </c>
      <c r="E412">
        <v>8123</v>
      </c>
      <c r="F412">
        <v>5.6</v>
      </c>
      <c r="G412">
        <v>6</v>
      </c>
      <c r="H412">
        <v>0.93333334000000001</v>
      </c>
      <c r="I412">
        <v>6.6666685000000003E-2</v>
      </c>
      <c r="J412">
        <v>0.51724135999999998</v>
      </c>
    </row>
    <row r="413" spans="1:10" x14ac:dyDescent="0.3">
      <c r="A413">
        <v>411</v>
      </c>
      <c r="B413">
        <v>6531</v>
      </c>
      <c r="C413" t="b">
        <v>1</v>
      </c>
      <c r="D413">
        <v>8054</v>
      </c>
      <c r="E413">
        <v>8123</v>
      </c>
      <c r="F413">
        <v>5.6</v>
      </c>
      <c r="G413">
        <v>5.6</v>
      </c>
      <c r="H413">
        <v>1</v>
      </c>
      <c r="I413">
        <v>0</v>
      </c>
      <c r="J413">
        <v>0.5</v>
      </c>
    </row>
    <row r="414" spans="1:10" x14ac:dyDescent="0.3">
      <c r="A414">
        <v>412</v>
      </c>
      <c r="B414">
        <v>6546</v>
      </c>
      <c r="C414" t="b">
        <v>1</v>
      </c>
      <c r="D414">
        <v>8048</v>
      </c>
      <c r="E414">
        <v>8117</v>
      </c>
      <c r="F414">
        <v>5.6</v>
      </c>
      <c r="G414">
        <v>5.2</v>
      </c>
      <c r="H414">
        <v>1.0769230999999999</v>
      </c>
      <c r="I414">
        <v>-7.6923094999999997E-2</v>
      </c>
      <c r="J414">
        <v>0.48148150000000001</v>
      </c>
    </row>
    <row r="415" spans="1:10" x14ac:dyDescent="0.3">
      <c r="A415">
        <v>413</v>
      </c>
      <c r="B415">
        <v>6562</v>
      </c>
      <c r="C415" t="b">
        <v>1</v>
      </c>
      <c r="D415">
        <v>8048</v>
      </c>
      <c r="E415">
        <v>8123</v>
      </c>
      <c r="F415">
        <v>5.6</v>
      </c>
      <c r="G415">
        <v>5.2</v>
      </c>
      <c r="H415">
        <v>1.0769230999999999</v>
      </c>
      <c r="I415">
        <v>-7.6923094999999997E-2</v>
      </c>
      <c r="J415">
        <v>0.48148150000000001</v>
      </c>
    </row>
    <row r="416" spans="1:10" x14ac:dyDescent="0.3">
      <c r="A416">
        <v>414</v>
      </c>
      <c r="B416">
        <v>6578</v>
      </c>
      <c r="C416" t="b">
        <v>1</v>
      </c>
      <c r="D416">
        <v>8048</v>
      </c>
      <c r="E416">
        <v>8123</v>
      </c>
      <c r="F416">
        <v>5.6</v>
      </c>
      <c r="G416">
        <v>5.2</v>
      </c>
      <c r="H416">
        <v>1.0769230999999999</v>
      </c>
      <c r="I416">
        <v>-7.6923094999999997E-2</v>
      </c>
      <c r="J416">
        <v>0.48148150000000001</v>
      </c>
    </row>
    <row r="417" spans="1:10" x14ac:dyDescent="0.3">
      <c r="A417">
        <v>415</v>
      </c>
      <c r="B417">
        <v>6594</v>
      </c>
      <c r="C417" t="b">
        <v>1</v>
      </c>
      <c r="D417">
        <v>8048</v>
      </c>
      <c r="E417">
        <v>8123</v>
      </c>
      <c r="F417">
        <v>5.6</v>
      </c>
      <c r="G417">
        <v>5.2</v>
      </c>
      <c r="H417">
        <v>1.0769230999999999</v>
      </c>
      <c r="I417">
        <v>-7.6923094999999997E-2</v>
      </c>
      <c r="J417">
        <v>0.48148150000000001</v>
      </c>
    </row>
    <row r="418" spans="1:10" x14ac:dyDescent="0.3">
      <c r="A418">
        <v>416</v>
      </c>
      <c r="B418">
        <v>6610</v>
      </c>
      <c r="C418" t="b">
        <v>1</v>
      </c>
      <c r="D418">
        <v>8042</v>
      </c>
      <c r="E418">
        <v>8123</v>
      </c>
      <c r="F418">
        <v>5.6</v>
      </c>
      <c r="G418">
        <v>5.2</v>
      </c>
      <c r="H418">
        <v>1.0769230999999999</v>
      </c>
      <c r="I418">
        <v>-7.6923094999999997E-2</v>
      </c>
      <c r="J418">
        <v>0.48148150000000001</v>
      </c>
    </row>
    <row r="419" spans="1:10" x14ac:dyDescent="0.3">
      <c r="A419">
        <v>417</v>
      </c>
      <c r="B419">
        <v>6626</v>
      </c>
      <c r="C419" t="b">
        <v>1</v>
      </c>
      <c r="D419">
        <v>8048</v>
      </c>
      <c r="E419">
        <v>8129</v>
      </c>
      <c r="F419">
        <v>6</v>
      </c>
      <c r="G419">
        <v>5.2</v>
      </c>
      <c r="H419">
        <v>1.1538461</v>
      </c>
      <c r="I419">
        <v>-0.15384618999999999</v>
      </c>
      <c r="J419">
        <v>0.46428570000000002</v>
      </c>
    </row>
    <row r="420" spans="1:10" x14ac:dyDescent="0.3">
      <c r="A420">
        <v>418</v>
      </c>
      <c r="B420">
        <v>6642</v>
      </c>
      <c r="C420" t="b">
        <v>1</v>
      </c>
      <c r="D420">
        <v>8054</v>
      </c>
      <c r="E420">
        <v>8117</v>
      </c>
      <c r="F420">
        <v>6.4</v>
      </c>
      <c r="G420">
        <v>5.2</v>
      </c>
      <c r="H420">
        <v>1.2307693</v>
      </c>
      <c r="I420">
        <v>-0.23076928999999999</v>
      </c>
      <c r="J420">
        <v>0.44827582999999999</v>
      </c>
    </row>
    <row r="421" spans="1:10" x14ac:dyDescent="0.3">
      <c r="A421">
        <v>419</v>
      </c>
      <c r="B421">
        <v>6658</v>
      </c>
      <c r="C421" t="b">
        <v>1</v>
      </c>
      <c r="D421">
        <v>8054</v>
      </c>
      <c r="E421">
        <v>8123</v>
      </c>
      <c r="F421">
        <v>6.8</v>
      </c>
      <c r="G421">
        <v>5.2</v>
      </c>
      <c r="H421">
        <v>1.3076924000000001</v>
      </c>
      <c r="I421">
        <v>-0.30769237999999999</v>
      </c>
      <c r="J421">
        <v>0.43333329999999998</v>
      </c>
    </row>
    <row r="422" spans="1:10" x14ac:dyDescent="0.3">
      <c r="A422">
        <v>420</v>
      </c>
      <c r="B422">
        <v>6674</v>
      </c>
      <c r="C422" t="b">
        <v>1</v>
      </c>
      <c r="D422">
        <v>8054</v>
      </c>
      <c r="E422">
        <v>8123</v>
      </c>
      <c r="F422">
        <v>7.6</v>
      </c>
      <c r="G422">
        <v>5.2</v>
      </c>
      <c r="H422">
        <v>1.4615385999999999</v>
      </c>
      <c r="I422">
        <v>-0.46153850000000002</v>
      </c>
      <c r="J422">
        <v>0.40625</v>
      </c>
    </row>
    <row r="423" spans="1:10" x14ac:dyDescent="0.3">
      <c r="A423">
        <v>421</v>
      </c>
      <c r="B423">
        <v>6690</v>
      </c>
      <c r="C423" t="b">
        <v>1</v>
      </c>
      <c r="D423">
        <v>8054</v>
      </c>
      <c r="E423">
        <v>8117</v>
      </c>
      <c r="F423">
        <v>8.4</v>
      </c>
      <c r="G423">
        <v>5.6</v>
      </c>
      <c r="H423">
        <v>1.5</v>
      </c>
      <c r="I423">
        <v>-0.49999997000000002</v>
      </c>
      <c r="J423">
        <v>0.4</v>
      </c>
    </row>
    <row r="424" spans="1:10" x14ac:dyDescent="0.3">
      <c r="A424">
        <v>422</v>
      </c>
      <c r="B424">
        <v>6706</v>
      </c>
      <c r="C424" t="b">
        <v>1</v>
      </c>
      <c r="D424">
        <v>8054</v>
      </c>
      <c r="E424">
        <v>8123</v>
      </c>
      <c r="F424">
        <v>9.1999999999999993</v>
      </c>
      <c r="G424">
        <v>6</v>
      </c>
      <c r="H424">
        <v>1.5333333</v>
      </c>
      <c r="I424">
        <v>-0.53333330000000001</v>
      </c>
      <c r="J424">
        <v>0.39473686000000002</v>
      </c>
    </row>
    <row r="425" spans="1:10" x14ac:dyDescent="0.3">
      <c r="A425">
        <v>423</v>
      </c>
      <c r="B425">
        <v>6722</v>
      </c>
      <c r="C425" t="b">
        <v>1</v>
      </c>
      <c r="D425">
        <v>8054</v>
      </c>
      <c r="E425">
        <v>8123</v>
      </c>
      <c r="F425">
        <v>9.6</v>
      </c>
      <c r="G425">
        <v>6.4</v>
      </c>
      <c r="H425">
        <v>1.5</v>
      </c>
      <c r="I425">
        <v>-0.50000005999999997</v>
      </c>
      <c r="J425">
        <v>0.4</v>
      </c>
    </row>
    <row r="426" spans="1:10" x14ac:dyDescent="0.3">
      <c r="A426">
        <v>424</v>
      </c>
      <c r="B426">
        <v>6738</v>
      </c>
      <c r="C426" t="b">
        <v>1</v>
      </c>
      <c r="D426">
        <v>8054</v>
      </c>
      <c r="E426">
        <v>8123</v>
      </c>
      <c r="F426">
        <v>10</v>
      </c>
      <c r="G426">
        <v>6.8</v>
      </c>
      <c r="H426">
        <v>1.4705881999999999</v>
      </c>
      <c r="I426">
        <v>-0.47058820000000001</v>
      </c>
      <c r="J426">
        <v>0.40476193999999999</v>
      </c>
    </row>
    <row r="427" spans="1:10" x14ac:dyDescent="0.3">
      <c r="A427">
        <v>425</v>
      </c>
      <c r="B427">
        <v>6754</v>
      </c>
      <c r="C427" t="b">
        <v>1</v>
      </c>
      <c r="D427">
        <v>8048</v>
      </c>
      <c r="E427">
        <v>8117</v>
      </c>
      <c r="F427">
        <v>10.4</v>
      </c>
      <c r="G427">
        <v>7.2</v>
      </c>
      <c r="H427">
        <v>1.4444444000000001</v>
      </c>
      <c r="I427">
        <v>-0.44444442000000001</v>
      </c>
      <c r="J427">
        <v>0.40909094000000001</v>
      </c>
    </row>
    <row r="428" spans="1:10" x14ac:dyDescent="0.3">
      <c r="A428">
        <v>426</v>
      </c>
      <c r="B428">
        <v>6770</v>
      </c>
      <c r="C428" t="b">
        <v>1</v>
      </c>
      <c r="D428">
        <v>8048</v>
      </c>
      <c r="E428">
        <v>8123</v>
      </c>
      <c r="F428">
        <v>10.8</v>
      </c>
      <c r="G428">
        <v>7.6</v>
      </c>
      <c r="H428">
        <v>1.4210526999999999</v>
      </c>
      <c r="I428">
        <v>-0.42105266000000002</v>
      </c>
      <c r="J428">
        <v>0.41304347000000002</v>
      </c>
    </row>
    <row r="429" spans="1:10" x14ac:dyDescent="0.3">
      <c r="A429">
        <v>427</v>
      </c>
      <c r="B429">
        <v>6785</v>
      </c>
      <c r="C429" t="b">
        <v>1</v>
      </c>
      <c r="D429">
        <v>8042</v>
      </c>
      <c r="E429">
        <v>8123</v>
      </c>
      <c r="F429">
        <v>10.8</v>
      </c>
      <c r="G429">
        <v>8</v>
      </c>
      <c r="H429">
        <v>1.35</v>
      </c>
      <c r="I429">
        <v>-0.35000002000000002</v>
      </c>
      <c r="J429">
        <v>0.42553192000000001</v>
      </c>
    </row>
    <row r="430" spans="1:10" x14ac:dyDescent="0.3">
      <c r="A430">
        <v>428</v>
      </c>
      <c r="B430">
        <v>6801</v>
      </c>
      <c r="C430" t="b">
        <v>1</v>
      </c>
      <c r="D430">
        <v>8048</v>
      </c>
      <c r="E430">
        <v>8123</v>
      </c>
      <c r="F430">
        <v>10.8</v>
      </c>
      <c r="G430">
        <v>8</v>
      </c>
      <c r="H430">
        <v>1.35</v>
      </c>
      <c r="I430">
        <v>-0.35000002000000002</v>
      </c>
      <c r="J430">
        <v>0.42553192000000001</v>
      </c>
    </row>
    <row r="431" spans="1:10" x14ac:dyDescent="0.3">
      <c r="A431">
        <v>429</v>
      </c>
      <c r="B431">
        <v>6817</v>
      </c>
      <c r="C431" t="b">
        <v>1</v>
      </c>
      <c r="D431">
        <v>8048</v>
      </c>
      <c r="E431">
        <v>8123</v>
      </c>
      <c r="F431">
        <v>10.8</v>
      </c>
      <c r="G431">
        <v>8</v>
      </c>
      <c r="H431">
        <v>1.35</v>
      </c>
      <c r="I431">
        <v>-0.35000002000000002</v>
      </c>
      <c r="J431">
        <v>0.42553192000000001</v>
      </c>
    </row>
    <row r="432" spans="1:10" x14ac:dyDescent="0.3">
      <c r="A432">
        <v>430</v>
      </c>
      <c r="B432">
        <v>6833</v>
      </c>
      <c r="C432" t="b">
        <v>1</v>
      </c>
      <c r="D432">
        <v>8048</v>
      </c>
      <c r="E432">
        <v>8123</v>
      </c>
      <c r="F432">
        <v>10.8</v>
      </c>
      <c r="G432">
        <v>8</v>
      </c>
      <c r="H432">
        <v>1.35</v>
      </c>
      <c r="I432">
        <v>-0.35000002000000002</v>
      </c>
      <c r="J432">
        <v>0.42553192000000001</v>
      </c>
    </row>
    <row r="433" spans="1:10" x14ac:dyDescent="0.3">
      <c r="A433">
        <v>431</v>
      </c>
      <c r="B433">
        <v>6849</v>
      </c>
      <c r="C433" t="b">
        <v>1</v>
      </c>
      <c r="D433">
        <v>8054</v>
      </c>
      <c r="E433">
        <v>8123</v>
      </c>
      <c r="F433">
        <v>10.8</v>
      </c>
      <c r="G433">
        <v>8</v>
      </c>
      <c r="H433">
        <v>1.35</v>
      </c>
      <c r="I433">
        <v>-0.35000002000000002</v>
      </c>
      <c r="J433">
        <v>0.42553192000000001</v>
      </c>
    </row>
    <row r="434" spans="1:10" x14ac:dyDescent="0.3">
      <c r="A434">
        <v>432</v>
      </c>
      <c r="B434">
        <v>6865</v>
      </c>
      <c r="C434" t="b">
        <v>1</v>
      </c>
      <c r="D434">
        <v>8054</v>
      </c>
      <c r="E434">
        <v>8123</v>
      </c>
      <c r="F434">
        <v>10.8</v>
      </c>
      <c r="G434">
        <v>8</v>
      </c>
      <c r="H434">
        <v>1.35</v>
      </c>
      <c r="I434">
        <v>-0.35000002000000002</v>
      </c>
      <c r="J434">
        <v>0.42553192000000001</v>
      </c>
    </row>
    <row r="435" spans="1:10" x14ac:dyDescent="0.3">
      <c r="A435">
        <v>433</v>
      </c>
      <c r="B435">
        <v>6880</v>
      </c>
      <c r="C435" t="b">
        <v>1</v>
      </c>
      <c r="D435">
        <v>8054</v>
      </c>
      <c r="E435">
        <v>8123</v>
      </c>
      <c r="F435">
        <v>11.2</v>
      </c>
      <c r="G435">
        <v>8</v>
      </c>
      <c r="H435">
        <v>1.4</v>
      </c>
      <c r="I435">
        <v>-0.39999997999999998</v>
      </c>
      <c r="J435">
        <v>0.41666666000000002</v>
      </c>
    </row>
    <row r="436" spans="1:10" x14ac:dyDescent="0.3">
      <c r="A436">
        <v>434</v>
      </c>
      <c r="B436">
        <v>6896</v>
      </c>
      <c r="C436" t="b">
        <v>1</v>
      </c>
      <c r="D436">
        <v>8054</v>
      </c>
      <c r="E436">
        <v>8123</v>
      </c>
      <c r="F436">
        <v>11.6</v>
      </c>
      <c r="G436">
        <v>8</v>
      </c>
      <c r="H436">
        <v>1.45</v>
      </c>
      <c r="I436">
        <v>-0.45000004999999998</v>
      </c>
      <c r="J436">
        <v>0.40816324999999998</v>
      </c>
    </row>
    <row r="437" spans="1:10" x14ac:dyDescent="0.3">
      <c r="A437">
        <v>435</v>
      </c>
      <c r="B437">
        <v>6912</v>
      </c>
      <c r="C437" t="b">
        <v>1</v>
      </c>
      <c r="D437">
        <v>8054</v>
      </c>
      <c r="E437">
        <v>8123</v>
      </c>
      <c r="F437">
        <v>11.6</v>
      </c>
      <c r="G437">
        <v>8</v>
      </c>
      <c r="H437">
        <v>1.45</v>
      </c>
      <c r="I437">
        <v>-0.45000004999999998</v>
      </c>
      <c r="J437">
        <v>0.40816324999999998</v>
      </c>
    </row>
    <row r="438" spans="1:10" x14ac:dyDescent="0.3">
      <c r="A438">
        <v>436</v>
      </c>
      <c r="B438">
        <v>6928</v>
      </c>
      <c r="C438" t="b">
        <v>1</v>
      </c>
      <c r="D438">
        <v>8054</v>
      </c>
      <c r="E438">
        <v>8123</v>
      </c>
      <c r="F438">
        <v>11.6</v>
      </c>
      <c r="G438">
        <v>8</v>
      </c>
      <c r="H438">
        <v>1.45</v>
      </c>
      <c r="I438">
        <v>-0.45000004999999998</v>
      </c>
      <c r="J438">
        <v>0.40816324999999998</v>
      </c>
    </row>
    <row r="439" spans="1:10" x14ac:dyDescent="0.3">
      <c r="A439">
        <v>437</v>
      </c>
      <c r="B439">
        <v>6944</v>
      </c>
      <c r="C439" t="b">
        <v>1</v>
      </c>
      <c r="D439">
        <v>8048</v>
      </c>
      <c r="E439">
        <v>8123</v>
      </c>
      <c r="F439">
        <v>11.6</v>
      </c>
      <c r="G439">
        <v>8</v>
      </c>
      <c r="H439">
        <v>1.45</v>
      </c>
      <c r="I439">
        <v>-0.45000004999999998</v>
      </c>
      <c r="J439">
        <v>0.40816324999999998</v>
      </c>
    </row>
    <row r="440" spans="1:10" x14ac:dyDescent="0.3">
      <c r="A440">
        <v>438</v>
      </c>
      <c r="B440">
        <v>6960</v>
      </c>
      <c r="C440" t="b">
        <v>1</v>
      </c>
      <c r="D440">
        <v>8048</v>
      </c>
      <c r="E440">
        <v>8123</v>
      </c>
      <c r="F440">
        <v>11.6</v>
      </c>
      <c r="G440">
        <v>8</v>
      </c>
      <c r="H440">
        <v>1.45</v>
      </c>
      <c r="I440">
        <v>-0.45000004999999998</v>
      </c>
      <c r="J440">
        <v>0.40816324999999998</v>
      </c>
    </row>
    <row r="441" spans="1:10" x14ac:dyDescent="0.3">
      <c r="A441">
        <v>439</v>
      </c>
      <c r="B441">
        <v>6975</v>
      </c>
      <c r="C441" t="b">
        <v>1</v>
      </c>
      <c r="D441">
        <v>8048</v>
      </c>
      <c r="E441">
        <v>8123</v>
      </c>
      <c r="F441">
        <v>11.2</v>
      </c>
      <c r="G441">
        <v>8</v>
      </c>
      <c r="H441">
        <v>1.4</v>
      </c>
      <c r="I441">
        <v>-0.39999997999999998</v>
      </c>
      <c r="J441">
        <v>0.41666666000000002</v>
      </c>
    </row>
    <row r="442" spans="1:10" x14ac:dyDescent="0.3">
      <c r="A442">
        <v>440</v>
      </c>
      <c r="B442">
        <v>6991</v>
      </c>
      <c r="C442" t="b">
        <v>1</v>
      </c>
      <c r="D442">
        <v>8054</v>
      </c>
      <c r="E442">
        <v>8123</v>
      </c>
      <c r="F442">
        <v>10.8</v>
      </c>
      <c r="G442">
        <v>8</v>
      </c>
      <c r="H442">
        <v>1.35</v>
      </c>
      <c r="I442">
        <v>-0.35000002000000002</v>
      </c>
      <c r="J442">
        <v>0.42553192000000001</v>
      </c>
    </row>
    <row r="443" spans="1:10" x14ac:dyDescent="0.3">
      <c r="A443">
        <v>441</v>
      </c>
      <c r="B443">
        <v>7007</v>
      </c>
      <c r="C443" t="b">
        <v>1</v>
      </c>
      <c r="D443">
        <v>8042</v>
      </c>
      <c r="E443">
        <v>8123</v>
      </c>
      <c r="F443">
        <v>10.4</v>
      </c>
      <c r="G443">
        <v>8</v>
      </c>
      <c r="H443">
        <v>1.3</v>
      </c>
      <c r="I443">
        <v>-0.29999995000000002</v>
      </c>
      <c r="J443">
        <v>0.43478262000000001</v>
      </c>
    </row>
    <row r="444" spans="1:10" x14ac:dyDescent="0.3">
      <c r="A444">
        <v>442</v>
      </c>
      <c r="B444">
        <v>7023</v>
      </c>
      <c r="C444" t="b">
        <v>1</v>
      </c>
      <c r="D444">
        <v>8048</v>
      </c>
      <c r="E444">
        <v>8117</v>
      </c>
      <c r="F444">
        <v>10.4</v>
      </c>
      <c r="G444">
        <v>8</v>
      </c>
      <c r="H444">
        <v>1.3</v>
      </c>
      <c r="I444">
        <v>-0.29999995000000002</v>
      </c>
      <c r="J444">
        <v>0.43478262000000001</v>
      </c>
    </row>
    <row r="445" spans="1:10" x14ac:dyDescent="0.3">
      <c r="A445">
        <v>443</v>
      </c>
      <c r="B445">
        <v>7039</v>
      </c>
      <c r="C445" t="b">
        <v>1</v>
      </c>
      <c r="D445">
        <v>8048</v>
      </c>
      <c r="E445">
        <v>8123</v>
      </c>
      <c r="F445">
        <v>10.4</v>
      </c>
      <c r="G445">
        <v>8</v>
      </c>
      <c r="H445">
        <v>1.3</v>
      </c>
      <c r="I445">
        <v>-0.29999995000000002</v>
      </c>
      <c r="J445">
        <v>0.43478262000000001</v>
      </c>
    </row>
    <row r="446" spans="1:10" x14ac:dyDescent="0.3">
      <c r="A446">
        <v>444</v>
      </c>
      <c r="B446">
        <v>7055</v>
      </c>
      <c r="C446" t="b">
        <v>1</v>
      </c>
      <c r="D446">
        <v>8048</v>
      </c>
      <c r="E446">
        <v>8123</v>
      </c>
      <c r="F446">
        <v>10.4</v>
      </c>
      <c r="G446">
        <v>8</v>
      </c>
      <c r="H446">
        <v>1.3</v>
      </c>
      <c r="I446">
        <v>-0.29999995000000002</v>
      </c>
      <c r="J446">
        <v>0.43478262000000001</v>
      </c>
    </row>
    <row r="447" spans="1:10" x14ac:dyDescent="0.3">
      <c r="A447">
        <v>445</v>
      </c>
      <c r="B447">
        <v>7071</v>
      </c>
      <c r="C447" t="b">
        <v>1</v>
      </c>
      <c r="D447">
        <v>8048</v>
      </c>
      <c r="E447">
        <v>8117</v>
      </c>
      <c r="F447">
        <v>10.4</v>
      </c>
      <c r="G447">
        <v>8</v>
      </c>
      <c r="H447">
        <v>1.3</v>
      </c>
      <c r="I447">
        <v>-0.29999995000000002</v>
      </c>
      <c r="J447">
        <v>0.43478262000000001</v>
      </c>
    </row>
    <row r="448" spans="1:10" x14ac:dyDescent="0.3">
      <c r="A448">
        <v>446</v>
      </c>
      <c r="B448">
        <v>7087</v>
      </c>
      <c r="C448" t="b">
        <v>1</v>
      </c>
      <c r="D448">
        <v>8048</v>
      </c>
      <c r="E448">
        <v>8117</v>
      </c>
      <c r="F448">
        <v>10.4</v>
      </c>
      <c r="G448">
        <v>7.6</v>
      </c>
      <c r="H448">
        <v>1.3684210999999999</v>
      </c>
      <c r="I448">
        <v>-0.36842101999999999</v>
      </c>
      <c r="J448">
        <v>0.42222222999999998</v>
      </c>
    </row>
    <row r="449" spans="1:10" x14ac:dyDescent="0.3">
      <c r="A449">
        <v>447</v>
      </c>
      <c r="B449">
        <v>7102</v>
      </c>
      <c r="C449" t="b">
        <v>1</v>
      </c>
      <c r="D449">
        <v>8048</v>
      </c>
      <c r="E449">
        <v>8123</v>
      </c>
      <c r="F449">
        <v>10.4</v>
      </c>
      <c r="G449">
        <v>7.6</v>
      </c>
      <c r="H449">
        <v>1.3684210999999999</v>
      </c>
      <c r="I449">
        <v>-0.36842101999999999</v>
      </c>
      <c r="J449">
        <v>0.42222222999999998</v>
      </c>
    </row>
    <row r="450" spans="1:10" x14ac:dyDescent="0.3">
      <c r="A450">
        <v>448</v>
      </c>
      <c r="B450">
        <v>7118</v>
      </c>
      <c r="C450" t="b">
        <v>1</v>
      </c>
      <c r="D450">
        <v>8048</v>
      </c>
      <c r="E450">
        <v>8123</v>
      </c>
      <c r="F450">
        <v>10</v>
      </c>
      <c r="G450">
        <v>7.6</v>
      </c>
      <c r="H450">
        <v>1.3157894999999999</v>
      </c>
      <c r="I450">
        <v>-0.3157895</v>
      </c>
      <c r="J450">
        <v>0.43181816000000001</v>
      </c>
    </row>
    <row r="451" spans="1:10" x14ac:dyDescent="0.3">
      <c r="A451">
        <v>449</v>
      </c>
      <c r="B451">
        <v>7134</v>
      </c>
      <c r="C451" t="b">
        <v>1</v>
      </c>
      <c r="D451">
        <v>8048</v>
      </c>
      <c r="E451">
        <v>8123</v>
      </c>
      <c r="F451">
        <v>9.6</v>
      </c>
      <c r="G451">
        <v>7.6</v>
      </c>
      <c r="H451">
        <v>1.263158</v>
      </c>
      <c r="I451">
        <v>-0.26315796000000002</v>
      </c>
      <c r="J451">
        <v>0.44186044000000002</v>
      </c>
    </row>
    <row r="452" spans="1:10" x14ac:dyDescent="0.3">
      <c r="A452">
        <v>450</v>
      </c>
      <c r="B452">
        <v>7150</v>
      </c>
      <c r="C452" t="b">
        <v>1</v>
      </c>
      <c r="D452">
        <v>8042</v>
      </c>
      <c r="E452">
        <v>8123</v>
      </c>
      <c r="F452">
        <v>9.1999999999999993</v>
      </c>
      <c r="G452">
        <v>7.6</v>
      </c>
      <c r="H452">
        <v>1.2105262999999999</v>
      </c>
      <c r="I452">
        <v>-0.2105263</v>
      </c>
      <c r="J452">
        <v>0.45238096</v>
      </c>
    </row>
    <row r="453" spans="1:10" x14ac:dyDescent="0.3">
      <c r="A453">
        <v>451</v>
      </c>
      <c r="B453">
        <v>7165</v>
      </c>
      <c r="C453" t="b">
        <v>1</v>
      </c>
      <c r="D453">
        <v>8054</v>
      </c>
      <c r="E453">
        <v>8123</v>
      </c>
      <c r="F453">
        <v>8.8000000000000007</v>
      </c>
      <c r="G453">
        <v>7.6</v>
      </c>
      <c r="H453">
        <v>1.1578946999999999</v>
      </c>
      <c r="I453">
        <v>-0.15789478000000001</v>
      </c>
      <c r="J453">
        <v>0.46341463999999999</v>
      </c>
    </row>
    <row r="454" spans="1:10" x14ac:dyDescent="0.3">
      <c r="A454">
        <v>452</v>
      </c>
      <c r="B454">
        <v>7181</v>
      </c>
      <c r="C454" t="b">
        <v>1</v>
      </c>
      <c r="D454">
        <v>8042</v>
      </c>
      <c r="E454">
        <v>8123</v>
      </c>
      <c r="F454">
        <v>8.4</v>
      </c>
      <c r="G454">
        <v>7.6</v>
      </c>
      <c r="H454">
        <v>1.1052630999999999</v>
      </c>
      <c r="I454">
        <v>-0.10526312</v>
      </c>
      <c r="J454">
        <v>0.47499999999999998</v>
      </c>
    </row>
    <row r="455" spans="1:10" x14ac:dyDescent="0.3">
      <c r="A455">
        <v>453</v>
      </c>
      <c r="B455">
        <v>7197</v>
      </c>
      <c r="C455" t="b">
        <v>1</v>
      </c>
      <c r="D455">
        <v>8048</v>
      </c>
      <c r="E455">
        <v>8129</v>
      </c>
      <c r="F455">
        <v>8</v>
      </c>
      <c r="G455">
        <v>7.6</v>
      </c>
      <c r="H455">
        <v>1.0526316</v>
      </c>
      <c r="I455">
        <v>-5.2631589999999999E-2</v>
      </c>
      <c r="J455">
        <v>0.48717946000000001</v>
      </c>
    </row>
    <row r="456" spans="1:10" x14ac:dyDescent="0.3">
      <c r="A456">
        <v>454</v>
      </c>
      <c r="B456">
        <v>7213</v>
      </c>
      <c r="C456" t="b">
        <v>1</v>
      </c>
      <c r="D456">
        <v>8048</v>
      </c>
      <c r="E456">
        <v>8123</v>
      </c>
      <c r="F456">
        <v>8</v>
      </c>
      <c r="G456">
        <v>7.6</v>
      </c>
      <c r="H456">
        <v>1.0526316</v>
      </c>
      <c r="I456">
        <v>-5.2631589999999999E-2</v>
      </c>
      <c r="J456">
        <v>0.48717946000000001</v>
      </c>
    </row>
    <row r="457" spans="1:10" x14ac:dyDescent="0.3">
      <c r="A457">
        <v>455</v>
      </c>
      <c r="B457">
        <v>7229</v>
      </c>
      <c r="C457" t="b">
        <v>1</v>
      </c>
      <c r="D457">
        <v>8048</v>
      </c>
      <c r="E457">
        <v>8123</v>
      </c>
      <c r="F457">
        <v>8</v>
      </c>
      <c r="G457">
        <v>7.6</v>
      </c>
      <c r="H457">
        <v>1.0526316</v>
      </c>
      <c r="I457">
        <v>-5.2631589999999999E-2</v>
      </c>
      <c r="J457">
        <v>0.48717946000000001</v>
      </c>
    </row>
    <row r="458" spans="1:10" x14ac:dyDescent="0.3">
      <c r="A458">
        <v>456</v>
      </c>
      <c r="B458">
        <v>7245</v>
      </c>
      <c r="C458" t="b">
        <v>1</v>
      </c>
      <c r="D458">
        <v>8048</v>
      </c>
      <c r="E458">
        <v>8123</v>
      </c>
      <c r="F458">
        <v>8</v>
      </c>
      <c r="G458">
        <v>7.6</v>
      </c>
      <c r="H458">
        <v>1.0526316</v>
      </c>
      <c r="I458">
        <v>-5.2631589999999999E-2</v>
      </c>
      <c r="J458">
        <v>0.48717946000000001</v>
      </c>
    </row>
    <row r="459" spans="1:10" x14ac:dyDescent="0.3">
      <c r="A459">
        <v>457</v>
      </c>
      <c r="B459">
        <v>7261</v>
      </c>
      <c r="C459" t="b">
        <v>1</v>
      </c>
      <c r="D459">
        <v>8048</v>
      </c>
      <c r="E459">
        <v>8123</v>
      </c>
      <c r="F459">
        <v>8</v>
      </c>
      <c r="G459">
        <v>7.6</v>
      </c>
      <c r="H459">
        <v>1.0526316</v>
      </c>
      <c r="I459">
        <v>-5.2631589999999999E-2</v>
      </c>
      <c r="J459">
        <v>0.48717946000000001</v>
      </c>
    </row>
    <row r="460" spans="1:10" x14ac:dyDescent="0.3">
      <c r="A460">
        <v>458</v>
      </c>
      <c r="B460">
        <v>7277</v>
      </c>
      <c r="C460" t="b">
        <v>1</v>
      </c>
      <c r="D460">
        <v>8048</v>
      </c>
      <c r="E460">
        <v>8117</v>
      </c>
      <c r="F460">
        <v>8</v>
      </c>
      <c r="G460">
        <v>7.6</v>
      </c>
      <c r="H460">
        <v>1.0526316</v>
      </c>
      <c r="I460">
        <v>-5.2631589999999999E-2</v>
      </c>
      <c r="J460">
        <v>0.48717946000000001</v>
      </c>
    </row>
    <row r="461" spans="1:10" x14ac:dyDescent="0.3">
      <c r="A461">
        <v>459</v>
      </c>
      <c r="B461">
        <v>7293</v>
      </c>
      <c r="C461" t="b">
        <v>1</v>
      </c>
      <c r="D461">
        <v>8048</v>
      </c>
      <c r="E461">
        <v>8117</v>
      </c>
      <c r="F461">
        <v>8</v>
      </c>
      <c r="G461">
        <v>7.6</v>
      </c>
      <c r="H461">
        <v>1.0526316</v>
      </c>
      <c r="I461">
        <v>-5.2631589999999999E-2</v>
      </c>
      <c r="J461">
        <v>0.48717946000000001</v>
      </c>
    </row>
    <row r="462" spans="1:10" x14ac:dyDescent="0.3">
      <c r="A462">
        <v>460</v>
      </c>
      <c r="B462">
        <v>7309</v>
      </c>
      <c r="C462" t="b">
        <v>1</v>
      </c>
      <c r="D462">
        <v>8054</v>
      </c>
      <c r="E462">
        <v>8123</v>
      </c>
      <c r="F462">
        <v>8</v>
      </c>
      <c r="G462">
        <v>7.6</v>
      </c>
      <c r="H462">
        <v>1.0526316</v>
      </c>
      <c r="I462">
        <v>-5.2631589999999999E-2</v>
      </c>
      <c r="J462">
        <v>0.48717946000000001</v>
      </c>
    </row>
    <row r="463" spans="1:10" x14ac:dyDescent="0.3">
      <c r="A463">
        <v>461</v>
      </c>
      <c r="B463">
        <v>7324</v>
      </c>
      <c r="C463" t="b">
        <v>1</v>
      </c>
      <c r="D463">
        <v>8048</v>
      </c>
      <c r="E463">
        <v>8117</v>
      </c>
      <c r="F463">
        <v>8</v>
      </c>
      <c r="G463">
        <v>7.6</v>
      </c>
      <c r="H463">
        <v>1.0526316</v>
      </c>
      <c r="I463">
        <v>-5.2631589999999999E-2</v>
      </c>
      <c r="J463">
        <v>0.48717946000000001</v>
      </c>
    </row>
    <row r="464" spans="1:10" x14ac:dyDescent="0.3">
      <c r="A464">
        <v>462</v>
      </c>
      <c r="B464">
        <v>7340</v>
      </c>
      <c r="C464" t="b">
        <v>1</v>
      </c>
      <c r="D464">
        <v>8054</v>
      </c>
      <c r="E464">
        <v>8117</v>
      </c>
      <c r="F464">
        <v>8</v>
      </c>
      <c r="G464">
        <v>7.2</v>
      </c>
      <c r="H464">
        <v>1.1111112000000001</v>
      </c>
      <c r="I464">
        <v>-0.11111114</v>
      </c>
      <c r="J464">
        <v>0.4736842</v>
      </c>
    </row>
    <row r="465" spans="1:10" x14ac:dyDescent="0.3">
      <c r="A465">
        <v>463</v>
      </c>
      <c r="B465">
        <v>7356</v>
      </c>
      <c r="C465" t="b">
        <v>1</v>
      </c>
      <c r="D465">
        <v>8042</v>
      </c>
      <c r="E465">
        <v>8117</v>
      </c>
      <c r="F465">
        <v>8</v>
      </c>
      <c r="G465">
        <v>6.8</v>
      </c>
      <c r="H465">
        <v>1.1764705</v>
      </c>
      <c r="I465">
        <v>-0.17647055</v>
      </c>
      <c r="J465">
        <v>0.45945944999999999</v>
      </c>
    </row>
    <row r="466" spans="1:10" x14ac:dyDescent="0.3">
      <c r="A466">
        <v>464</v>
      </c>
      <c r="B466">
        <v>7372</v>
      </c>
      <c r="C466" t="b">
        <v>1</v>
      </c>
      <c r="D466">
        <v>8048</v>
      </c>
      <c r="E466">
        <v>8117</v>
      </c>
      <c r="F466">
        <v>8</v>
      </c>
      <c r="G466">
        <v>6.4</v>
      </c>
      <c r="H466">
        <v>1.25</v>
      </c>
      <c r="I466">
        <v>-0.24999999000000001</v>
      </c>
      <c r="J466">
        <v>0.44444447999999998</v>
      </c>
    </row>
    <row r="467" spans="1:10" x14ac:dyDescent="0.3">
      <c r="A467">
        <v>465</v>
      </c>
      <c r="B467">
        <v>7389</v>
      </c>
      <c r="C467" t="b">
        <v>1</v>
      </c>
      <c r="D467">
        <v>8048</v>
      </c>
      <c r="E467">
        <v>8117</v>
      </c>
      <c r="F467">
        <v>8</v>
      </c>
      <c r="G467">
        <v>6</v>
      </c>
      <c r="H467">
        <v>1.3333333999999999</v>
      </c>
      <c r="I467">
        <v>-0.33333333999999998</v>
      </c>
      <c r="J467">
        <v>0.42857142999999998</v>
      </c>
    </row>
    <row r="468" spans="1:10" x14ac:dyDescent="0.3">
      <c r="A468">
        <v>466</v>
      </c>
      <c r="B468">
        <v>7404</v>
      </c>
      <c r="C468" t="b">
        <v>1</v>
      </c>
      <c r="D468">
        <v>8048</v>
      </c>
      <c r="E468">
        <v>8123</v>
      </c>
      <c r="F468">
        <v>8</v>
      </c>
      <c r="G468">
        <v>5.6</v>
      </c>
      <c r="H468">
        <v>1.4285715000000001</v>
      </c>
      <c r="I468">
        <v>-0.42857146000000002</v>
      </c>
      <c r="J468">
        <v>0.41176467999999999</v>
      </c>
    </row>
    <row r="469" spans="1:10" x14ac:dyDescent="0.3">
      <c r="A469">
        <v>467</v>
      </c>
      <c r="B469">
        <v>7420</v>
      </c>
      <c r="C469" t="b">
        <v>1</v>
      </c>
      <c r="D469">
        <v>8054</v>
      </c>
      <c r="E469">
        <v>8123</v>
      </c>
      <c r="F469">
        <v>8</v>
      </c>
      <c r="G469">
        <v>5.2</v>
      </c>
      <c r="H469">
        <v>1.5384616</v>
      </c>
      <c r="I469">
        <v>-0.53846156999999994</v>
      </c>
      <c r="J469">
        <v>0.39393938000000001</v>
      </c>
    </row>
    <row r="470" spans="1:10" x14ac:dyDescent="0.3">
      <c r="A470">
        <v>468</v>
      </c>
      <c r="B470">
        <v>7436</v>
      </c>
      <c r="C470" t="b">
        <v>1</v>
      </c>
      <c r="D470">
        <v>8048</v>
      </c>
      <c r="E470">
        <v>8123</v>
      </c>
      <c r="F470">
        <v>8</v>
      </c>
      <c r="G470">
        <v>5.2</v>
      </c>
      <c r="H470">
        <v>1.5384616</v>
      </c>
      <c r="I470">
        <v>-0.53846156999999994</v>
      </c>
      <c r="J470">
        <v>0.39393938000000001</v>
      </c>
    </row>
    <row r="471" spans="1:10" x14ac:dyDescent="0.3">
      <c r="A471">
        <v>469</v>
      </c>
      <c r="B471">
        <v>7452</v>
      </c>
      <c r="C471" t="b">
        <v>1</v>
      </c>
      <c r="D471">
        <v>8060</v>
      </c>
      <c r="E471">
        <v>8123</v>
      </c>
      <c r="F471">
        <v>8</v>
      </c>
      <c r="G471">
        <v>5.2</v>
      </c>
      <c r="H471">
        <v>1.5384616</v>
      </c>
      <c r="I471">
        <v>-0.53846156999999994</v>
      </c>
      <c r="J471">
        <v>0.39393938000000001</v>
      </c>
    </row>
    <row r="472" spans="1:10" x14ac:dyDescent="0.3">
      <c r="A472">
        <v>470</v>
      </c>
      <c r="B472">
        <v>7468</v>
      </c>
      <c r="C472" t="b">
        <v>1</v>
      </c>
      <c r="D472">
        <v>8060</v>
      </c>
      <c r="E472">
        <v>8123</v>
      </c>
      <c r="F472">
        <v>8.4</v>
      </c>
      <c r="G472">
        <v>5.2</v>
      </c>
      <c r="H472">
        <v>1.6153846000000001</v>
      </c>
      <c r="I472">
        <v>-0.61538459999999995</v>
      </c>
      <c r="J472">
        <v>0.38235295000000002</v>
      </c>
    </row>
    <row r="473" spans="1:10" x14ac:dyDescent="0.3">
      <c r="A473">
        <v>471</v>
      </c>
      <c r="B473">
        <v>7484</v>
      </c>
      <c r="C473" t="b">
        <v>1</v>
      </c>
      <c r="D473">
        <v>8054</v>
      </c>
      <c r="E473">
        <v>8117</v>
      </c>
      <c r="F473">
        <v>8.8000000000000007</v>
      </c>
      <c r="G473">
        <v>5.2</v>
      </c>
      <c r="H473">
        <v>1.6923078</v>
      </c>
      <c r="I473">
        <v>-0.69230780000000003</v>
      </c>
      <c r="J473">
        <v>0.37142855000000002</v>
      </c>
    </row>
    <row r="474" spans="1:10" x14ac:dyDescent="0.3">
      <c r="A474">
        <v>472</v>
      </c>
      <c r="B474">
        <v>7500</v>
      </c>
      <c r="C474" t="b">
        <v>1</v>
      </c>
      <c r="D474">
        <v>8054</v>
      </c>
      <c r="E474">
        <v>8123</v>
      </c>
      <c r="F474">
        <v>9.1999999999999993</v>
      </c>
      <c r="G474">
        <v>5.2</v>
      </c>
      <c r="H474">
        <v>1.7692308000000001</v>
      </c>
      <c r="I474">
        <v>-0.76923079999999999</v>
      </c>
      <c r="J474">
        <v>0.36111110000000002</v>
      </c>
    </row>
    <row r="475" spans="1:10" x14ac:dyDescent="0.3">
      <c r="A475">
        <v>473</v>
      </c>
      <c r="B475">
        <v>7516</v>
      </c>
      <c r="C475" t="b">
        <v>1</v>
      </c>
      <c r="D475">
        <v>8054</v>
      </c>
      <c r="E475">
        <v>8117</v>
      </c>
      <c r="F475">
        <v>9.6</v>
      </c>
      <c r="G475">
        <v>5.2</v>
      </c>
      <c r="H475">
        <v>1.8461540000000001</v>
      </c>
      <c r="I475">
        <v>-0.84615399999999996</v>
      </c>
      <c r="J475">
        <v>0.35135132000000002</v>
      </c>
    </row>
    <row r="476" spans="1:10" x14ac:dyDescent="0.3">
      <c r="A476">
        <v>474</v>
      </c>
      <c r="B476">
        <v>7532</v>
      </c>
      <c r="C476" t="b">
        <v>1</v>
      </c>
      <c r="D476">
        <v>8054</v>
      </c>
      <c r="E476">
        <v>8123</v>
      </c>
      <c r="F476">
        <v>10</v>
      </c>
      <c r="G476">
        <v>5.2</v>
      </c>
      <c r="H476">
        <v>1.9230769999999999</v>
      </c>
      <c r="I476">
        <v>-0.92307700000000004</v>
      </c>
      <c r="J476">
        <v>0.34210527000000002</v>
      </c>
    </row>
    <row r="477" spans="1:10" x14ac:dyDescent="0.3">
      <c r="A477">
        <v>475</v>
      </c>
      <c r="B477">
        <v>7548</v>
      </c>
      <c r="C477" t="b">
        <v>1</v>
      </c>
      <c r="D477">
        <v>8060</v>
      </c>
      <c r="E477">
        <v>8123</v>
      </c>
      <c r="F477">
        <v>10.4</v>
      </c>
      <c r="G477">
        <v>5.2</v>
      </c>
      <c r="H477">
        <v>2</v>
      </c>
      <c r="I477">
        <v>-1</v>
      </c>
      <c r="J477">
        <v>0.33333333999999998</v>
      </c>
    </row>
    <row r="478" spans="1:10" x14ac:dyDescent="0.3">
      <c r="A478">
        <v>476</v>
      </c>
      <c r="B478">
        <v>7563</v>
      </c>
      <c r="C478" t="b">
        <v>1</v>
      </c>
      <c r="D478">
        <v>8042</v>
      </c>
      <c r="E478">
        <v>8123</v>
      </c>
      <c r="F478">
        <v>10.8</v>
      </c>
      <c r="G478">
        <v>5.6</v>
      </c>
      <c r="H478">
        <v>1.9285715000000001</v>
      </c>
      <c r="I478">
        <v>-0.92857149999999999</v>
      </c>
      <c r="J478">
        <v>0.34146342000000002</v>
      </c>
    </row>
    <row r="479" spans="1:10" x14ac:dyDescent="0.3">
      <c r="A479">
        <v>477</v>
      </c>
      <c r="B479">
        <v>7579</v>
      </c>
      <c r="C479" t="b">
        <v>1</v>
      </c>
      <c r="D479">
        <v>8048</v>
      </c>
      <c r="E479">
        <v>8123</v>
      </c>
      <c r="F479">
        <v>11.2</v>
      </c>
      <c r="G479">
        <v>6</v>
      </c>
      <c r="H479">
        <v>1.8666666999999999</v>
      </c>
      <c r="I479">
        <v>-0.86666659999999995</v>
      </c>
      <c r="J479">
        <v>0.34883720000000001</v>
      </c>
    </row>
    <row r="480" spans="1:10" x14ac:dyDescent="0.3">
      <c r="A480">
        <v>478</v>
      </c>
      <c r="B480">
        <v>7595</v>
      </c>
      <c r="C480" t="b">
        <v>1</v>
      </c>
      <c r="D480">
        <v>8048</v>
      </c>
      <c r="E480">
        <v>8117</v>
      </c>
      <c r="F480">
        <v>11.2</v>
      </c>
      <c r="G480">
        <v>6.4</v>
      </c>
      <c r="H480">
        <v>1.75</v>
      </c>
      <c r="I480">
        <v>-0.74999994000000003</v>
      </c>
      <c r="J480">
        <v>0.36363636999999999</v>
      </c>
    </row>
    <row r="481" spans="1:10" x14ac:dyDescent="0.3">
      <c r="A481">
        <v>479</v>
      </c>
      <c r="B481">
        <v>7611</v>
      </c>
      <c r="C481" t="b">
        <v>1</v>
      </c>
      <c r="D481">
        <v>8048</v>
      </c>
      <c r="E481">
        <v>8123</v>
      </c>
      <c r="F481">
        <v>11.2</v>
      </c>
      <c r="G481">
        <v>6.8</v>
      </c>
      <c r="H481">
        <v>1.6470587000000001</v>
      </c>
      <c r="I481">
        <v>-0.64705869999999999</v>
      </c>
      <c r="J481">
        <v>0.37777779</v>
      </c>
    </row>
    <row r="482" spans="1:10" x14ac:dyDescent="0.3">
      <c r="A482">
        <v>480</v>
      </c>
      <c r="B482">
        <v>7627</v>
      </c>
      <c r="C482" t="b">
        <v>1</v>
      </c>
      <c r="D482">
        <v>8054</v>
      </c>
      <c r="E482">
        <v>8123</v>
      </c>
      <c r="F482">
        <v>11.2</v>
      </c>
      <c r="G482">
        <v>7.2</v>
      </c>
      <c r="H482">
        <v>1.5555555999999999</v>
      </c>
      <c r="I482">
        <v>-0.55555560000000004</v>
      </c>
      <c r="J482">
        <v>0.39130433999999997</v>
      </c>
    </row>
    <row r="483" spans="1:10" x14ac:dyDescent="0.3">
      <c r="A483">
        <v>481</v>
      </c>
      <c r="B483">
        <v>7643</v>
      </c>
      <c r="C483" t="b">
        <v>1</v>
      </c>
      <c r="D483">
        <v>8048</v>
      </c>
      <c r="E483">
        <v>8123</v>
      </c>
      <c r="F483">
        <v>11.2</v>
      </c>
      <c r="G483">
        <v>7.6</v>
      </c>
      <c r="H483">
        <v>1.4736842000000001</v>
      </c>
      <c r="I483">
        <v>-0.4736842</v>
      </c>
      <c r="J483">
        <v>0.40425533000000002</v>
      </c>
    </row>
    <row r="484" spans="1:10" x14ac:dyDescent="0.3">
      <c r="A484">
        <v>482</v>
      </c>
      <c r="B484">
        <v>7659</v>
      </c>
      <c r="C484" t="b">
        <v>1</v>
      </c>
      <c r="D484">
        <v>8048</v>
      </c>
      <c r="E484">
        <v>8117</v>
      </c>
      <c r="F484">
        <v>11.2</v>
      </c>
      <c r="G484">
        <v>8</v>
      </c>
      <c r="H484">
        <v>1.4</v>
      </c>
      <c r="I484">
        <v>-0.39999997999999998</v>
      </c>
      <c r="J484">
        <v>0.41666666000000002</v>
      </c>
    </row>
    <row r="485" spans="1:10" x14ac:dyDescent="0.3">
      <c r="A485">
        <v>483</v>
      </c>
      <c r="B485">
        <v>7675</v>
      </c>
      <c r="C485" t="b">
        <v>1</v>
      </c>
      <c r="D485">
        <v>8048</v>
      </c>
      <c r="E485">
        <v>8123</v>
      </c>
      <c r="F485">
        <v>11.2</v>
      </c>
      <c r="G485">
        <v>8</v>
      </c>
      <c r="H485">
        <v>1.4</v>
      </c>
      <c r="I485">
        <v>-0.39999997999999998</v>
      </c>
      <c r="J485">
        <v>0.41666666000000002</v>
      </c>
    </row>
    <row r="486" spans="1:10" x14ac:dyDescent="0.3">
      <c r="A486">
        <v>484</v>
      </c>
      <c r="B486">
        <v>7691</v>
      </c>
      <c r="C486" t="b">
        <v>1</v>
      </c>
      <c r="D486">
        <v>8054</v>
      </c>
      <c r="E486">
        <v>8117</v>
      </c>
      <c r="F486">
        <v>11.2</v>
      </c>
      <c r="G486">
        <v>8</v>
      </c>
      <c r="H486">
        <v>1.4</v>
      </c>
      <c r="I486">
        <v>-0.39999997999999998</v>
      </c>
      <c r="J486">
        <v>0.41666666000000002</v>
      </c>
    </row>
    <row r="487" spans="1:10" x14ac:dyDescent="0.3">
      <c r="A487">
        <v>485</v>
      </c>
      <c r="B487">
        <v>7707</v>
      </c>
      <c r="C487" t="b">
        <v>1</v>
      </c>
      <c r="D487">
        <v>8054</v>
      </c>
      <c r="E487">
        <v>8123</v>
      </c>
      <c r="F487">
        <v>10.8</v>
      </c>
      <c r="G487">
        <v>8</v>
      </c>
      <c r="H487">
        <v>1.35</v>
      </c>
      <c r="I487">
        <v>-0.35000002000000002</v>
      </c>
      <c r="J487">
        <v>0.42553192000000001</v>
      </c>
    </row>
    <row r="488" spans="1:10" x14ac:dyDescent="0.3">
      <c r="A488">
        <v>486</v>
      </c>
      <c r="B488">
        <v>7722</v>
      </c>
      <c r="C488" t="b">
        <v>1</v>
      </c>
      <c r="D488">
        <v>8042</v>
      </c>
      <c r="E488">
        <v>8123</v>
      </c>
      <c r="F488">
        <v>10.4</v>
      </c>
      <c r="G488">
        <v>8</v>
      </c>
      <c r="H488">
        <v>1.3</v>
      </c>
      <c r="I488">
        <v>-0.29999995000000002</v>
      </c>
      <c r="J488">
        <v>0.43478262000000001</v>
      </c>
    </row>
    <row r="489" spans="1:10" x14ac:dyDescent="0.3">
      <c r="A489">
        <v>487</v>
      </c>
      <c r="B489">
        <v>7738</v>
      </c>
      <c r="C489" t="b">
        <v>1</v>
      </c>
      <c r="D489">
        <v>8048</v>
      </c>
      <c r="E489">
        <v>8123</v>
      </c>
      <c r="F489">
        <v>10</v>
      </c>
      <c r="G489">
        <v>8</v>
      </c>
      <c r="H489">
        <v>1.25</v>
      </c>
      <c r="I489">
        <v>-0.25</v>
      </c>
      <c r="J489">
        <v>0.44444444999999999</v>
      </c>
    </row>
    <row r="490" spans="1:10" x14ac:dyDescent="0.3">
      <c r="A490">
        <v>488</v>
      </c>
      <c r="B490">
        <v>7754</v>
      </c>
      <c r="C490" t="b">
        <v>1</v>
      </c>
      <c r="D490">
        <v>8048</v>
      </c>
      <c r="E490">
        <v>8123</v>
      </c>
      <c r="F490">
        <v>9.6</v>
      </c>
      <c r="G490">
        <v>8</v>
      </c>
      <c r="H490">
        <v>1.2</v>
      </c>
      <c r="I490">
        <v>-0.20000005000000001</v>
      </c>
      <c r="J490">
        <v>0.45454544000000002</v>
      </c>
    </row>
    <row r="491" spans="1:10" x14ac:dyDescent="0.3">
      <c r="A491">
        <v>489</v>
      </c>
      <c r="B491">
        <v>7770</v>
      </c>
      <c r="C491" t="b">
        <v>1</v>
      </c>
      <c r="D491">
        <v>8048</v>
      </c>
      <c r="E491">
        <v>8123</v>
      </c>
      <c r="F491">
        <v>9.1999999999999993</v>
      </c>
      <c r="G491">
        <v>8</v>
      </c>
      <c r="H491">
        <v>1.1499999999999999</v>
      </c>
      <c r="I491">
        <v>-0.14999998</v>
      </c>
      <c r="J491">
        <v>0.46511626</v>
      </c>
    </row>
    <row r="492" spans="1:10" x14ac:dyDescent="0.3">
      <c r="A492">
        <v>490</v>
      </c>
      <c r="B492">
        <v>7786</v>
      </c>
      <c r="C492" t="b">
        <v>1</v>
      </c>
      <c r="D492">
        <v>8048</v>
      </c>
      <c r="E492">
        <v>8117</v>
      </c>
      <c r="F492">
        <v>8.8000000000000007</v>
      </c>
      <c r="G492">
        <v>8</v>
      </c>
      <c r="H492">
        <v>1.1000000000000001</v>
      </c>
      <c r="I492">
        <v>-0.10000002400000001</v>
      </c>
      <c r="J492">
        <v>0.47619050000000002</v>
      </c>
    </row>
    <row r="493" spans="1:10" x14ac:dyDescent="0.3">
      <c r="A493">
        <v>491</v>
      </c>
      <c r="B493">
        <v>7802</v>
      </c>
      <c r="C493" t="b">
        <v>1</v>
      </c>
      <c r="D493">
        <v>8048</v>
      </c>
      <c r="E493">
        <v>8123</v>
      </c>
      <c r="F493">
        <v>8.4</v>
      </c>
      <c r="G493">
        <v>8</v>
      </c>
      <c r="H493">
        <v>1.05</v>
      </c>
      <c r="I493">
        <v>-4.9999952E-2</v>
      </c>
      <c r="J493">
        <v>0.48780489999999999</v>
      </c>
    </row>
    <row r="494" spans="1:10" x14ac:dyDescent="0.3">
      <c r="A494">
        <v>492</v>
      </c>
      <c r="B494">
        <v>7818</v>
      </c>
      <c r="C494" t="b">
        <v>1</v>
      </c>
      <c r="D494">
        <v>8048</v>
      </c>
      <c r="E494">
        <v>8123</v>
      </c>
      <c r="F494">
        <v>8</v>
      </c>
      <c r="G494">
        <v>8</v>
      </c>
      <c r="H494">
        <v>1</v>
      </c>
      <c r="I494">
        <v>0</v>
      </c>
      <c r="J494">
        <v>0.5</v>
      </c>
    </row>
    <row r="495" spans="1:10" x14ac:dyDescent="0.3">
      <c r="A495">
        <v>493</v>
      </c>
      <c r="B495">
        <v>7834</v>
      </c>
      <c r="C495" t="b">
        <v>1</v>
      </c>
      <c r="D495">
        <v>8054</v>
      </c>
      <c r="E495">
        <v>8123</v>
      </c>
      <c r="F495">
        <v>8</v>
      </c>
      <c r="G495">
        <v>8</v>
      </c>
      <c r="H495">
        <v>1</v>
      </c>
      <c r="I495">
        <v>0</v>
      </c>
      <c r="J495">
        <v>0.5</v>
      </c>
    </row>
    <row r="496" spans="1:10" x14ac:dyDescent="0.3">
      <c r="A496">
        <v>494</v>
      </c>
      <c r="B496">
        <v>7850</v>
      </c>
      <c r="C496" t="b">
        <v>1</v>
      </c>
      <c r="D496">
        <v>8048</v>
      </c>
      <c r="E496">
        <v>8123</v>
      </c>
      <c r="F496">
        <v>8</v>
      </c>
      <c r="G496">
        <v>8</v>
      </c>
      <c r="H496">
        <v>1</v>
      </c>
      <c r="I496">
        <v>0</v>
      </c>
      <c r="J496">
        <v>0.5</v>
      </c>
    </row>
    <row r="497" spans="1:10" x14ac:dyDescent="0.3">
      <c r="A497">
        <v>495</v>
      </c>
      <c r="B497">
        <v>7866</v>
      </c>
      <c r="C497" t="b">
        <v>1</v>
      </c>
      <c r="D497">
        <v>8048</v>
      </c>
      <c r="E497">
        <v>8123</v>
      </c>
      <c r="F497">
        <v>8</v>
      </c>
      <c r="G497">
        <v>8</v>
      </c>
      <c r="H497">
        <v>1</v>
      </c>
      <c r="I497">
        <v>0</v>
      </c>
      <c r="J497">
        <v>0.5</v>
      </c>
    </row>
    <row r="498" spans="1:10" x14ac:dyDescent="0.3">
      <c r="A498">
        <v>496</v>
      </c>
      <c r="B498">
        <v>7882</v>
      </c>
      <c r="C498" t="b">
        <v>1</v>
      </c>
      <c r="D498">
        <v>8048</v>
      </c>
      <c r="E498">
        <v>8123</v>
      </c>
      <c r="F498">
        <v>8</v>
      </c>
      <c r="G498">
        <v>8</v>
      </c>
      <c r="H498">
        <v>1</v>
      </c>
      <c r="I498">
        <v>0</v>
      </c>
      <c r="J498">
        <v>0.5</v>
      </c>
    </row>
    <row r="499" spans="1:10" x14ac:dyDescent="0.3">
      <c r="A499">
        <v>497</v>
      </c>
      <c r="B499">
        <v>7898</v>
      </c>
      <c r="C499" t="b">
        <v>1</v>
      </c>
      <c r="D499">
        <v>8054</v>
      </c>
      <c r="E499">
        <v>8123</v>
      </c>
      <c r="F499">
        <v>8</v>
      </c>
      <c r="G499">
        <v>8</v>
      </c>
      <c r="H499">
        <v>1</v>
      </c>
      <c r="I499">
        <v>0</v>
      </c>
      <c r="J499">
        <v>0.5</v>
      </c>
    </row>
    <row r="500" spans="1:10" x14ac:dyDescent="0.3">
      <c r="A500">
        <v>498</v>
      </c>
      <c r="B500">
        <v>7914</v>
      </c>
      <c r="C500" t="b">
        <v>1</v>
      </c>
      <c r="D500">
        <v>8054</v>
      </c>
      <c r="E500">
        <v>8123</v>
      </c>
      <c r="F500">
        <v>8</v>
      </c>
      <c r="G500">
        <v>8</v>
      </c>
      <c r="H500">
        <v>1</v>
      </c>
      <c r="I500">
        <v>0</v>
      </c>
      <c r="J500">
        <v>0.5</v>
      </c>
    </row>
    <row r="501" spans="1:10" x14ac:dyDescent="0.3">
      <c r="A501">
        <v>499</v>
      </c>
      <c r="B501">
        <v>7930</v>
      </c>
      <c r="C501" t="b">
        <v>1</v>
      </c>
      <c r="D501">
        <v>8054</v>
      </c>
      <c r="E501">
        <v>8117</v>
      </c>
      <c r="F501">
        <v>8.4</v>
      </c>
      <c r="G501">
        <v>8</v>
      </c>
      <c r="H501">
        <v>1.05</v>
      </c>
      <c r="I501">
        <v>-4.9999952E-2</v>
      </c>
      <c r="J501">
        <v>0.48780489999999999</v>
      </c>
    </row>
    <row r="502" spans="1:10" x14ac:dyDescent="0.3">
      <c r="A502">
        <v>500</v>
      </c>
      <c r="B502">
        <v>7946</v>
      </c>
      <c r="C502" t="b">
        <v>1</v>
      </c>
      <c r="D502">
        <v>8048</v>
      </c>
      <c r="E502">
        <v>8123</v>
      </c>
      <c r="F502">
        <v>8.8000000000000007</v>
      </c>
      <c r="G502">
        <v>8</v>
      </c>
      <c r="H502">
        <v>1.1000000000000001</v>
      </c>
      <c r="I502">
        <v>-0.10000002400000001</v>
      </c>
      <c r="J502">
        <v>0.47619050000000002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2BF3A-AE4A-41E7-8050-9B071E44F77B}">
  <dimension ref="A1:J502"/>
  <sheetViews>
    <sheetView workbookViewId="0">
      <selection activeCell="A2" sqref="A2:J502"/>
    </sheetView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9.44140625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 t="b">
        <v>1</v>
      </c>
      <c r="D2">
        <v>8168</v>
      </c>
      <c r="E2">
        <v>8184</v>
      </c>
      <c r="F2">
        <v>328</v>
      </c>
      <c r="G2">
        <v>269</v>
      </c>
      <c r="H2">
        <v>1.2193309000000001</v>
      </c>
      <c r="I2">
        <v>-0.21933085999999999</v>
      </c>
      <c r="J2">
        <v>0.45058626000000002</v>
      </c>
    </row>
    <row r="3" spans="1:10" x14ac:dyDescent="0.3">
      <c r="A3">
        <v>1</v>
      </c>
      <c r="B3">
        <v>22</v>
      </c>
      <c r="C3" t="b">
        <v>1</v>
      </c>
      <c r="D3">
        <v>8056</v>
      </c>
      <c r="E3">
        <v>8160</v>
      </c>
      <c r="F3">
        <v>328</v>
      </c>
      <c r="G3">
        <v>269</v>
      </c>
      <c r="H3">
        <v>1.2193309000000001</v>
      </c>
      <c r="I3">
        <v>-0.21933085999999999</v>
      </c>
      <c r="J3">
        <v>0.45058626000000002</v>
      </c>
    </row>
    <row r="4" spans="1:10" x14ac:dyDescent="0.3">
      <c r="A4">
        <v>2</v>
      </c>
      <c r="B4">
        <v>38</v>
      </c>
      <c r="C4" t="b">
        <v>1</v>
      </c>
      <c r="D4">
        <v>8104</v>
      </c>
      <c r="E4">
        <v>8176</v>
      </c>
      <c r="F4">
        <v>306.66665999999998</v>
      </c>
      <c r="G4">
        <v>266.33334000000002</v>
      </c>
      <c r="H4">
        <v>1.1514392</v>
      </c>
      <c r="I4">
        <v>-0.15143922000000001</v>
      </c>
      <c r="J4">
        <v>0.46480513000000001</v>
      </c>
    </row>
    <row r="5" spans="1:10" x14ac:dyDescent="0.3">
      <c r="A5">
        <v>3</v>
      </c>
      <c r="B5">
        <v>69</v>
      </c>
      <c r="C5" t="b">
        <v>1</v>
      </c>
      <c r="D5">
        <v>8168</v>
      </c>
      <c r="E5">
        <v>8184</v>
      </c>
      <c r="F5">
        <v>312</v>
      </c>
      <c r="G5">
        <v>267</v>
      </c>
      <c r="H5">
        <v>1.1685392999999999</v>
      </c>
      <c r="I5">
        <v>-0.16853932999999999</v>
      </c>
      <c r="J5">
        <v>0.46113989999999999</v>
      </c>
    </row>
    <row r="6" spans="1:10" x14ac:dyDescent="0.3">
      <c r="A6">
        <v>4</v>
      </c>
      <c r="B6">
        <v>85</v>
      </c>
      <c r="C6" t="b">
        <v>1</v>
      </c>
      <c r="D6">
        <v>8200</v>
      </c>
      <c r="E6">
        <v>8192</v>
      </c>
      <c r="F6">
        <v>315.2</v>
      </c>
      <c r="G6">
        <v>267.39999999999998</v>
      </c>
      <c r="H6">
        <v>1.1787585</v>
      </c>
      <c r="I6">
        <v>-0.17875848999999999</v>
      </c>
      <c r="J6">
        <v>0.45897700000000002</v>
      </c>
    </row>
    <row r="7" spans="1:10" x14ac:dyDescent="0.3">
      <c r="A7">
        <v>5</v>
      </c>
      <c r="B7">
        <v>101</v>
      </c>
      <c r="C7" t="b">
        <v>1</v>
      </c>
      <c r="D7">
        <v>8144</v>
      </c>
      <c r="E7">
        <v>8192</v>
      </c>
      <c r="F7">
        <v>313.33334000000002</v>
      </c>
      <c r="G7">
        <v>267.66665999999998</v>
      </c>
      <c r="H7">
        <v>1.1706103000000001</v>
      </c>
      <c r="I7">
        <v>-0.17061029999999999</v>
      </c>
      <c r="J7">
        <v>0.46069991999999998</v>
      </c>
    </row>
    <row r="8" spans="1:10" x14ac:dyDescent="0.3">
      <c r="A8">
        <v>6</v>
      </c>
      <c r="B8">
        <v>117</v>
      </c>
      <c r="C8" t="b">
        <v>1</v>
      </c>
      <c r="D8">
        <v>8104</v>
      </c>
      <c r="E8">
        <v>8176</v>
      </c>
      <c r="F8">
        <v>312</v>
      </c>
      <c r="G8">
        <v>267.85714999999999</v>
      </c>
      <c r="H8">
        <v>1.1647999</v>
      </c>
      <c r="I8">
        <v>-0.16479999000000001</v>
      </c>
      <c r="J8">
        <v>0.46193640000000002</v>
      </c>
    </row>
    <row r="9" spans="1:10" x14ac:dyDescent="0.3">
      <c r="A9">
        <v>7</v>
      </c>
      <c r="B9">
        <v>132</v>
      </c>
      <c r="C9" t="b">
        <v>1</v>
      </c>
      <c r="D9">
        <v>8104</v>
      </c>
      <c r="E9">
        <v>8160</v>
      </c>
      <c r="F9">
        <v>311</v>
      </c>
      <c r="G9">
        <v>268</v>
      </c>
      <c r="H9">
        <v>1.1604477</v>
      </c>
      <c r="I9">
        <v>-0.16044775999999999</v>
      </c>
      <c r="J9">
        <v>0.46286702000000002</v>
      </c>
    </row>
    <row r="10" spans="1:10" x14ac:dyDescent="0.3">
      <c r="A10">
        <v>8</v>
      </c>
      <c r="B10">
        <v>148</v>
      </c>
      <c r="C10" t="b">
        <v>1</v>
      </c>
      <c r="D10">
        <v>8136</v>
      </c>
      <c r="E10">
        <v>8176</v>
      </c>
      <c r="F10">
        <v>309.33334000000002</v>
      </c>
      <c r="G10">
        <v>267.22223000000002</v>
      </c>
      <c r="H10">
        <v>1.1575884000000001</v>
      </c>
      <c r="I10">
        <v>-0.15758836000000001</v>
      </c>
      <c r="J10">
        <v>0.46348046999999998</v>
      </c>
    </row>
    <row r="11" spans="1:10" x14ac:dyDescent="0.3">
      <c r="A11">
        <v>9</v>
      </c>
      <c r="B11">
        <v>164</v>
      </c>
      <c r="C11" t="b">
        <v>1</v>
      </c>
      <c r="D11">
        <v>8088</v>
      </c>
      <c r="E11">
        <v>8176</v>
      </c>
      <c r="F11">
        <v>304.8</v>
      </c>
      <c r="G11">
        <v>266.60000000000002</v>
      </c>
      <c r="H11">
        <v>1.1432857999999999</v>
      </c>
      <c r="I11">
        <v>-0.14328574999999999</v>
      </c>
      <c r="J11">
        <v>0.46657333000000001</v>
      </c>
    </row>
    <row r="12" spans="1:10" x14ac:dyDescent="0.3">
      <c r="A12">
        <v>10</v>
      </c>
      <c r="B12">
        <v>180</v>
      </c>
      <c r="C12" t="b">
        <v>1</v>
      </c>
      <c r="D12">
        <v>8104</v>
      </c>
      <c r="E12">
        <v>8168</v>
      </c>
      <c r="F12">
        <v>301.09089999999998</v>
      </c>
      <c r="G12">
        <v>266.09089999999998</v>
      </c>
      <c r="H12">
        <v>1.131534</v>
      </c>
      <c r="I12">
        <v>-0.13153400000000001</v>
      </c>
      <c r="J12">
        <v>0.4691457</v>
      </c>
    </row>
    <row r="13" spans="1:10" x14ac:dyDescent="0.3">
      <c r="A13">
        <v>11</v>
      </c>
      <c r="B13">
        <v>195</v>
      </c>
      <c r="C13" t="b">
        <v>1</v>
      </c>
      <c r="D13">
        <v>8120</v>
      </c>
      <c r="E13">
        <v>8160</v>
      </c>
      <c r="F13">
        <v>298</v>
      </c>
      <c r="G13">
        <v>265</v>
      </c>
      <c r="H13">
        <v>1.1245282999999999</v>
      </c>
      <c r="I13">
        <v>-0.12452830400000001</v>
      </c>
      <c r="J13">
        <v>0.47069272000000001</v>
      </c>
    </row>
    <row r="14" spans="1:10" x14ac:dyDescent="0.3">
      <c r="A14">
        <v>12</v>
      </c>
      <c r="B14">
        <v>211</v>
      </c>
      <c r="C14" t="b">
        <v>1</v>
      </c>
      <c r="D14">
        <v>8080</v>
      </c>
      <c r="E14">
        <v>8168</v>
      </c>
      <c r="F14">
        <v>295.38459999999998</v>
      </c>
      <c r="G14">
        <v>264.07693</v>
      </c>
      <c r="H14">
        <v>1.1185552000000001</v>
      </c>
      <c r="I14">
        <v>-0.11855514</v>
      </c>
      <c r="J14">
        <v>0.47201981999999998</v>
      </c>
    </row>
    <row r="15" spans="1:10" x14ac:dyDescent="0.3">
      <c r="A15">
        <v>13</v>
      </c>
      <c r="B15">
        <v>227</v>
      </c>
      <c r="C15" t="b">
        <v>1</v>
      </c>
      <c r="D15">
        <v>8136</v>
      </c>
      <c r="E15">
        <v>8176</v>
      </c>
      <c r="F15">
        <v>293.14285000000001</v>
      </c>
      <c r="G15">
        <v>263.28570000000002</v>
      </c>
      <c r="H15">
        <v>1.1134021000000001</v>
      </c>
      <c r="I15">
        <v>-0.11340208</v>
      </c>
      <c r="J15">
        <v>0.4731707</v>
      </c>
    </row>
    <row r="16" spans="1:10" x14ac:dyDescent="0.3">
      <c r="A16">
        <v>14</v>
      </c>
      <c r="B16">
        <v>243</v>
      </c>
      <c r="C16" t="b">
        <v>1</v>
      </c>
      <c r="D16">
        <v>8136</v>
      </c>
      <c r="E16">
        <v>8152</v>
      </c>
      <c r="F16">
        <v>292.26666</v>
      </c>
      <c r="G16">
        <v>262.60000000000002</v>
      </c>
      <c r="H16">
        <v>1.1129727</v>
      </c>
      <c r="I16">
        <v>-0.112972796</v>
      </c>
      <c r="J16">
        <v>0.47326684000000002</v>
      </c>
    </row>
    <row r="17" spans="1:10" x14ac:dyDescent="0.3">
      <c r="A17">
        <v>15</v>
      </c>
      <c r="B17">
        <v>259</v>
      </c>
      <c r="C17" t="b">
        <v>1</v>
      </c>
      <c r="D17">
        <v>8048</v>
      </c>
      <c r="E17">
        <v>8224</v>
      </c>
      <c r="F17">
        <v>289.06668000000002</v>
      </c>
      <c r="G17">
        <v>261.53332999999998</v>
      </c>
      <c r="H17">
        <v>1.1052766999999999</v>
      </c>
      <c r="I17">
        <v>-0.10527667</v>
      </c>
      <c r="J17">
        <v>0.47499698000000001</v>
      </c>
    </row>
    <row r="18" spans="1:10" x14ac:dyDescent="0.3">
      <c r="A18">
        <v>16</v>
      </c>
      <c r="B18">
        <v>275</v>
      </c>
      <c r="C18" t="b">
        <v>1</v>
      </c>
      <c r="D18">
        <v>8088</v>
      </c>
      <c r="E18">
        <v>8200</v>
      </c>
      <c r="F18">
        <v>283.73334</v>
      </c>
      <c r="G18">
        <v>261</v>
      </c>
      <c r="H18">
        <v>1.0871009</v>
      </c>
      <c r="I18">
        <v>-8.7100910000000004E-2</v>
      </c>
      <c r="J18">
        <v>0.47913351999999998</v>
      </c>
    </row>
    <row r="19" spans="1:10" x14ac:dyDescent="0.3">
      <c r="A19">
        <v>17</v>
      </c>
      <c r="B19">
        <v>291</v>
      </c>
      <c r="C19" t="b">
        <v>1</v>
      </c>
      <c r="D19">
        <v>8128</v>
      </c>
      <c r="E19">
        <v>8176</v>
      </c>
      <c r="F19">
        <v>285.33334000000002</v>
      </c>
      <c r="G19">
        <v>261</v>
      </c>
      <c r="H19">
        <v>1.0932312</v>
      </c>
      <c r="I19">
        <v>-9.32312E-2</v>
      </c>
      <c r="J19">
        <v>0.47773027000000001</v>
      </c>
    </row>
    <row r="20" spans="1:10" x14ac:dyDescent="0.3">
      <c r="A20">
        <v>18</v>
      </c>
      <c r="B20">
        <v>307</v>
      </c>
      <c r="C20" t="b">
        <v>1</v>
      </c>
      <c r="D20">
        <v>8104</v>
      </c>
      <c r="E20">
        <v>8152</v>
      </c>
      <c r="F20">
        <v>281.06668000000002</v>
      </c>
      <c r="G20">
        <v>260.46667000000002</v>
      </c>
      <c r="H20">
        <v>1.0790888000000001</v>
      </c>
      <c r="I20">
        <v>-7.9088839999999994E-2</v>
      </c>
      <c r="J20">
        <v>0.48097994999999999</v>
      </c>
    </row>
    <row r="21" spans="1:10" x14ac:dyDescent="0.3">
      <c r="A21">
        <v>19</v>
      </c>
      <c r="B21">
        <v>323</v>
      </c>
      <c r="C21" t="b">
        <v>1</v>
      </c>
      <c r="D21">
        <v>8104</v>
      </c>
      <c r="E21">
        <v>8176</v>
      </c>
      <c r="F21">
        <v>276.8</v>
      </c>
      <c r="G21">
        <v>259.93331999999998</v>
      </c>
      <c r="H21">
        <v>1.0648884999999999</v>
      </c>
      <c r="I21">
        <v>-6.488845E-2</v>
      </c>
      <c r="J21">
        <v>0.48428768</v>
      </c>
    </row>
    <row r="22" spans="1:10" x14ac:dyDescent="0.3">
      <c r="A22">
        <v>20</v>
      </c>
      <c r="B22">
        <v>339</v>
      </c>
      <c r="C22" t="b">
        <v>1</v>
      </c>
      <c r="D22">
        <v>8144</v>
      </c>
      <c r="E22">
        <v>8184</v>
      </c>
      <c r="F22">
        <v>274.13333</v>
      </c>
      <c r="G22">
        <v>259.39999999999998</v>
      </c>
      <c r="H22">
        <v>1.0567977</v>
      </c>
      <c r="I22">
        <v>-5.6797753999999999E-2</v>
      </c>
      <c r="J22">
        <v>0.48619266999999999</v>
      </c>
    </row>
    <row r="23" spans="1:10" x14ac:dyDescent="0.3">
      <c r="A23">
        <v>21</v>
      </c>
      <c r="B23">
        <v>355</v>
      </c>
      <c r="C23" t="b">
        <v>1</v>
      </c>
      <c r="D23">
        <v>8128</v>
      </c>
      <c r="E23">
        <v>8200</v>
      </c>
      <c r="F23">
        <v>273.06668000000002</v>
      </c>
      <c r="G23">
        <v>258.86667</v>
      </c>
      <c r="H23">
        <v>1.0548545</v>
      </c>
      <c r="I23">
        <v>-5.4854541999999999E-2</v>
      </c>
      <c r="J23">
        <v>0.48665246000000001</v>
      </c>
    </row>
    <row r="24" spans="1:10" x14ac:dyDescent="0.3">
      <c r="A24">
        <v>22</v>
      </c>
      <c r="B24">
        <v>371</v>
      </c>
      <c r="C24" t="b">
        <v>1</v>
      </c>
      <c r="D24">
        <v>8144</v>
      </c>
      <c r="E24">
        <v>8152</v>
      </c>
      <c r="F24">
        <v>272</v>
      </c>
      <c r="G24">
        <v>258.33334000000002</v>
      </c>
      <c r="H24">
        <v>1.0529032</v>
      </c>
      <c r="I24">
        <v>-5.2903182999999999E-2</v>
      </c>
      <c r="J24">
        <v>0.48711500000000002</v>
      </c>
    </row>
    <row r="25" spans="1:10" x14ac:dyDescent="0.3">
      <c r="A25">
        <v>23</v>
      </c>
      <c r="B25">
        <v>386</v>
      </c>
      <c r="C25" t="b">
        <v>1</v>
      </c>
      <c r="D25">
        <v>8104</v>
      </c>
      <c r="E25">
        <v>8144</v>
      </c>
      <c r="F25">
        <v>271.46667000000002</v>
      </c>
      <c r="G25">
        <v>258.33334000000002</v>
      </c>
      <c r="H25">
        <v>1.0508386999999999</v>
      </c>
      <c r="I25">
        <v>-5.0838700000000001E-2</v>
      </c>
      <c r="J25">
        <v>0.48760535999999999</v>
      </c>
    </row>
    <row r="26" spans="1:10" x14ac:dyDescent="0.3">
      <c r="A26">
        <v>24</v>
      </c>
      <c r="B26">
        <v>402</v>
      </c>
      <c r="C26" t="b">
        <v>1</v>
      </c>
      <c r="D26">
        <v>8152</v>
      </c>
      <c r="E26">
        <v>8200</v>
      </c>
      <c r="F26">
        <v>274.13333</v>
      </c>
      <c r="G26">
        <v>258.86667</v>
      </c>
      <c r="H26">
        <v>1.058975</v>
      </c>
      <c r="I26">
        <v>-5.8975003999999998E-2</v>
      </c>
      <c r="J26">
        <v>0.48567854999999999</v>
      </c>
    </row>
    <row r="27" spans="1:10" x14ac:dyDescent="0.3">
      <c r="A27">
        <v>25</v>
      </c>
      <c r="B27">
        <v>418</v>
      </c>
      <c r="C27" t="b">
        <v>1</v>
      </c>
      <c r="D27">
        <v>8104</v>
      </c>
      <c r="E27">
        <v>8152</v>
      </c>
      <c r="F27">
        <v>275.73334</v>
      </c>
      <c r="G27">
        <v>257.26666</v>
      </c>
      <c r="H27">
        <v>1.0717802999999999</v>
      </c>
      <c r="I27">
        <v>-7.1780289999999997E-2</v>
      </c>
      <c r="J27">
        <v>0.48267665999999998</v>
      </c>
    </row>
    <row r="28" spans="1:10" x14ac:dyDescent="0.3">
      <c r="A28">
        <v>26</v>
      </c>
      <c r="B28">
        <v>434</v>
      </c>
      <c r="C28" t="b">
        <v>1</v>
      </c>
      <c r="D28">
        <v>8128</v>
      </c>
      <c r="E28">
        <v>8152</v>
      </c>
      <c r="F28">
        <v>277.33334000000002</v>
      </c>
      <c r="G28">
        <v>256.2</v>
      </c>
      <c r="H28">
        <v>1.0824876000000001</v>
      </c>
      <c r="I28">
        <v>-8.2487630000000006E-2</v>
      </c>
      <c r="J28">
        <v>0.48019496</v>
      </c>
    </row>
    <row r="29" spans="1:10" x14ac:dyDescent="0.3">
      <c r="A29">
        <v>27</v>
      </c>
      <c r="B29">
        <v>450</v>
      </c>
      <c r="C29" t="b">
        <v>1</v>
      </c>
      <c r="D29">
        <v>8104</v>
      </c>
      <c r="E29">
        <v>8192</v>
      </c>
      <c r="F29">
        <v>277.33334000000002</v>
      </c>
      <c r="G29">
        <v>255.13333</v>
      </c>
      <c r="H29">
        <v>1.0870134</v>
      </c>
      <c r="I29">
        <v>-8.7013370000000007E-2</v>
      </c>
      <c r="J29">
        <v>0.47915360000000001</v>
      </c>
    </row>
    <row r="30" spans="1:10" x14ac:dyDescent="0.3">
      <c r="A30">
        <v>28</v>
      </c>
      <c r="B30">
        <v>466</v>
      </c>
      <c r="C30" t="b">
        <v>1</v>
      </c>
      <c r="D30">
        <v>8088</v>
      </c>
      <c r="E30">
        <v>8168</v>
      </c>
      <c r="F30">
        <v>277.33334000000002</v>
      </c>
      <c r="G30">
        <v>255.13333</v>
      </c>
      <c r="H30">
        <v>1.0870134</v>
      </c>
      <c r="I30">
        <v>-8.7013370000000007E-2</v>
      </c>
      <c r="J30">
        <v>0.47915360000000001</v>
      </c>
    </row>
    <row r="31" spans="1:10" x14ac:dyDescent="0.3">
      <c r="A31">
        <v>29</v>
      </c>
      <c r="B31">
        <v>482</v>
      </c>
      <c r="C31" t="b">
        <v>1</v>
      </c>
      <c r="D31">
        <v>8096</v>
      </c>
      <c r="E31">
        <v>8136</v>
      </c>
      <c r="F31">
        <v>276.26666</v>
      </c>
      <c r="G31">
        <v>254.06666999999999</v>
      </c>
      <c r="H31">
        <v>1.0873786000000001</v>
      </c>
      <c r="I31">
        <v>-8.7378629999999999E-2</v>
      </c>
      <c r="J31">
        <v>0.47906977000000001</v>
      </c>
    </row>
    <row r="32" spans="1:10" x14ac:dyDescent="0.3">
      <c r="A32">
        <v>30</v>
      </c>
      <c r="B32">
        <v>498</v>
      </c>
      <c r="C32" t="b">
        <v>1</v>
      </c>
      <c r="D32">
        <v>8112</v>
      </c>
      <c r="E32">
        <v>8176</v>
      </c>
      <c r="F32">
        <v>275.2</v>
      </c>
      <c r="G32">
        <v>254.06666999999999</v>
      </c>
      <c r="H32">
        <v>1.0831803</v>
      </c>
      <c r="I32">
        <v>-8.3180320000000002E-2</v>
      </c>
      <c r="J32">
        <v>0.48003528000000001</v>
      </c>
    </row>
    <row r="33" spans="1:10" x14ac:dyDescent="0.3">
      <c r="A33">
        <v>31</v>
      </c>
      <c r="B33">
        <v>514</v>
      </c>
      <c r="C33" t="b">
        <v>1</v>
      </c>
      <c r="D33">
        <v>8152</v>
      </c>
      <c r="E33">
        <v>8216</v>
      </c>
      <c r="F33">
        <v>276.26666</v>
      </c>
      <c r="G33">
        <v>254.06666999999999</v>
      </c>
      <c r="H33">
        <v>1.0873786000000001</v>
      </c>
      <c r="I33">
        <v>-8.7378629999999999E-2</v>
      </c>
      <c r="J33">
        <v>0.47906977000000001</v>
      </c>
    </row>
    <row r="34" spans="1:10" x14ac:dyDescent="0.3">
      <c r="A34">
        <v>32</v>
      </c>
      <c r="B34">
        <v>530</v>
      </c>
      <c r="C34" t="b">
        <v>1</v>
      </c>
      <c r="D34">
        <v>8080</v>
      </c>
      <c r="E34">
        <v>8152</v>
      </c>
      <c r="F34">
        <v>274.13333</v>
      </c>
      <c r="G34">
        <v>253.53334000000001</v>
      </c>
      <c r="H34">
        <v>1.0812516000000001</v>
      </c>
      <c r="I34">
        <v>-8.1251610000000002E-2</v>
      </c>
      <c r="J34">
        <v>0.48048010000000002</v>
      </c>
    </row>
    <row r="35" spans="1:10" x14ac:dyDescent="0.3">
      <c r="A35">
        <v>33</v>
      </c>
      <c r="B35">
        <v>562</v>
      </c>
      <c r="C35" t="b">
        <v>1</v>
      </c>
      <c r="D35">
        <v>8120</v>
      </c>
      <c r="E35">
        <v>8176</v>
      </c>
      <c r="F35">
        <v>274.66665999999998</v>
      </c>
      <c r="G35">
        <v>253.53334000000001</v>
      </c>
      <c r="H35">
        <v>1.0833552</v>
      </c>
      <c r="I35">
        <v>-8.3355170000000006E-2</v>
      </c>
      <c r="J35">
        <v>0.47999494999999998</v>
      </c>
    </row>
    <row r="36" spans="1:10" x14ac:dyDescent="0.3">
      <c r="A36">
        <v>34</v>
      </c>
      <c r="B36">
        <v>578</v>
      </c>
      <c r="C36" t="b">
        <v>1</v>
      </c>
      <c r="D36">
        <v>8128</v>
      </c>
      <c r="E36">
        <v>8152</v>
      </c>
      <c r="F36">
        <v>275.73334</v>
      </c>
      <c r="G36">
        <v>253.53334000000001</v>
      </c>
      <c r="H36">
        <v>1.0875623999999999</v>
      </c>
      <c r="I36">
        <v>-8.7562433999999995E-2</v>
      </c>
      <c r="J36">
        <v>0.4790276</v>
      </c>
    </row>
    <row r="37" spans="1:10" x14ac:dyDescent="0.3">
      <c r="A37">
        <v>35</v>
      </c>
      <c r="B37">
        <v>594</v>
      </c>
      <c r="C37" t="b">
        <v>1</v>
      </c>
      <c r="D37">
        <v>8056</v>
      </c>
      <c r="E37">
        <v>8152</v>
      </c>
      <c r="F37">
        <v>276.8</v>
      </c>
      <c r="G37">
        <v>251.93333000000001</v>
      </c>
      <c r="H37">
        <v>1.0987032999999999</v>
      </c>
      <c r="I37">
        <v>-9.8703310000000002E-2</v>
      </c>
      <c r="J37">
        <v>0.47648469999999998</v>
      </c>
    </row>
    <row r="38" spans="1:10" x14ac:dyDescent="0.3">
      <c r="A38">
        <v>36</v>
      </c>
      <c r="B38">
        <v>609</v>
      </c>
      <c r="C38" t="b">
        <v>1</v>
      </c>
      <c r="D38">
        <v>8128</v>
      </c>
      <c r="E38">
        <v>8168</v>
      </c>
      <c r="F38">
        <v>276.26666</v>
      </c>
      <c r="G38">
        <v>250.33332999999999</v>
      </c>
      <c r="H38">
        <v>1.1035953000000001</v>
      </c>
      <c r="I38">
        <v>-0.10359520999999999</v>
      </c>
      <c r="J38">
        <v>0.47537664000000002</v>
      </c>
    </row>
    <row r="39" spans="1:10" x14ac:dyDescent="0.3">
      <c r="A39">
        <v>37</v>
      </c>
      <c r="B39">
        <v>625</v>
      </c>
      <c r="C39" t="b">
        <v>1</v>
      </c>
      <c r="D39">
        <v>8104</v>
      </c>
      <c r="E39">
        <v>8152</v>
      </c>
      <c r="F39">
        <v>275.73334</v>
      </c>
      <c r="G39">
        <v>248.73334</v>
      </c>
      <c r="H39">
        <v>1.1085499999999999</v>
      </c>
      <c r="I39">
        <v>-0.10854998</v>
      </c>
      <c r="J39">
        <v>0.47425956000000002</v>
      </c>
    </row>
    <row r="40" spans="1:10" x14ac:dyDescent="0.3">
      <c r="A40">
        <v>38</v>
      </c>
      <c r="B40">
        <v>641</v>
      </c>
      <c r="C40" t="b">
        <v>1</v>
      </c>
      <c r="D40">
        <v>8128</v>
      </c>
      <c r="E40">
        <v>8152</v>
      </c>
      <c r="F40">
        <v>275.73334</v>
      </c>
      <c r="G40">
        <v>247.13333</v>
      </c>
      <c r="H40">
        <v>1.1157271</v>
      </c>
      <c r="I40">
        <v>-0.11572702999999999</v>
      </c>
      <c r="J40">
        <v>0.47265074000000001</v>
      </c>
    </row>
    <row r="41" spans="1:10" x14ac:dyDescent="0.3">
      <c r="A41">
        <v>39</v>
      </c>
      <c r="B41">
        <v>657</v>
      </c>
      <c r="C41" t="b">
        <v>1</v>
      </c>
      <c r="D41">
        <v>8080</v>
      </c>
      <c r="E41">
        <v>8176</v>
      </c>
      <c r="F41">
        <v>273.06668000000002</v>
      </c>
      <c r="G41">
        <v>245</v>
      </c>
      <c r="H41">
        <v>1.1145579000000001</v>
      </c>
      <c r="I41">
        <v>-0.114557885</v>
      </c>
      <c r="J41">
        <v>0.47291212999999999</v>
      </c>
    </row>
    <row r="42" spans="1:10" x14ac:dyDescent="0.3">
      <c r="A42">
        <v>40</v>
      </c>
      <c r="B42">
        <v>674</v>
      </c>
      <c r="C42" t="b">
        <v>1</v>
      </c>
      <c r="D42">
        <v>8120</v>
      </c>
      <c r="E42">
        <v>8160</v>
      </c>
      <c r="F42">
        <v>272.53332999999998</v>
      </c>
      <c r="G42">
        <v>245.53334000000001</v>
      </c>
      <c r="H42">
        <v>1.1099646000000001</v>
      </c>
      <c r="I42">
        <v>-0.10996464</v>
      </c>
      <c r="J42">
        <v>0.47394160000000002</v>
      </c>
    </row>
    <row r="43" spans="1:10" x14ac:dyDescent="0.3">
      <c r="A43">
        <v>41</v>
      </c>
      <c r="B43">
        <v>689</v>
      </c>
      <c r="C43" t="b">
        <v>1</v>
      </c>
      <c r="D43">
        <v>8152</v>
      </c>
      <c r="E43">
        <v>8160</v>
      </c>
      <c r="F43">
        <v>272</v>
      </c>
      <c r="G43">
        <v>246.06666999999999</v>
      </c>
      <c r="H43">
        <v>1.1053915000000001</v>
      </c>
      <c r="I43">
        <v>-0.105391495</v>
      </c>
      <c r="J43">
        <v>0.47497106</v>
      </c>
    </row>
    <row r="44" spans="1:10" x14ac:dyDescent="0.3">
      <c r="A44">
        <v>42</v>
      </c>
      <c r="B44">
        <v>705</v>
      </c>
      <c r="C44" t="b">
        <v>1</v>
      </c>
      <c r="D44">
        <v>8168</v>
      </c>
      <c r="E44">
        <v>8224</v>
      </c>
      <c r="F44">
        <v>273.60000000000002</v>
      </c>
      <c r="G44">
        <v>246.6</v>
      </c>
      <c r="H44">
        <v>1.1094891</v>
      </c>
      <c r="I44">
        <v>-0.10948904600000001</v>
      </c>
      <c r="J44">
        <v>0.47404844000000002</v>
      </c>
    </row>
    <row r="45" spans="1:10" x14ac:dyDescent="0.3">
      <c r="A45">
        <v>43</v>
      </c>
      <c r="B45">
        <v>721</v>
      </c>
      <c r="C45" t="b">
        <v>1</v>
      </c>
      <c r="D45">
        <v>8112</v>
      </c>
      <c r="E45">
        <v>8176</v>
      </c>
      <c r="F45">
        <v>274.66665999999998</v>
      </c>
      <c r="G45">
        <v>247.13333</v>
      </c>
      <c r="H45">
        <v>1.1114109000000001</v>
      </c>
      <c r="I45">
        <v>-0.11141081</v>
      </c>
      <c r="J45">
        <v>0.47361700000000001</v>
      </c>
    </row>
    <row r="46" spans="1:10" x14ac:dyDescent="0.3">
      <c r="A46">
        <v>44</v>
      </c>
      <c r="B46">
        <v>753</v>
      </c>
      <c r="C46" t="b">
        <v>1</v>
      </c>
      <c r="D46">
        <v>8192</v>
      </c>
      <c r="E46">
        <v>8176</v>
      </c>
      <c r="F46">
        <v>277.86667</v>
      </c>
      <c r="G46">
        <v>248.73334</v>
      </c>
      <c r="H46">
        <v>1.1171268000000001</v>
      </c>
      <c r="I46">
        <v>-0.11712676</v>
      </c>
      <c r="J46">
        <v>0.47233829999999999</v>
      </c>
    </row>
    <row r="47" spans="1:10" x14ac:dyDescent="0.3">
      <c r="A47">
        <v>45</v>
      </c>
      <c r="B47">
        <v>769</v>
      </c>
      <c r="C47" t="b">
        <v>1</v>
      </c>
      <c r="D47">
        <v>8136</v>
      </c>
      <c r="E47">
        <v>8160</v>
      </c>
      <c r="F47">
        <v>281.06668000000002</v>
      </c>
      <c r="G47">
        <v>249.26666</v>
      </c>
      <c r="H47">
        <v>1.1275743</v>
      </c>
      <c r="I47">
        <v>-0.1275743</v>
      </c>
      <c r="J47">
        <v>0.47001880000000001</v>
      </c>
    </row>
    <row r="48" spans="1:10" x14ac:dyDescent="0.3">
      <c r="A48">
        <v>46</v>
      </c>
      <c r="B48">
        <v>785</v>
      </c>
      <c r="C48" t="b">
        <v>1</v>
      </c>
      <c r="D48">
        <v>8128</v>
      </c>
      <c r="E48">
        <v>8176</v>
      </c>
      <c r="F48">
        <v>283.2</v>
      </c>
      <c r="G48">
        <v>249.26666</v>
      </c>
      <c r="H48">
        <v>1.1361327000000001</v>
      </c>
      <c r="I48">
        <v>-0.13613272000000001</v>
      </c>
      <c r="J48">
        <v>0.46813569999999999</v>
      </c>
    </row>
    <row r="49" spans="1:10" x14ac:dyDescent="0.3">
      <c r="A49">
        <v>47</v>
      </c>
      <c r="B49">
        <v>801</v>
      </c>
      <c r="C49" t="b">
        <v>1</v>
      </c>
      <c r="D49">
        <v>8088</v>
      </c>
      <c r="E49">
        <v>8128</v>
      </c>
      <c r="F49">
        <v>285.33334000000002</v>
      </c>
      <c r="G49">
        <v>249.8</v>
      </c>
      <c r="H49">
        <v>1.1422471999999999</v>
      </c>
      <c r="I49">
        <v>-0.14224716000000001</v>
      </c>
      <c r="J49">
        <v>0.46679953000000002</v>
      </c>
    </row>
    <row r="50" spans="1:10" x14ac:dyDescent="0.3">
      <c r="A50">
        <v>48</v>
      </c>
      <c r="B50">
        <v>816</v>
      </c>
      <c r="C50" t="b">
        <v>1</v>
      </c>
      <c r="D50">
        <v>8120</v>
      </c>
      <c r="E50">
        <v>8144</v>
      </c>
      <c r="F50">
        <v>286.39999999999998</v>
      </c>
      <c r="G50">
        <v>248.73334</v>
      </c>
      <c r="H50">
        <v>1.1514340000000001</v>
      </c>
      <c r="I50">
        <v>-0.15143388999999999</v>
      </c>
      <c r="J50">
        <v>0.46480632</v>
      </c>
    </row>
    <row r="51" spans="1:10" x14ac:dyDescent="0.3">
      <c r="A51">
        <v>49</v>
      </c>
      <c r="B51">
        <v>833</v>
      </c>
      <c r="C51" t="b">
        <v>1</v>
      </c>
      <c r="D51">
        <v>8128</v>
      </c>
      <c r="E51">
        <v>8136</v>
      </c>
      <c r="F51">
        <v>286.93331999999998</v>
      </c>
      <c r="G51">
        <v>246.6</v>
      </c>
      <c r="H51">
        <v>1.1635576000000001</v>
      </c>
      <c r="I51">
        <v>-0.16355763000000001</v>
      </c>
      <c r="J51">
        <v>0.46220168</v>
      </c>
    </row>
    <row r="52" spans="1:10" x14ac:dyDescent="0.3">
      <c r="A52">
        <v>50</v>
      </c>
      <c r="B52">
        <v>848</v>
      </c>
      <c r="C52" t="b">
        <v>1</v>
      </c>
      <c r="D52">
        <v>8128</v>
      </c>
      <c r="E52">
        <v>8168</v>
      </c>
      <c r="F52">
        <v>287.46667000000002</v>
      </c>
      <c r="G52">
        <v>246.06666999999999</v>
      </c>
      <c r="H52">
        <v>1.1682471000000001</v>
      </c>
      <c r="I52">
        <v>-0.16824712</v>
      </c>
      <c r="J52">
        <v>0.46120206000000002</v>
      </c>
    </row>
    <row r="53" spans="1:10" x14ac:dyDescent="0.3">
      <c r="A53">
        <v>51</v>
      </c>
      <c r="B53">
        <v>864</v>
      </c>
      <c r="C53" t="b">
        <v>1</v>
      </c>
      <c r="D53">
        <v>8152</v>
      </c>
      <c r="E53">
        <v>8184</v>
      </c>
      <c r="F53">
        <v>288</v>
      </c>
      <c r="G53">
        <v>245.53334000000001</v>
      </c>
      <c r="H53">
        <v>1.1729567999999999</v>
      </c>
      <c r="I53">
        <v>-0.17295679999999999</v>
      </c>
      <c r="J53">
        <v>0.46020245999999998</v>
      </c>
    </row>
    <row r="54" spans="1:10" x14ac:dyDescent="0.3">
      <c r="A54">
        <v>52</v>
      </c>
      <c r="B54">
        <v>880</v>
      </c>
      <c r="C54" t="b">
        <v>1</v>
      </c>
      <c r="D54">
        <v>8096</v>
      </c>
      <c r="E54">
        <v>8152</v>
      </c>
      <c r="F54">
        <v>288.53332999999998</v>
      </c>
      <c r="G54">
        <v>245.53334000000001</v>
      </c>
      <c r="H54">
        <v>1.1751289</v>
      </c>
      <c r="I54">
        <v>-0.1751289</v>
      </c>
      <c r="J54">
        <v>0.45974287000000003</v>
      </c>
    </row>
    <row r="55" spans="1:10" x14ac:dyDescent="0.3">
      <c r="A55">
        <v>53</v>
      </c>
      <c r="B55">
        <v>896</v>
      </c>
      <c r="C55" t="b">
        <v>1</v>
      </c>
      <c r="D55">
        <v>8096</v>
      </c>
      <c r="E55">
        <v>8120</v>
      </c>
      <c r="F55">
        <v>288.53332999999998</v>
      </c>
      <c r="G55">
        <v>245.53334000000001</v>
      </c>
      <c r="H55">
        <v>1.1751289</v>
      </c>
      <c r="I55">
        <v>-0.1751289</v>
      </c>
      <c r="J55">
        <v>0.45974287000000003</v>
      </c>
    </row>
    <row r="56" spans="1:10" x14ac:dyDescent="0.3">
      <c r="A56">
        <v>54</v>
      </c>
      <c r="B56">
        <v>912</v>
      </c>
      <c r="C56" t="b">
        <v>1</v>
      </c>
      <c r="D56">
        <v>8160</v>
      </c>
      <c r="E56">
        <v>8144</v>
      </c>
      <c r="F56">
        <v>290.13333</v>
      </c>
      <c r="G56">
        <v>245.53334000000001</v>
      </c>
      <c r="H56">
        <v>1.1816454000000001</v>
      </c>
      <c r="I56">
        <v>-0.18164535000000001</v>
      </c>
      <c r="J56">
        <v>0.45836964000000002</v>
      </c>
    </row>
    <row r="57" spans="1:10" x14ac:dyDescent="0.3">
      <c r="A57">
        <v>55</v>
      </c>
      <c r="B57">
        <v>928</v>
      </c>
      <c r="C57" t="b">
        <v>1</v>
      </c>
      <c r="D57">
        <v>8136</v>
      </c>
      <c r="E57">
        <v>8208</v>
      </c>
      <c r="F57">
        <v>291.2</v>
      </c>
      <c r="G57">
        <v>245</v>
      </c>
      <c r="H57">
        <v>1.1885714999999999</v>
      </c>
      <c r="I57">
        <v>-0.18857148000000001</v>
      </c>
      <c r="J57">
        <v>0.45691904</v>
      </c>
    </row>
    <row r="58" spans="1:10" x14ac:dyDescent="0.3">
      <c r="A58">
        <v>56</v>
      </c>
      <c r="B58">
        <v>944</v>
      </c>
      <c r="C58" t="b">
        <v>1</v>
      </c>
      <c r="D58">
        <v>8072</v>
      </c>
      <c r="E58">
        <v>8176</v>
      </c>
      <c r="F58">
        <v>289.60000000000002</v>
      </c>
      <c r="G58">
        <v>244.46665999999999</v>
      </c>
      <c r="H58">
        <v>1.1846197000000001</v>
      </c>
      <c r="I58">
        <v>-0.18461964</v>
      </c>
      <c r="J58">
        <v>0.45774559999999997</v>
      </c>
    </row>
    <row r="59" spans="1:10" x14ac:dyDescent="0.3">
      <c r="A59">
        <v>57</v>
      </c>
      <c r="B59">
        <v>960</v>
      </c>
      <c r="C59" t="b">
        <v>1</v>
      </c>
      <c r="D59">
        <v>8072</v>
      </c>
      <c r="E59">
        <v>8152</v>
      </c>
      <c r="F59">
        <v>287.46667000000002</v>
      </c>
      <c r="G59">
        <v>243.93333000000001</v>
      </c>
      <c r="H59">
        <v>1.178464</v>
      </c>
      <c r="I59">
        <v>-0.17846408</v>
      </c>
      <c r="J59">
        <v>0.45903899999999997</v>
      </c>
    </row>
    <row r="60" spans="1:10" x14ac:dyDescent="0.3">
      <c r="A60">
        <v>58</v>
      </c>
      <c r="B60">
        <v>976</v>
      </c>
      <c r="C60" t="b">
        <v>1</v>
      </c>
      <c r="D60">
        <v>8104</v>
      </c>
      <c r="E60">
        <v>8184</v>
      </c>
      <c r="F60">
        <v>286.39999999999998</v>
      </c>
      <c r="G60">
        <v>243.93333000000001</v>
      </c>
      <c r="H60">
        <v>1.1740911999999999</v>
      </c>
      <c r="I60">
        <v>-0.17409125</v>
      </c>
      <c r="J60">
        <v>0.45996229999999999</v>
      </c>
    </row>
    <row r="61" spans="1:10" x14ac:dyDescent="0.3">
      <c r="A61">
        <v>59</v>
      </c>
      <c r="B61">
        <v>1007</v>
      </c>
      <c r="C61" t="b">
        <v>1</v>
      </c>
      <c r="D61">
        <v>8152</v>
      </c>
      <c r="E61">
        <v>8160</v>
      </c>
      <c r="F61">
        <v>283.2</v>
      </c>
      <c r="G61">
        <v>243.93333000000001</v>
      </c>
      <c r="H61">
        <v>1.160973</v>
      </c>
      <c r="I61">
        <v>-0.16097297999999999</v>
      </c>
      <c r="J61">
        <v>0.46275450000000001</v>
      </c>
    </row>
    <row r="62" spans="1:10" x14ac:dyDescent="0.3">
      <c r="A62">
        <v>60</v>
      </c>
      <c r="B62">
        <v>1023</v>
      </c>
      <c r="C62" t="b">
        <v>1</v>
      </c>
      <c r="D62">
        <v>8128</v>
      </c>
      <c r="E62">
        <v>8144</v>
      </c>
      <c r="F62">
        <v>280</v>
      </c>
      <c r="G62">
        <v>242.86667</v>
      </c>
      <c r="H62">
        <v>1.1528959000000001</v>
      </c>
      <c r="I62">
        <v>-0.15289596</v>
      </c>
      <c r="J62">
        <v>0.46449059999999998</v>
      </c>
    </row>
    <row r="63" spans="1:10" x14ac:dyDescent="0.3">
      <c r="A63">
        <v>61</v>
      </c>
      <c r="B63">
        <v>1039</v>
      </c>
      <c r="C63" t="b">
        <v>1</v>
      </c>
      <c r="D63">
        <v>8128</v>
      </c>
      <c r="E63">
        <v>8184</v>
      </c>
      <c r="F63">
        <v>279.46667000000002</v>
      </c>
      <c r="G63">
        <v>241.8</v>
      </c>
      <c r="H63">
        <v>1.1557761</v>
      </c>
      <c r="I63">
        <v>-0.15577614000000001</v>
      </c>
      <c r="J63">
        <v>0.46387008000000002</v>
      </c>
    </row>
    <row r="64" spans="1:10" x14ac:dyDescent="0.3">
      <c r="A64">
        <v>62</v>
      </c>
      <c r="B64">
        <v>1055</v>
      </c>
      <c r="C64" t="b">
        <v>1</v>
      </c>
      <c r="D64">
        <v>8136</v>
      </c>
      <c r="E64">
        <v>8200</v>
      </c>
      <c r="F64">
        <v>279.46667000000002</v>
      </c>
      <c r="G64">
        <v>242.33332999999999</v>
      </c>
      <c r="H64">
        <v>1.1532325999999999</v>
      </c>
      <c r="I64">
        <v>-0.15323250999999999</v>
      </c>
      <c r="J64">
        <v>0.46441805000000003</v>
      </c>
    </row>
    <row r="65" spans="1:10" x14ac:dyDescent="0.3">
      <c r="A65">
        <v>63</v>
      </c>
      <c r="B65">
        <v>1071</v>
      </c>
      <c r="C65" t="b">
        <v>1</v>
      </c>
      <c r="D65">
        <v>8136</v>
      </c>
      <c r="E65">
        <v>8136</v>
      </c>
      <c r="F65">
        <v>280</v>
      </c>
      <c r="G65">
        <v>242.33332999999999</v>
      </c>
      <c r="H65">
        <v>1.1554333000000001</v>
      </c>
      <c r="I65">
        <v>-0.15543330999999999</v>
      </c>
      <c r="J65">
        <v>0.46394384</v>
      </c>
    </row>
    <row r="66" spans="1:10" x14ac:dyDescent="0.3">
      <c r="A66">
        <v>64</v>
      </c>
      <c r="B66">
        <v>1102</v>
      </c>
      <c r="C66" t="b">
        <v>1</v>
      </c>
      <c r="D66">
        <v>8152</v>
      </c>
      <c r="E66">
        <v>8168</v>
      </c>
      <c r="F66">
        <v>280.53332999999998</v>
      </c>
      <c r="G66">
        <v>243.93333000000001</v>
      </c>
      <c r="H66">
        <v>1.1500410000000001</v>
      </c>
      <c r="I66">
        <v>-0.15004095000000001</v>
      </c>
      <c r="J66">
        <v>0.4651074</v>
      </c>
    </row>
    <row r="67" spans="1:10" x14ac:dyDescent="0.3">
      <c r="A67">
        <v>65</v>
      </c>
      <c r="B67">
        <v>1133</v>
      </c>
      <c r="C67" t="b">
        <v>1</v>
      </c>
      <c r="D67">
        <v>8088</v>
      </c>
      <c r="E67">
        <v>8176</v>
      </c>
      <c r="F67">
        <v>281.06668000000002</v>
      </c>
      <c r="G67">
        <v>246.06666999999999</v>
      </c>
      <c r="H67">
        <v>1.1422379</v>
      </c>
      <c r="I67">
        <v>-0.14223793000000001</v>
      </c>
      <c r="J67">
        <v>0.46680155000000001</v>
      </c>
    </row>
    <row r="68" spans="1:10" x14ac:dyDescent="0.3">
      <c r="A68">
        <v>66</v>
      </c>
      <c r="B68">
        <v>1149</v>
      </c>
      <c r="C68" t="b">
        <v>1</v>
      </c>
      <c r="D68">
        <v>8096</v>
      </c>
      <c r="E68">
        <v>8168</v>
      </c>
      <c r="F68">
        <v>281.60000000000002</v>
      </c>
      <c r="G68">
        <v>247.66667000000001</v>
      </c>
      <c r="H68">
        <v>1.1370121</v>
      </c>
      <c r="I68">
        <v>-0.13701210999999999</v>
      </c>
      <c r="J68">
        <v>0.46794307000000002</v>
      </c>
    </row>
    <row r="69" spans="1:10" x14ac:dyDescent="0.3">
      <c r="A69">
        <v>67</v>
      </c>
      <c r="B69">
        <v>1165</v>
      </c>
      <c r="C69" t="b">
        <v>1</v>
      </c>
      <c r="D69">
        <v>8128</v>
      </c>
      <c r="E69">
        <v>8200</v>
      </c>
      <c r="F69">
        <v>281.60000000000002</v>
      </c>
      <c r="G69">
        <v>248.73334</v>
      </c>
      <c r="H69">
        <v>1.1321361000000001</v>
      </c>
      <c r="I69">
        <v>-0.13213617</v>
      </c>
      <c r="J69">
        <v>0.46901317999999997</v>
      </c>
    </row>
    <row r="70" spans="1:10" x14ac:dyDescent="0.3">
      <c r="A70">
        <v>68</v>
      </c>
      <c r="B70">
        <v>1181</v>
      </c>
      <c r="C70" t="b">
        <v>1</v>
      </c>
      <c r="D70">
        <v>8192</v>
      </c>
      <c r="E70">
        <v>8136</v>
      </c>
      <c r="F70">
        <v>281.60000000000002</v>
      </c>
      <c r="G70">
        <v>249.8</v>
      </c>
      <c r="H70">
        <v>1.1273017999999999</v>
      </c>
      <c r="I70">
        <v>-0.12730185999999999</v>
      </c>
      <c r="J70">
        <v>0.47007903000000001</v>
      </c>
    </row>
    <row r="71" spans="1:10" x14ac:dyDescent="0.3">
      <c r="A71">
        <v>69</v>
      </c>
      <c r="B71">
        <v>1197</v>
      </c>
      <c r="C71" t="b">
        <v>1</v>
      </c>
      <c r="D71">
        <v>8168</v>
      </c>
      <c r="E71">
        <v>8184</v>
      </c>
      <c r="F71">
        <v>281.60000000000002</v>
      </c>
      <c r="G71">
        <v>251.4</v>
      </c>
      <c r="H71">
        <v>1.1201273</v>
      </c>
      <c r="I71">
        <v>-0.120127335</v>
      </c>
      <c r="J71">
        <v>0.47166979999999997</v>
      </c>
    </row>
    <row r="72" spans="1:10" x14ac:dyDescent="0.3">
      <c r="A72">
        <v>70</v>
      </c>
      <c r="B72">
        <v>1213</v>
      </c>
      <c r="C72" t="b">
        <v>1</v>
      </c>
      <c r="D72">
        <v>8112</v>
      </c>
      <c r="E72">
        <v>8144</v>
      </c>
      <c r="F72">
        <v>281.06668000000002</v>
      </c>
      <c r="G72">
        <v>252.46665999999999</v>
      </c>
      <c r="H72">
        <v>1.1132823000000001</v>
      </c>
      <c r="I72">
        <v>-0.11328236999999999</v>
      </c>
      <c r="J72">
        <v>0.47319755000000002</v>
      </c>
    </row>
    <row r="73" spans="1:10" x14ac:dyDescent="0.3">
      <c r="A73">
        <v>71</v>
      </c>
      <c r="B73">
        <v>1229</v>
      </c>
      <c r="C73" t="b">
        <v>1</v>
      </c>
      <c r="D73">
        <v>8104</v>
      </c>
      <c r="E73">
        <v>8144</v>
      </c>
      <c r="F73">
        <v>283.2</v>
      </c>
      <c r="G73">
        <v>251.93333000000001</v>
      </c>
      <c r="H73">
        <v>1.124107</v>
      </c>
      <c r="I73">
        <v>-0.12410694999999999</v>
      </c>
      <c r="J73">
        <v>0.47078606000000001</v>
      </c>
    </row>
    <row r="74" spans="1:10" x14ac:dyDescent="0.3">
      <c r="A74">
        <v>72</v>
      </c>
      <c r="B74">
        <v>1245</v>
      </c>
      <c r="C74" t="b">
        <v>1</v>
      </c>
      <c r="D74">
        <v>8144</v>
      </c>
      <c r="E74">
        <v>8136</v>
      </c>
      <c r="F74">
        <v>286.39999999999998</v>
      </c>
      <c r="G74">
        <v>251.4</v>
      </c>
      <c r="H74">
        <v>1.1392203999999999</v>
      </c>
      <c r="I74">
        <v>-0.13922037000000001</v>
      </c>
      <c r="J74">
        <v>0.46746004000000002</v>
      </c>
    </row>
    <row r="75" spans="1:10" x14ac:dyDescent="0.3">
      <c r="A75">
        <v>73</v>
      </c>
      <c r="B75">
        <v>1261</v>
      </c>
      <c r="C75" t="b">
        <v>1</v>
      </c>
      <c r="D75">
        <v>8176</v>
      </c>
      <c r="E75">
        <v>8136</v>
      </c>
      <c r="F75">
        <v>289.06668000000002</v>
      </c>
      <c r="G75">
        <v>249.26666</v>
      </c>
      <c r="H75">
        <v>1.1596683999999999</v>
      </c>
      <c r="I75">
        <v>-0.15966843</v>
      </c>
      <c r="J75">
        <v>0.463034</v>
      </c>
    </row>
    <row r="76" spans="1:10" x14ac:dyDescent="0.3">
      <c r="A76">
        <v>74</v>
      </c>
      <c r="B76">
        <v>1277</v>
      </c>
      <c r="C76" t="b">
        <v>1</v>
      </c>
      <c r="D76">
        <v>8120</v>
      </c>
      <c r="E76">
        <v>8168</v>
      </c>
      <c r="F76">
        <v>290.13333</v>
      </c>
      <c r="G76">
        <v>247.13333</v>
      </c>
      <c r="H76">
        <v>1.1739951</v>
      </c>
      <c r="I76">
        <v>-0.17399514999999999</v>
      </c>
      <c r="J76">
        <v>0.45998263</v>
      </c>
    </row>
    <row r="77" spans="1:10" x14ac:dyDescent="0.3">
      <c r="A77">
        <v>75</v>
      </c>
      <c r="B77">
        <v>1292</v>
      </c>
      <c r="C77" t="b">
        <v>1</v>
      </c>
      <c r="D77">
        <v>8064</v>
      </c>
      <c r="E77">
        <v>8200</v>
      </c>
      <c r="F77">
        <v>291.2</v>
      </c>
      <c r="G77">
        <v>246.06666999999999</v>
      </c>
      <c r="H77">
        <v>1.1834191999999999</v>
      </c>
      <c r="I77">
        <v>-0.18341917999999999</v>
      </c>
      <c r="J77">
        <v>0.45799726000000002</v>
      </c>
    </row>
    <row r="78" spans="1:10" x14ac:dyDescent="0.3">
      <c r="A78">
        <v>76</v>
      </c>
      <c r="B78">
        <v>1308</v>
      </c>
      <c r="C78" t="b">
        <v>1</v>
      </c>
      <c r="D78">
        <v>8064</v>
      </c>
      <c r="E78">
        <v>8200</v>
      </c>
      <c r="F78">
        <v>290.66665999999998</v>
      </c>
      <c r="G78">
        <v>246.6</v>
      </c>
      <c r="H78">
        <v>1.1786969</v>
      </c>
      <c r="I78">
        <v>-0.17869687000000001</v>
      </c>
      <c r="J78">
        <v>0.45898998000000002</v>
      </c>
    </row>
    <row r="79" spans="1:10" x14ac:dyDescent="0.3">
      <c r="A79">
        <v>77</v>
      </c>
      <c r="B79">
        <v>1324</v>
      </c>
      <c r="C79" t="b">
        <v>1</v>
      </c>
      <c r="D79">
        <v>8128</v>
      </c>
      <c r="E79">
        <v>8176</v>
      </c>
      <c r="F79">
        <v>290.13333</v>
      </c>
      <c r="G79">
        <v>246.06666999999999</v>
      </c>
      <c r="H79">
        <v>1.1790843</v>
      </c>
      <c r="I79">
        <v>-0.17908426</v>
      </c>
      <c r="J79">
        <v>0.45890835000000002</v>
      </c>
    </row>
    <row r="80" spans="1:10" x14ac:dyDescent="0.3">
      <c r="A80">
        <v>78</v>
      </c>
      <c r="B80">
        <v>1340</v>
      </c>
      <c r="C80" t="b">
        <v>1</v>
      </c>
      <c r="D80">
        <v>8088</v>
      </c>
      <c r="E80">
        <v>8136</v>
      </c>
      <c r="F80">
        <v>286.93331999999998</v>
      </c>
      <c r="G80">
        <v>247.13333</v>
      </c>
      <c r="H80">
        <v>1.1610465999999999</v>
      </c>
      <c r="I80">
        <v>-0.16104662</v>
      </c>
      <c r="J80">
        <v>0.46273874999999998</v>
      </c>
    </row>
    <row r="81" spans="1:10" x14ac:dyDescent="0.3">
      <c r="A81">
        <v>79</v>
      </c>
      <c r="B81">
        <v>1356</v>
      </c>
      <c r="C81" t="b">
        <v>1</v>
      </c>
      <c r="D81">
        <v>8128</v>
      </c>
      <c r="E81">
        <v>8128</v>
      </c>
      <c r="F81">
        <v>283.73334</v>
      </c>
      <c r="G81">
        <v>247.66667000000001</v>
      </c>
      <c r="H81">
        <v>1.1456257999999999</v>
      </c>
      <c r="I81">
        <v>-0.14562583000000001</v>
      </c>
      <c r="J81">
        <v>0.46606448</v>
      </c>
    </row>
    <row r="82" spans="1:10" x14ac:dyDescent="0.3">
      <c r="A82">
        <v>80</v>
      </c>
      <c r="B82">
        <v>1372</v>
      </c>
      <c r="C82" t="b">
        <v>1</v>
      </c>
      <c r="D82">
        <v>8144</v>
      </c>
      <c r="E82">
        <v>8192</v>
      </c>
      <c r="F82">
        <v>283.2</v>
      </c>
      <c r="G82">
        <v>247.66667000000001</v>
      </c>
      <c r="H82">
        <v>1.1434724000000001</v>
      </c>
      <c r="I82">
        <v>-0.14347243000000001</v>
      </c>
      <c r="J82">
        <v>0.46653270000000002</v>
      </c>
    </row>
    <row r="83" spans="1:10" x14ac:dyDescent="0.3">
      <c r="A83">
        <v>81</v>
      </c>
      <c r="B83">
        <v>1388</v>
      </c>
      <c r="C83" t="b">
        <v>1</v>
      </c>
      <c r="D83">
        <v>8072</v>
      </c>
      <c r="E83">
        <v>8176</v>
      </c>
      <c r="F83">
        <v>282.66665999999998</v>
      </c>
      <c r="G83">
        <v>248.2</v>
      </c>
      <c r="H83">
        <v>1.1388663999999999</v>
      </c>
      <c r="I83">
        <v>-0.13886647999999999</v>
      </c>
      <c r="J83">
        <v>0.46753737000000001</v>
      </c>
    </row>
    <row r="84" spans="1:10" x14ac:dyDescent="0.3">
      <c r="A84">
        <v>82</v>
      </c>
      <c r="B84">
        <v>1403</v>
      </c>
      <c r="C84" t="b">
        <v>1</v>
      </c>
      <c r="D84">
        <v>8104</v>
      </c>
      <c r="E84">
        <v>8160</v>
      </c>
      <c r="F84">
        <v>281.06668000000002</v>
      </c>
      <c r="G84">
        <v>247.66667000000001</v>
      </c>
      <c r="H84">
        <v>1.1348587000000001</v>
      </c>
      <c r="I84">
        <v>-0.13485870999999999</v>
      </c>
      <c r="J84">
        <v>0.46841507999999998</v>
      </c>
    </row>
    <row r="85" spans="1:10" x14ac:dyDescent="0.3">
      <c r="A85">
        <v>83</v>
      </c>
      <c r="B85">
        <v>1419</v>
      </c>
      <c r="C85" t="b">
        <v>1</v>
      </c>
      <c r="D85">
        <v>8152</v>
      </c>
      <c r="E85">
        <v>8176</v>
      </c>
      <c r="F85">
        <v>281.06668000000002</v>
      </c>
      <c r="G85">
        <v>248.2</v>
      </c>
      <c r="H85">
        <v>1.1324202000000001</v>
      </c>
      <c r="I85">
        <v>-0.13242017</v>
      </c>
      <c r="J85">
        <v>0.46895075000000003</v>
      </c>
    </row>
    <row r="86" spans="1:10" x14ac:dyDescent="0.3">
      <c r="A86">
        <v>84</v>
      </c>
      <c r="B86">
        <v>1435</v>
      </c>
      <c r="C86" t="b">
        <v>1</v>
      </c>
      <c r="D86">
        <v>8144</v>
      </c>
      <c r="E86">
        <v>8208</v>
      </c>
      <c r="F86">
        <v>282.13333</v>
      </c>
      <c r="G86">
        <v>248.2</v>
      </c>
      <c r="H86">
        <v>1.1367176999999999</v>
      </c>
      <c r="I86">
        <v>-0.1367177</v>
      </c>
      <c r="J86">
        <v>0.46800755999999999</v>
      </c>
    </row>
    <row r="87" spans="1:10" x14ac:dyDescent="0.3">
      <c r="A87">
        <v>85</v>
      </c>
      <c r="B87">
        <v>1451</v>
      </c>
      <c r="C87" t="b">
        <v>1</v>
      </c>
      <c r="D87">
        <v>8152</v>
      </c>
      <c r="E87">
        <v>8176</v>
      </c>
      <c r="F87">
        <v>283.2</v>
      </c>
      <c r="G87">
        <v>248.73334</v>
      </c>
      <c r="H87">
        <v>1.1385688</v>
      </c>
      <c r="I87">
        <v>-0.13856877000000001</v>
      </c>
      <c r="J87">
        <v>0.46760246</v>
      </c>
    </row>
    <row r="88" spans="1:10" x14ac:dyDescent="0.3">
      <c r="A88">
        <v>86</v>
      </c>
      <c r="B88">
        <v>1467</v>
      </c>
      <c r="C88" t="b">
        <v>1</v>
      </c>
      <c r="D88">
        <v>8096</v>
      </c>
      <c r="E88">
        <v>8144</v>
      </c>
      <c r="F88">
        <v>284.26666</v>
      </c>
      <c r="G88">
        <v>250.86667</v>
      </c>
      <c r="H88">
        <v>1.1331384</v>
      </c>
      <c r="I88">
        <v>-0.13313843</v>
      </c>
      <c r="J88">
        <v>0.46879285999999998</v>
      </c>
    </row>
    <row r="89" spans="1:10" x14ac:dyDescent="0.3">
      <c r="A89">
        <v>87</v>
      </c>
      <c r="B89">
        <v>1483</v>
      </c>
      <c r="C89" t="b">
        <v>1</v>
      </c>
      <c r="D89">
        <v>8112</v>
      </c>
      <c r="E89">
        <v>8168</v>
      </c>
      <c r="F89">
        <v>284.26666</v>
      </c>
      <c r="G89">
        <v>253</v>
      </c>
      <c r="H89">
        <v>1.1235837</v>
      </c>
      <c r="I89">
        <v>-0.12358364500000001</v>
      </c>
      <c r="J89">
        <v>0.47090211999999998</v>
      </c>
    </row>
    <row r="90" spans="1:10" x14ac:dyDescent="0.3">
      <c r="A90">
        <v>88</v>
      </c>
      <c r="B90">
        <v>1499</v>
      </c>
      <c r="C90" t="b">
        <v>1</v>
      </c>
      <c r="D90">
        <v>8120</v>
      </c>
      <c r="E90">
        <v>8120</v>
      </c>
      <c r="F90">
        <v>282.66665999999998</v>
      </c>
      <c r="G90">
        <v>254.6</v>
      </c>
      <c r="H90">
        <v>1.1102382</v>
      </c>
      <c r="I90">
        <v>-0.11023822</v>
      </c>
      <c r="J90">
        <v>0.47388014000000001</v>
      </c>
    </row>
    <row r="91" spans="1:10" x14ac:dyDescent="0.3">
      <c r="A91">
        <v>89</v>
      </c>
      <c r="B91">
        <v>1515</v>
      </c>
      <c r="C91" t="b">
        <v>1</v>
      </c>
      <c r="D91">
        <v>8088</v>
      </c>
      <c r="E91">
        <v>8176</v>
      </c>
      <c r="F91">
        <v>282.13333</v>
      </c>
      <c r="G91">
        <v>256.2</v>
      </c>
      <c r="H91">
        <v>1.1012230000000001</v>
      </c>
      <c r="I91">
        <v>-0.10122294</v>
      </c>
      <c r="J91">
        <v>0.47591329999999998</v>
      </c>
    </row>
    <row r="92" spans="1:10" x14ac:dyDescent="0.3">
      <c r="A92">
        <v>90</v>
      </c>
      <c r="B92">
        <v>1531</v>
      </c>
      <c r="C92" t="b">
        <v>1</v>
      </c>
      <c r="D92">
        <v>8136</v>
      </c>
      <c r="E92">
        <v>8144</v>
      </c>
      <c r="F92">
        <v>281.60000000000002</v>
      </c>
      <c r="G92">
        <v>256.2</v>
      </c>
      <c r="H92">
        <v>1.0991412</v>
      </c>
      <c r="I92">
        <v>-9.9141270000000004E-2</v>
      </c>
      <c r="J92">
        <v>0.47638527000000003</v>
      </c>
    </row>
    <row r="93" spans="1:10" x14ac:dyDescent="0.3">
      <c r="A93">
        <v>91</v>
      </c>
      <c r="B93">
        <v>1547</v>
      </c>
      <c r="C93" t="b">
        <v>1</v>
      </c>
      <c r="D93">
        <v>8096</v>
      </c>
      <c r="E93">
        <v>8184</v>
      </c>
      <c r="F93">
        <v>281.06668000000002</v>
      </c>
      <c r="G93">
        <v>256.2</v>
      </c>
      <c r="H93">
        <v>1.0970595999999999</v>
      </c>
      <c r="I93">
        <v>-9.7059590000000001E-2</v>
      </c>
      <c r="J93">
        <v>0.47685813999999999</v>
      </c>
    </row>
    <row r="94" spans="1:10" x14ac:dyDescent="0.3">
      <c r="A94">
        <v>92</v>
      </c>
      <c r="B94">
        <v>1563</v>
      </c>
      <c r="C94" t="b">
        <v>1</v>
      </c>
      <c r="D94">
        <v>8056</v>
      </c>
      <c r="E94">
        <v>8168</v>
      </c>
      <c r="F94">
        <v>279.46667000000002</v>
      </c>
      <c r="G94">
        <v>255.66667000000001</v>
      </c>
      <c r="H94">
        <v>1.0930899000000001</v>
      </c>
      <c r="I94">
        <v>-9.3089969999999994E-2</v>
      </c>
      <c r="J94">
        <v>0.47776255000000001</v>
      </c>
    </row>
    <row r="95" spans="1:10" x14ac:dyDescent="0.3">
      <c r="A95">
        <v>93</v>
      </c>
      <c r="B95">
        <v>1579</v>
      </c>
      <c r="C95" t="b">
        <v>1</v>
      </c>
      <c r="D95">
        <v>8104</v>
      </c>
      <c r="E95">
        <v>8200</v>
      </c>
      <c r="F95">
        <v>280</v>
      </c>
      <c r="G95">
        <v>255.66667000000001</v>
      </c>
      <c r="H95">
        <v>1.0951759999999999</v>
      </c>
      <c r="I95">
        <v>-9.5175990000000002E-2</v>
      </c>
      <c r="J95">
        <v>0.47728688000000002</v>
      </c>
    </row>
    <row r="96" spans="1:10" x14ac:dyDescent="0.3">
      <c r="A96">
        <v>94</v>
      </c>
      <c r="B96">
        <v>1595</v>
      </c>
      <c r="C96" t="b">
        <v>1</v>
      </c>
      <c r="D96">
        <v>8128</v>
      </c>
      <c r="E96">
        <v>8176</v>
      </c>
      <c r="F96">
        <v>281.06668000000002</v>
      </c>
      <c r="G96">
        <v>255.66667000000001</v>
      </c>
      <c r="H96">
        <v>1.0993482000000001</v>
      </c>
      <c r="I96">
        <v>-9.9348140000000001E-2</v>
      </c>
      <c r="J96">
        <v>0.47633836000000002</v>
      </c>
    </row>
    <row r="97" spans="1:10" x14ac:dyDescent="0.3">
      <c r="A97">
        <v>95</v>
      </c>
      <c r="B97">
        <v>1611</v>
      </c>
      <c r="C97" t="b">
        <v>1</v>
      </c>
      <c r="D97">
        <v>8112</v>
      </c>
      <c r="E97">
        <v>8176</v>
      </c>
      <c r="F97">
        <v>279.46667000000002</v>
      </c>
      <c r="G97">
        <v>255.66667000000001</v>
      </c>
      <c r="H97">
        <v>1.0930899000000001</v>
      </c>
      <c r="I97">
        <v>-9.3089969999999994E-2</v>
      </c>
      <c r="J97">
        <v>0.47776255000000001</v>
      </c>
    </row>
    <row r="98" spans="1:10" x14ac:dyDescent="0.3">
      <c r="A98">
        <v>96</v>
      </c>
      <c r="B98">
        <v>1627</v>
      </c>
      <c r="C98" t="b">
        <v>1</v>
      </c>
      <c r="D98">
        <v>8104</v>
      </c>
      <c r="E98">
        <v>8192</v>
      </c>
      <c r="F98">
        <v>277.86667</v>
      </c>
      <c r="G98">
        <v>255.66667000000001</v>
      </c>
      <c r="H98">
        <v>1.0868317999999999</v>
      </c>
      <c r="I98">
        <v>-8.6831800000000001E-2</v>
      </c>
      <c r="J98">
        <v>0.47919532999999997</v>
      </c>
    </row>
    <row r="99" spans="1:10" x14ac:dyDescent="0.3">
      <c r="A99">
        <v>97</v>
      </c>
      <c r="B99">
        <v>1643</v>
      </c>
      <c r="C99" t="b">
        <v>1</v>
      </c>
      <c r="D99">
        <v>8152</v>
      </c>
      <c r="E99">
        <v>8160</v>
      </c>
      <c r="F99">
        <v>278.39999999999998</v>
      </c>
      <c r="G99">
        <v>256.73334</v>
      </c>
      <c r="H99">
        <v>1.0843936000000001</v>
      </c>
      <c r="I99">
        <v>-8.4393620000000003E-2</v>
      </c>
      <c r="J99">
        <v>0.47975584999999998</v>
      </c>
    </row>
    <row r="100" spans="1:10" x14ac:dyDescent="0.3">
      <c r="A100">
        <v>98</v>
      </c>
      <c r="B100">
        <v>1659</v>
      </c>
      <c r="C100" t="b">
        <v>1</v>
      </c>
      <c r="D100">
        <v>8072</v>
      </c>
      <c r="E100">
        <v>8128</v>
      </c>
      <c r="F100">
        <v>277.33334000000002</v>
      </c>
      <c r="G100">
        <v>256.73334</v>
      </c>
      <c r="H100">
        <v>1.0802388999999999</v>
      </c>
      <c r="I100">
        <v>-8.0238920000000005E-2</v>
      </c>
      <c r="J100">
        <v>0.48071405</v>
      </c>
    </row>
    <row r="101" spans="1:10" x14ac:dyDescent="0.3">
      <c r="A101">
        <v>99</v>
      </c>
      <c r="B101">
        <v>1675</v>
      </c>
      <c r="C101" t="b">
        <v>1</v>
      </c>
      <c r="D101">
        <v>8184</v>
      </c>
      <c r="E101">
        <v>8176</v>
      </c>
      <c r="F101">
        <v>275.2</v>
      </c>
      <c r="G101">
        <v>256.73334</v>
      </c>
      <c r="H101">
        <v>1.0719295</v>
      </c>
      <c r="I101">
        <v>-7.1929400000000004E-2</v>
      </c>
      <c r="J101">
        <v>0.48264193999999999</v>
      </c>
    </row>
    <row r="102" spans="1:10" x14ac:dyDescent="0.3">
      <c r="A102">
        <v>100</v>
      </c>
      <c r="B102">
        <v>1690</v>
      </c>
      <c r="C102" t="b">
        <v>1</v>
      </c>
      <c r="D102">
        <v>8136</v>
      </c>
      <c r="E102">
        <v>8176</v>
      </c>
      <c r="F102">
        <v>274.66665999999998</v>
      </c>
      <c r="G102">
        <v>256.73334</v>
      </c>
      <c r="H102">
        <v>1.0698519</v>
      </c>
      <c r="I102">
        <v>-6.9851930000000007E-2</v>
      </c>
      <c r="J102">
        <v>0.48312630000000001</v>
      </c>
    </row>
    <row r="103" spans="1:10" x14ac:dyDescent="0.3">
      <c r="A103">
        <v>101</v>
      </c>
      <c r="B103">
        <v>1706</v>
      </c>
      <c r="C103" t="b">
        <v>1</v>
      </c>
      <c r="D103">
        <v>8144</v>
      </c>
      <c r="E103">
        <v>8176</v>
      </c>
      <c r="F103">
        <v>274.66665999999998</v>
      </c>
      <c r="G103">
        <v>256.73334</v>
      </c>
      <c r="H103">
        <v>1.0698519</v>
      </c>
      <c r="I103">
        <v>-6.9851930000000007E-2</v>
      </c>
      <c r="J103">
        <v>0.48312630000000001</v>
      </c>
    </row>
    <row r="104" spans="1:10" x14ac:dyDescent="0.3">
      <c r="A104">
        <v>102</v>
      </c>
      <c r="B104">
        <v>1722</v>
      </c>
      <c r="C104" t="b">
        <v>1</v>
      </c>
      <c r="D104">
        <v>8104</v>
      </c>
      <c r="E104">
        <v>8160</v>
      </c>
      <c r="F104">
        <v>274.13333</v>
      </c>
      <c r="G104">
        <v>256.73334</v>
      </c>
      <c r="H104">
        <v>1.0677745000000001</v>
      </c>
      <c r="I104">
        <v>-6.7774580000000001E-2</v>
      </c>
      <c r="J104">
        <v>0.48361166999999999</v>
      </c>
    </row>
    <row r="105" spans="1:10" x14ac:dyDescent="0.3">
      <c r="A105">
        <v>103</v>
      </c>
      <c r="B105">
        <v>1738</v>
      </c>
      <c r="C105" t="b">
        <v>1</v>
      </c>
      <c r="D105">
        <v>8104</v>
      </c>
      <c r="E105">
        <v>8136</v>
      </c>
      <c r="F105">
        <v>275.2</v>
      </c>
      <c r="G105">
        <v>257.26666</v>
      </c>
      <c r="H105">
        <v>1.0697072999999999</v>
      </c>
      <c r="I105">
        <v>-6.9707245000000001E-2</v>
      </c>
      <c r="J105">
        <v>0.48316009999999998</v>
      </c>
    </row>
    <row r="106" spans="1:10" x14ac:dyDescent="0.3">
      <c r="A106">
        <v>104</v>
      </c>
      <c r="B106">
        <v>1769</v>
      </c>
      <c r="C106" t="b">
        <v>1</v>
      </c>
      <c r="D106">
        <v>8200</v>
      </c>
      <c r="E106">
        <v>8176</v>
      </c>
      <c r="F106">
        <v>276.8</v>
      </c>
      <c r="G106">
        <v>257.8</v>
      </c>
      <c r="H106">
        <v>1.0737004999999999</v>
      </c>
      <c r="I106">
        <v>-7.3700550000000004E-2</v>
      </c>
      <c r="J106">
        <v>0.48222969999999998</v>
      </c>
    </row>
    <row r="107" spans="1:10" x14ac:dyDescent="0.3">
      <c r="A107">
        <v>105</v>
      </c>
      <c r="B107">
        <v>1785</v>
      </c>
      <c r="C107" t="b">
        <v>1</v>
      </c>
      <c r="D107">
        <v>8144</v>
      </c>
      <c r="E107">
        <v>8184</v>
      </c>
      <c r="F107">
        <v>278.93331999999998</v>
      </c>
      <c r="G107">
        <v>259.93331999999998</v>
      </c>
      <c r="H107">
        <v>1.0730957000000001</v>
      </c>
      <c r="I107">
        <v>-7.3095670000000001E-2</v>
      </c>
      <c r="J107">
        <v>0.48237039999999998</v>
      </c>
    </row>
    <row r="108" spans="1:10" x14ac:dyDescent="0.3">
      <c r="A108">
        <v>106</v>
      </c>
      <c r="B108">
        <v>1801</v>
      </c>
      <c r="C108" t="b">
        <v>1</v>
      </c>
      <c r="D108">
        <v>8096</v>
      </c>
      <c r="E108">
        <v>8176</v>
      </c>
      <c r="F108">
        <v>278.39999999999998</v>
      </c>
      <c r="G108">
        <v>260.46667000000002</v>
      </c>
      <c r="H108">
        <v>1.0688508000000001</v>
      </c>
      <c r="I108">
        <v>-6.8850726000000001E-2</v>
      </c>
      <c r="J108">
        <v>0.48336010000000001</v>
      </c>
    </row>
    <row r="109" spans="1:10" x14ac:dyDescent="0.3">
      <c r="A109">
        <v>107</v>
      </c>
      <c r="B109">
        <v>1817</v>
      </c>
      <c r="C109" t="b">
        <v>1</v>
      </c>
      <c r="D109">
        <v>8104</v>
      </c>
      <c r="E109">
        <v>8152</v>
      </c>
      <c r="F109">
        <v>278.93331999999998</v>
      </c>
      <c r="G109">
        <v>261</v>
      </c>
      <c r="H109">
        <v>1.0687101000000001</v>
      </c>
      <c r="I109">
        <v>-6.871004E-2</v>
      </c>
      <c r="J109">
        <v>0.48339298000000003</v>
      </c>
    </row>
    <row r="110" spans="1:10" x14ac:dyDescent="0.3">
      <c r="A110">
        <v>108</v>
      </c>
      <c r="B110">
        <v>1833</v>
      </c>
      <c r="C110" t="b">
        <v>1</v>
      </c>
      <c r="D110">
        <v>8088</v>
      </c>
      <c r="E110">
        <v>8176</v>
      </c>
      <c r="F110">
        <v>279.46667000000002</v>
      </c>
      <c r="G110">
        <v>261</v>
      </c>
      <c r="H110">
        <v>1.0707536</v>
      </c>
      <c r="I110">
        <v>-7.0753545000000001E-2</v>
      </c>
      <c r="J110">
        <v>0.48291600000000001</v>
      </c>
    </row>
    <row r="111" spans="1:10" x14ac:dyDescent="0.3">
      <c r="A111">
        <v>109</v>
      </c>
      <c r="B111">
        <v>1849</v>
      </c>
      <c r="C111" t="b">
        <v>1</v>
      </c>
      <c r="D111">
        <v>8080</v>
      </c>
      <c r="E111">
        <v>8136</v>
      </c>
      <c r="F111">
        <v>278.93331999999998</v>
      </c>
      <c r="G111">
        <v>261</v>
      </c>
      <c r="H111">
        <v>1.0687101000000001</v>
      </c>
      <c r="I111">
        <v>-6.871004E-2</v>
      </c>
      <c r="J111">
        <v>0.48339298000000003</v>
      </c>
    </row>
    <row r="112" spans="1:10" x14ac:dyDescent="0.3">
      <c r="A112">
        <v>110</v>
      </c>
      <c r="B112">
        <v>1865</v>
      </c>
      <c r="C112" t="b">
        <v>1</v>
      </c>
      <c r="D112">
        <v>8096</v>
      </c>
      <c r="E112">
        <v>8200</v>
      </c>
      <c r="F112">
        <v>278.39999999999998</v>
      </c>
      <c r="G112">
        <v>261</v>
      </c>
      <c r="H112">
        <v>1.0666666</v>
      </c>
      <c r="I112">
        <v>-6.6666639999999999E-2</v>
      </c>
      <c r="J112">
        <v>0.48387095000000002</v>
      </c>
    </row>
    <row r="113" spans="1:10" x14ac:dyDescent="0.3">
      <c r="A113">
        <v>111</v>
      </c>
      <c r="B113">
        <v>1881</v>
      </c>
      <c r="C113" t="b">
        <v>1</v>
      </c>
      <c r="D113">
        <v>8096</v>
      </c>
      <c r="E113">
        <v>8176</v>
      </c>
      <c r="F113">
        <v>277.86667</v>
      </c>
      <c r="G113">
        <v>261</v>
      </c>
      <c r="H113">
        <v>1.0646232</v>
      </c>
      <c r="I113">
        <v>-6.4623249999999993E-2</v>
      </c>
      <c r="J113">
        <v>0.48434985000000003</v>
      </c>
    </row>
    <row r="114" spans="1:10" x14ac:dyDescent="0.3">
      <c r="A114">
        <v>112</v>
      </c>
      <c r="B114">
        <v>1897</v>
      </c>
      <c r="C114" t="b">
        <v>1</v>
      </c>
      <c r="D114">
        <v>8120</v>
      </c>
      <c r="E114">
        <v>8152</v>
      </c>
      <c r="F114">
        <v>276.8</v>
      </c>
      <c r="G114">
        <v>261</v>
      </c>
      <c r="H114">
        <v>1.0605363999999999</v>
      </c>
      <c r="I114">
        <v>-6.0536350000000003E-2</v>
      </c>
      <c r="J114">
        <v>0.48531052000000002</v>
      </c>
    </row>
    <row r="115" spans="1:10" x14ac:dyDescent="0.3">
      <c r="A115">
        <v>113</v>
      </c>
      <c r="B115">
        <v>1913</v>
      </c>
      <c r="C115" t="b">
        <v>1</v>
      </c>
      <c r="D115">
        <v>8104</v>
      </c>
      <c r="E115">
        <v>8128</v>
      </c>
      <c r="F115">
        <v>275.73334</v>
      </c>
      <c r="G115">
        <v>259.39999999999998</v>
      </c>
      <c r="H115">
        <v>1.0629659</v>
      </c>
      <c r="I115">
        <v>-6.2965859999999998E-2</v>
      </c>
      <c r="J115">
        <v>0.48473904000000001</v>
      </c>
    </row>
    <row r="116" spans="1:10" x14ac:dyDescent="0.3">
      <c r="A116">
        <v>114</v>
      </c>
      <c r="B116">
        <v>1929</v>
      </c>
      <c r="C116" t="b">
        <v>1</v>
      </c>
      <c r="D116">
        <v>8136</v>
      </c>
      <c r="E116">
        <v>8200</v>
      </c>
      <c r="F116">
        <v>275.2</v>
      </c>
      <c r="G116">
        <v>259.39999999999998</v>
      </c>
      <c r="H116">
        <v>1.0609099</v>
      </c>
      <c r="I116">
        <v>-6.0909864000000001E-2</v>
      </c>
      <c r="J116">
        <v>0.4852226</v>
      </c>
    </row>
    <row r="117" spans="1:10" x14ac:dyDescent="0.3">
      <c r="A117">
        <v>115</v>
      </c>
      <c r="B117">
        <v>1945</v>
      </c>
      <c r="C117" t="b">
        <v>1</v>
      </c>
      <c r="D117">
        <v>8144</v>
      </c>
      <c r="E117">
        <v>8152</v>
      </c>
      <c r="F117">
        <v>274.13333</v>
      </c>
      <c r="G117">
        <v>257.8</v>
      </c>
      <c r="H117">
        <v>1.0633566000000001</v>
      </c>
      <c r="I117">
        <v>-6.335665E-2</v>
      </c>
      <c r="J117">
        <v>0.48464715000000003</v>
      </c>
    </row>
    <row r="118" spans="1:10" x14ac:dyDescent="0.3">
      <c r="A118">
        <v>116</v>
      </c>
      <c r="B118">
        <v>1960</v>
      </c>
      <c r="C118" t="b">
        <v>1</v>
      </c>
      <c r="D118">
        <v>8128</v>
      </c>
      <c r="E118">
        <v>8160</v>
      </c>
      <c r="F118">
        <v>273.06668000000002</v>
      </c>
      <c r="G118">
        <v>256.2</v>
      </c>
      <c r="H118">
        <v>1.0658339999999999</v>
      </c>
      <c r="I118">
        <v>-6.5833985999999997E-2</v>
      </c>
      <c r="J118">
        <v>0.48406598000000001</v>
      </c>
    </row>
    <row r="119" spans="1:10" x14ac:dyDescent="0.3">
      <c r="A119">
        <v>117</v>
      </c>
      <c r="B119">
        <v>1976</v>
      </c>
      <c r="C119" t="b">
        <v>1</v>
      </c>
      <c r="D119">
        <v>8064</v>
      </c>
      <c r="E119">
        <v>8152</v>
      </c>
      <c r="F119">
        <v>272.53332999999998</v>
      </c>
      <c r="G119">
        <v>254.6</v>
      </c>
      <c r="H119">
        <v>1.0704372</v>
      </c>
      <c r="I119">
        <v>-7.0437230000000003E-2</v>
      </c>
      <c r="J119">
        <v>0.48298980000000002</v>
      </c>
    </row>
    <row r="120" spans="1:10" x14ac:dyDescent="0.3">
      <c r="A120">
        <v>118</v>
      </c>
      <c r="B120">
        <v>1992</v>
      </c>
      <c r="C120" t="b">
        <v>1</v>
      </c>
      <c r="D120">
        <v>8112</v>
      </c>
      <c r="E120">
        <v>8176</v>
      </c>
      <c r="F120">
        <v>272</v>
      </c>
      <c r="G120">
        <v>253.53334000000001</v>
      </c>
      <c r="H120">
        <v>1.0728371999999999</v>
      </c>
      <c r="I120">
        <v>-7.2837204000000003E-2</v>
      </c>
      <c r="J120">
        <v>0.48243058</v>
      </c>
    </row>
    <row r="121" spans="1:10" x14ac:dyDescent="0.3">
      <c r="A121">
        <v>119</v>
      </c>
      <c r="B121">
        <v>2008</v>
      </c>
      <c r="C121" t="b">
        <v>1</v>
      </c>
      <c r="D121">
        <v>8088</v>
      </c>
      <c r="E121">
        <v>8184</v>
      </c>
      <c r="F121">
        <v>270.39999999999998</v>
      </c>
      <c r="G121">
        <v>252.46665999999999</v>
      </c>
      <c r="H121">
        <v>1.0710325000000001</v>
      </c>
      <c r="I121">
        <v>-7.1032490000000004E-2</v>
      </c>
      <c r="J121">
        <v>0.48285096999999999</v>
      </c>
    </row>
    <row r="122" spans="1:10" x14ac:dyDescent="0.3">
      <c r="A122">
        <v>120</v>
      </c>
      <c r="B122">
        <v>2024</v>
      </c>
      <c r="C122" t="b">
        <v>1</v>
      </c>
      <c r="D122">
        <v>8136</v>
      </c>
      <c r="E122">
        <v>8120</v>
      </c>
      <c r="F122">
        <v>268.26666</v>
      </c>
      <c r="G122">
        <v>251.4</v>
      </c>
      <c r="H122">
        <v>1.067091</v>
      </c>
      <c r="I122">
        <v>-6.7090966000000002E-2</v>
      </c>
      <c r="J122">
        <v>0.48377167999999998</v>
      </c>
    </row>
    <row r="123" spans="1:10" x14ac:dyDescent="0.3">
      <c r="A123">
        <v>121</v>
      </c>
      <c r="B123">
        <v>2039</v>
      </c>
      <c r="C123" t="b">
        <v>1</v>
      </c>
      <c r="D123">
        <v>8080</v>
      </c>
      <c r="E123">
        <v>8152</v>
      </c>
      <c r="F123">
        <v>267.2</v>
      </c>
      <c r="G123">
        <v>249.8</v>
      </c>
      <c r="H123">
        <v>1.0696558</v>
      </c>
      <c r="I123">
        <v>-6.9655759999999997E-2</v>
      </c>
      <c r="J123">
        <v>0.48317215000000002</v>
      </c>
    </row>
    <row r="124" spans="1:10" x14ac:dyDescent="0.3">
      <c r="A124">
        <v>122</v>
      </c>
      <c r="B124">
        <v>2055</v>
      </c>
      <c r="C124" t="b">
        <v>1</v>
      </c>
      <c r="D124">
        <v>8088</v>
      </c>
      <c r="E124">
        <v>8184</v>
      </c>
      <c r="F124">
        <v>266.13333</v>
      </c>
      <c r="G124">
        <v>249.8</v>
      </c>
      <c r="H124">
        <v>1.0653855999999999</v>
      </c>
      <c r="I124">
        <v>-6.5385620000000005E-2</v>
      </c>
      <c r="J124">
        <v>0.48417105999999999</v>
      </c>
    </row>
    <row r="125" spans="1:10" x14ac:dyDescent="0.3">
      <c r="A125">
        <v>123</v>
      </c>
      <c r="B125">
        <v>2071</v>
      </c>
      <c r="C125" t="b">
        <v>1</v>
      </c>
      <c r="D125">
        <v>8152</v>
      </c>
      <c r="E125">
        <v>8192</v>
      </c>
      <c r="F125">
        <v>265.06668000000002</v>
      </c>
      <c r="G125">
        <v>250.33332999999999</v>
      </c>
      <c r="H125">
        <v>1.0588549</v>
      </c>
      <c r="I125">
        <v>-5.8854938000000002E-2</v>
      </c>
      <c r="J125">
        <v>0.48570687000000001</v>
      </c>
    </row>
    <row r="126" spans="1:10" x14ac:dyDescent="0.3">
      <c r="A126">
        <v>124</v>
      </c>
      <c r="B126">
        <v>2087</v>
      </c>
      <c r="C126" t="b">
        <v>1</v>
      </c>
      <c r="D126">
        <v>8152</v>
      </c>
      <c r="E126">
        <v>8104</v>
      </c>
      <c r="F126">
        <v>267.73334</v>
      </c>
      <c r="G126">
        <v>248.73334</v>
      </c>
      <c r="H126">
        <v>1.076387</v>
      </c>
      <c r="I126">
        <v>-7.6387024999999997E-2</v>
      </c>
      <c r="J126">
        <v>0.48160579999999997</v>
      </c>
    </row>
    <row r="127" spans="1:10" x14ac:dyDescent="0.3">
      <c r="A127">
        <v>125</v>
      </c>
      <c r="B127">
        <v>2103</v>
      </c>
      <c r="C127" t="b">
        <v>1</v>
      </c>
      <c r="D127">
        <v>8128</v>
      </c>
      <c r="E127">
        <v>8152</v>
      </c>
      <c r="F127">
        <v>269.86667</v>
      </c>
      <c r="G127">
        <v>247.13333</v>
      </c>
      <c r="H127">
        <v>1.0919882000000001</v>
      </c>
      <c r="I127">
        <v>-9.1988150000000005E-2</v>
      </c>
      <c r="J127">
        <v>0.47801417000000002</v>
      </c>
    </row>
    <row r="128" spans="1:10" x14ac:dyDescent="0.3">
      <c r="A128">
        <v>126</v>
      </c>
      <c r="B128">
        <v>2119</v>
      </c>
      <c r="C128" t="b">
        <v>1</v>
      </c>
      <c r="D128">
        <v>8168</v>
      </c>
      <c r="E128">
        <v>8160</v>
      </c>
      <c r="F128">
        <v>273.60000000000002</v>
      </c>
      <c r="G128">
        <v>246.06666999999999</v>
      </c>
      <c r="H128">
        <v>1.1118938</v>
      </c>
      <c r="I128">
        <v>-0.111893825</v>
      </c>
      <c r="J128">
        <v>0.47350862999999999</v>
      </c>
    </row>
    <row r="129" spans="1:10" x14ac:dyDescent="0.3">
      <c r="A129">
        <v>127</v>
      </c>
      <c r="B129">
        <v>2135</v>
      </c>
      <c r="C129" t="b">
        <v>1</v>
      </c>
      <c r="D129">
        <v>8096</v>
      </c>
      <c r="E129">
        <v>8128</v>
      </c>
      <c r="F129">
        <v>277.33334000000002</v>
      </c>
      <c r="G129">
        <v>244.46665999999999</v>
      </c>
      <c r="H129">
        <v>1.1344424</v>
      </c>
      <c r="I129">
        <v>-0.13444239999999999</v>
      </c>
      <c r="J129">
        <v>0.46850646000000001</v>
      </c>
    </row>
    <row r="130" spans="1:10" x14ac:dyDescent="0.3">
      <c r="A130">
        <v>128</v>
      </c>
      <c r="B130">
        <v>2151</v>
      </c>
      <c r="C130" t="b">
        <v>1</v>
      </c>
      <c r="D130">
        <v>8088</v>
      </c>
      <c r="E130">
        <v>8144</v>
      </c>
      <c r="F130">
        <v>279.46667000000002</v>
      </c>
      <c r="G130">
        <v>243.93333000000001</v>
      </c>
      <c r="H130">
        <v>1.1456683000000001</v>
      </c>
      <c r="I130">
        <v>-0.14566824</v>
      </c>
      <c r="J130">
        <v>0.46605527000000002</v>
      </c>
    </row>
    <row r="131" spans="1:10" x14ac:dyDescent="0.3">
      <c r="A131">
        <v>129</v>
      </c>
      <c r="B131">
        <v>2167</v>
      </c>
      <c r="C131" t="b">
        <v>1</v>
      </c>
      <c r="D131">
        <v>8152</v>
      </c>
      <c r="E131">
        <v>8160</v>
      </c>
      <c r="F131">
        <v>281.06668000000002</v>
      </c>
      <c r="G131">
        <v>242.33332999999999</v>
      </c>
      <c r="H131">
        <v>1.1598349999999999</v>
      </c>
      <c r="I131">
        <v>-0.15983502999999999</v>
      </c>
      <c r="J131">
        <v>0.46299829999999997</v>
      </c>
    </row>
    <row r="132" spans="1:10" x14ac:dyDescent="0.3">
      <c r="A132">
        <v>130</v>
      </c>
      <c r="B132">
        <v>2183</v>
      </c>
      <c r="C132" t="b">
        <v>1</v>
      </c>
      <c r="D132">
        <v>8088</v>
      </c>
      <c r="E132">
        <v>8192</v>
      </c>
      <c r="F132">
        <v>279.46667000000002</v>
      </c>
      <c r="G132">
        <v>242.86667</v>
      </c>
      <c r="H132">
        <v>1.1507000000000001</v>
      </c>
      <c r="I132">
        <v>-0.1507</v>
      </c>
      <c r="J132">
        <v>0.46496486999999997</v>
      </c>
    </row>
    <row r="133" spans="1:10" x14ac:dyDescent="0.3">
      <c r="A133">
        <v>131</v>
      </c>
      <c r="B133">
        <v>2199</v>
      </c>
      <c r="C133" t="b">
        <v>1</v>
      </c>
      <c r="D133">
        <v>8120</v>
      </c>
      <c r="E133">
        <v>8128</v>
      </c>
      <c r="F133">
        <v>277.33334000000002</v>
      </c>
      <c r="G133">
        <v>242.33332999999999</v>
      </c>
      <c r="H133">
        <v>1.1444292</v>
      </c>
      <c r="I133">
        <v>-0.14442922</v>
      </c>
      <c r="J133">
        <v>0.46632454000000001</v>
      </c>
    </row>
    <row r="134" spans="1:10" x14ac:dyDescent="0.3">
      <c r="A134">
        <v>132</v>
      </c>
      <c r="B134">
        <v>2215</v>
      </c>
      <c r="C134" t="b">
        <v>1</v>
      </c>
      <c r="D134">
        <v>8128</v>
      </c>
      <c r="E134">
        <v>8152</v>
      </c>
      <c r="F134">
        <v>276.8</v>
      </c>
      <c r="G134">
        <v>242.33332999999999</v>
      </c>
      <c r="H134">
        <v>1.1422284</v>
      </c>
      <c r="I134">
        <v>-0.1422283</v>
      </c>
      <c r="J134">
        <v>0.46680367</v>
      </c>
    </row>
    <row r="135" spans="1:10" x14ac:dyDescent="0.3">
      <c r="A135">
        <v>133</v>
      </c>
      <c r="B135">
        <v>2231</v>
      </c>
      <c r="C135" t="b">
        <v>1</v>
      </c>
      <c r="D135">
        <v>8072</v>
      </c>
      <c r="E135">
        <v>8216</v>
      </c>
      <c r="F135">
        <v>276.26666</v>
      </c>
      <c r="G135">
        <v>242.33332999999999</v>
      </c>
      <c r="H135">
        <v>1.1400275</v>
      </c>
      <c r="I135">
        <v>-0.14002751999999999</v>
      </c>
      <c r="J135">
        <v>0.46728373000000001</v>
      </c>
    </row>
    <row r="136" spans="1:10" x14ac:dyDescent="0.3">
      <c r="A136">
        <v>134</v>
      </c>
      <c r="B136">
        <v>2247</v>
      </c>
      <c r="C136" t="b">
        <v>1</v>
      </c>
      <c r="D136">
        <v>8160</v>
      </c>
      <c r="E136">
        <v>8144</v>
      </c>
      <c r="F136">
        <v>276.8</v>
      </c>
      <c r="G136">
        <v>241.8</v>
      </c>
      <c r="H136">
        <v>1.1447476000000001</v>
      </c>
      <c r="I136">
        <v>-0.14474766</v>
      </c>
      <c r="J136">
        <v>0.46625534000000002</v>
      </c>
    </row>
    <row r="137" spans="1:10" x14ac:dyDescent="0.3">
      <c r="A137">
        <v>135</v>
      </c>
      <c r="B137">
        <v>2263</v>
      </c>
      <c r="C137" t="b">
        <v>1</v>
      </c>
      <c r="D137">
        <v>8152</v>
      </c>
      <c r="E137">
        <v>8176</v>
      </c>
      <c r="F137">
        <v>277.86667</v>
      </c>
      <c r="G137">
        <v>241.26666</v>
      </c>
      <c r="H137">
        <v>1.1516994</v>
      </c>
      <c r="I137">
        <v>-0.15169940000000001</v>
      </c>
      <c r="J137">
        <v>0.46474894999999999</v>
      </c>
    </row>
    <row r="138" spans="1:10" x14ac:dyDescent="0.3">
      <c r="A138">
        <v>136</v>
      </c>
      <c r="B138">
        <v>2278</v>
      </c>
      <c r="C138" t="b">
        <v>1</v>
      </c>
      <c r="D138">
        <v>8080</v>
      </c>
      <c r="E138">
        <v>8160</v>
      </c>
      <c r="F138">
        <v>280.53332999999998</v>
      </c>
      <c r="G138">
        <v>241.8</v>
      </c>
      <c r="H138">
        <v>1.1601874999999999</v>
      </c>
      <c r="I138">
        <v>-0.16018743999999999</v>
      </c>
      <c r="J138">
        <v>0.46292280000000002</v>
      </c>
    </row>
    <row r="139" spans="1:10" x14ac:dyDescent="0.3">
      <c r="A139">
        <v>137</v>
      </c>
      <c r="B139">
        <v>2295</v>
      </c>
      <c r="C139" t="b">
        <v>1</v>
      </c>
      <c r="D139">
        <v>8112</v>
      </c>
      <c r="E139">
        <v>8152</v>
      </c>
      <c r="F139">
        <v>282.13333</v>
      </c>
      <c r="G139">
        <v>240.73334</v>
      </c>
      <c r="H139">
        <v>1.1719744999999999</v>
      </c>
      <c r="I139">
        <v>-0.1719745</v>
      </c>
      <c r="J139">
        <v>0.46041053999999998</v>
      </c>
    </row>
    <row r="140" spans="1:10" x14ac:dyDescent="0.3">
      <c r="A140">
        <v>138</v>
      </c>
      <c r="B140">
        <v>2311</v>
      </c>
      <c r="C140" t="b">
        <v>1</v>
      </c>
      <c r="D140">
        <v>8088</v>
      </c>
      <c r="E140">
        <v>8184</v>
      </c>
      <c r="F140">
        <v>283.73334</v>
      </c>
      <c r="G140">
        <v>239.13333</v>
      </c>
      <c r="H140">
        <v>1.1865068999999999</v>
      </c>
      <c r="I140">
        <v>-0.18650685</v>
      </c>
      <c r="J140">
        <v>0.45735046000000001</v>
      </c>
    </row>
    <row r="141" spans="1:10" x14ac:dyDescent="0.3">
      <c r="A141">
        <v>139</v>
      </c>
      <c r="B141">
        <v>2327</v>
      </c>
      <c r="C141" t="b">
        <v>1</v>
      </c>
      <c r="D141">
        <v>8096</v>
      </c>
      <c r="E141">
        <v>8160</v>
      </c>
      <c r="F141">
        <v>281.06668000000002</v>
      </c>
      <c r="G141">
        <v>239.66667000000001</v>
      </c>
      <c r="H141">
        <v>1.1727399999999999</v>
      </c>
      <c r="I141">
        <v>-0.17273995</v>
      </c>
      <c r="J141">
        <v>0.46024838000000001</v>
      </c>
    </row>
    <row r="142" spans="1:10" x14ac:dyDescent="0.3">
      <c r="A142">
        <v>140</v>
      </c>
      <c r="B142">
        <v>2342</v>
      </c>
      <c r="C142" t="b">
        <v>1</v>
      </c>
      <c r="D142">
        <v>8104</v>
      </c>
      <c r="E142">
        <v>8152</v>
      </c>
      <c r="F142">
        <v>278.93331999999998</v>
      </c>
      <c r="G142">
        <v>240.2</v>
      </c>
      <c r="H142">
        <v>1.1612545000000001</v>
      </c>
      <c r="I142">
        <v>-0.16125447000000001</v>
      </c>
      <c r="J142">
        <v>0.46269426000000002</v>
      </c>
    </row>
    <row r="143" spans="1:10" x14ac:dyDescent="0.3">
      <c r="A143">
        <v>141</v>
      </c>
      <c r="B143">
        <v>2359</v>
      </c>
      <c r="C143" t="b">
        <v>1</v>
      </c>
      <c r="D143">
        <v>8120</v>
      </c>
      <c r="E143">
        <v>8176</v>
      </c>
      <c r="F143">
        <v>275.73334</v>
      </c>
      <c r="G143">
        <v>240.2</v>
      </c>
      <c r="H143">
        <v>1.1479322999999999</v>
      </c>
      <c r="I143">
        <v>-0.14793229999999999</v>
      </c>
      <c r="J143">
        <v>0.46556399999999998</v>
      </c>
    </row>
    <row r="144" spans="1:10" x14ac:dyDescent="0.3">
      <c r="A144">
        <v>142</v>
      </c>
      <c r="B144">
        <v>2374</v>
      </c>
      <c r="C144" t="b">
        <v>1</v>
      </c>
      <c r="D144">
        <v>8112</v>
      </c>
      <c r="E144">
        <v>8200</v>
      </c>
      <c r="F144">
        <v>272.53332999999998</v>
      </c>
      <c r="G144">
        <v>241.8</v>
      </c>
      <c r="H144">
        <v>1.1271023</v>
      </c>
      <c r="I144">
        <v>-0.12710224000000001</v>
      </c>
      <c r="J144">
        <v>0.47012316999999998</v>
      </c>
    </row>
    <row r="145" spans="1:10" x14ac:dyDescent="0.3">
      <c r="A145">
        <v>143</v>
      </c>
      <c r="B145">
        <v>2391</v>
      </c>
      <c r="C145" t="b">
        <v>1</v>
      </c>
      <c r="D145">
        <v>8128</v>
      </c>
      <c r="E145">
        <v>8176</v>
      </c>
      <c r="F145">
        <v>271.46667000000002</v>
      </c>
      <c r="G145">
        <v>243.93333000000001</v>
      </c>
      <c r="H145">
        <v>1.1128724000000001</v>
      </c>
      <c r="I145">
        <v>-0.1128724</v>
      </c>
      <c r="J145">
        <v>0.47328934</v>
      </c>
    </row>
    <row r="146" spans="1:10" x14ac:dyDescent="0.3">
      <c r="A146">
        <v>144</v>
      </c>
      <c r="B146">
        <v>2406</v>
      </c>
      <c r="C146" t="b">
        <v>1</v>
      </c>
      <c r="D146">
        <v>8144</v>
      </c>
      <c r="E146">
        <v>8160</v>
      </c>
      <c r="F146">
        <v>270.93331999999998</v>
      </c>
      <c r="G146">
        <v>245.53334000000001</v>
      </c>
      <c r="H146">
        <v>1.1034482000000001</v>
      </c>
      <c r="I146">
        <v>-0.10344818</v>
      </c>
      <c r="J146">
        <v>0.47540983999999997</v>
      </c>
    </row>
    <row r="147" spans="1:10" x14ac:dyDescent="0.3">
      <c r="A147">
        <v>145</v>
      </c>
      <c r="B147">
        <v>2423</v>
      </c>
      <c r="C147" t="b">
        <v>1</v>
      </c>
      <c r="D147">
        <v>8104</v>
      </c>
      <c r="E147">
        <v>8176</v>
      </c>
      <c r="F147">
        <v>272.53332999999998</v>
      </c>
      <c r="G147">
        <v>246.6</v>
      </c>
      <c r="H147">
        <v>1.1051635</v>
      </c>
      <c r="I147">
        <v>-0.10516349999999999</v>
      </c>
      <c r="J147">
        <v>0.47502252</v>
      </c>
    </row>
    <row r="148" spans="1:10" x14ac:dyDescent="0.3">
      <c r="A148">
        <v>146</v>
      </c>
      <c r="B148">
        <v>2439</v>
      </c>
      <c r="C148" t="b">
        <v>1</v>
      </c>
      <c r="D148">
        <v>8088</v>
      </c>
      <c r="E148">
        <v>8128</v>
      </c>
      <c r="F148">
        <v>273.60000000000002</v>
      </c>
      <c r="G148">
        <v>248.73334</v>
      </c>
      <c r="H148">
        <v>1.0999732</v>
      </c>
      <c r="I148">
        <v>-9.9973199999999998E-2</v>
      </c>
      <c r="J148">
        <v>0.47619653000000001</v>
      </c>
    </row>
    <row r="149" spans="1:10" x14ac:dyDescent="0.3">
      <c r="A149">
        <v>147</v>
      </c>
      <c r="B149">
        <v>2454</v>
      </c>
      <c r="C149" t="b">
        <v>1</v>
      </c>
      <c r="D149">
        <v>8168</v>
      </c>
      <c r="E149">
        <v>8192</v>
      </c>
      <c r="F149">
        <v>274.13333</v>
      </c>
      <c r="G149">
        <v>250.33332999999999</v>
      </c>
      <c r="H149">
        <v>1.0950732000000001</v>
      </c>
      <c r="I149">
        <v>-9.5073249999999998E-2</v>
      </c>
      <c r="J149">
        <v>0.47731026999999998</v>
      </c>
    </row>
    <row r="150" spans="1:10" x14ac:dyDescent="0.3">
      <c r="A150">
        <v>148</v>
      </c>
      <c r="B150">
        <v>2470</v>
      </c>
      <c r="C150" t="b">
        <v>1</v>
      </c>
      <c r="D150">
        <v>8168</v>
      </c>
      <c r="E150">
        <v>8176</v>
      </c>
      <c r="F150">
        <v>275.73334</v>
      </c>
      <c r="G150">
        <v>251.4</v>
      </c>
      <c r="H150">
        <v>1.0967914000000001</v>
      </c>
      <c r="I150">
        <v>-9.6791340000000003E-2</v>
      </c>
      <c r="J150">
        <v>0.47691919999999999</v>
      </c>
    </row>
    <row r="151" spans="1:10" x14ac:dyDescent="0.3">
      <c r="A151">
        <v>149</v>
      </c>
      <c r="B151">
        <v>2486</v>
      </c>
      <c r="C151" t="b">
        <v>1</v>
      </c>
      <c r="D151">
        <v>8128</v>
      </c>
      <c r="E151">
        <v>8192</v>
      </c>
      <c r="F151">
        <v>276.26666</v>
      </c>
      <c r="G151">
        <v>253</v>
      </c>
      <c r="H151">
        <v>1.091963</v>
      </c>
      <c r="I151">
        <v>-9.1963089999999997E-2</v>
      </c>
      <c r="J151">
        <v>0.4780199</v>
      </c>
    </row>
    <row r="152" spans="1:10" x14ac:dyDescent="0.3">
      <c r="A152">
        <v>150</v>
      </c>
      <c r="B152">
        <v>2502</v>
      </c>
      <c r="C152" t="b">
        <v>1</v>
      </c>
      <c r="D152">
        <v>8120</v>
      </c>
      <c r="E152">
        <v>8160</v>
      </c>
      <c r="F152">
        <v>276.26666</v>
      </c>
      <c r="G152">
        <v>254.6</v>
      </c>
      <c r="H152">
        <v>1.0851008</v>
      </c>
      <c r="I152">
        <v>-8.5100770000000006E-2</v>
      </c>
      <c r="J152">
        <v>0.47959309999999999</v>
      </c>
    </row>
    <row r="153" spans="1:10" x14ac:dyDescent="0.3">
      <c r="A153">
        <v>151</v>
      </c>
      <c r="B153">
        <v>2518</v>
      </c>
      <c r="C153" t="b">
        <v>1</v>
      </c>
      <c r="D153">
        <v>8104</v>
      </c>
      <c r="E153">
        <v>8152</v>
      </c>
      <c r="F153">
        <v>276.26666</v>
      </c>
      <c r="G153">
        <v>255.66667000000001</v>
      </c>
      <c r="H153">
        <v>1.0805737</v>
      </c>
      <c r="I153">
        <v>-8.0573625999999995E-2</v>
      </c>
      <c r="J153">
        <v>0.48063665999999999</v>
      </c>
    </row>
    <row r="154" spans="1:10" x14ac:dyDescent="0.3">
      <c r="A154">
        <v>152</v>
      </c>
      <c r="B154">
        <v>2533</v>
      </c>
      <c r="C154" t="b">
        <v>1</v>
      </c>
      <c r="D154">
        <v>8096</v>
      </c>
      <c r="E154">
        <v>8168</v>
      </c>
      <c r="F154">
        <v>276.8</v>
      </c>
      <c r="G154">
        <v>256.2</v>
      </c>
      <c r="H154">
        <v>1.0804058000000001</v>
      </c>
      <c r="I154">
        <v>-8.0405829999999998E-2</v>
      </c>
      <c r="J154">
        <v>0.48067546</v>
      </c>
    </row>
    <row r="155" spans="1:10" x14ac:dyDescent="0.3">
      <c r="A155">
        <v>153</v>
      </c>
      <c r="B155">
        <v>2549</v>
      </c>
      <c r="C155" t="b">
        <v>1</v>
      </c>
      <c r="D155">
        <v>8168</v>
      </c>
      <c r="E155">
        <v>8192</v>
      </c>
      <c r="F155">
        <v>277.33334000000002</v>
      </c>
      <c r="G155">
        <v>256.73334</v>
      </c>
      <c r="H155">
        <v>1.0802388999999999</v>
      </c>
      <c r="I155">
        <v>-8.0238920000000005E-2</v>
      </c>
      <c r="J155">
        <v>0.48071405</v>
      </c>
    </row>
    <row r="156" spans="1:10" x14ac:dyDescent="0.3">
      <c r="A156">
        <v>154</v>
      </c>
      <c r="B156">
        <v>2565</v>
      </c>
      <c r="C156" t="b">
        <v>1</v>
      </c>
      <c r="D156">
        <v>8120</v>
      </c>
      <c r="E156">
        <v>8176</v>
      </c>
      <c r="F156">
        <v>278.93331999999998</v>
      </c>
      <c r="G156">
        <v>257.26666</v>
      </c>
      <c r="H156">
        <v>1.0842186</v>
      </c>
      <c r="I156">
        <v>-8.4218669999999995E-2</v>
      </c>
      <c r="J156">
        <v>0.47979613999999998</v>
      </c>
    </row>
    <row r="157" spans="1:10" x14ac:dyDescent="0.3">
      <c r="A157">
        <v>155</v>
      </c>
      <c r="B157">
        <v>2581</v>
      </c>
      <c r="C157" t="b">
        <v>1</v>
      </c>
      <c r="D157">
        <v>8064</v>
      </c>
      <c r="E157">
        <v>8152</v>
      </c>
      <c r="F157">
        <v>279.46667000000002</v>
      </c>
      <c r="G157">
        <v>257.8</v>
      </c>
      <c r="H157">
        <v>1.0840445999999999</v>
      </c>
      <c r="I157">
        <v>-8.4044560000000004E-2</v>
      </c>
      <c r="J157">
        <v>0.47983619999999999</v>
      </c>
    </row>
    <row r="158" spans="1:10" x14ac:dyDescent="0.3">
      <c r="A158">
        <v>156</v>
      </c>
      <c r="B158">
        <v>2597</v>
      </c>
      <c r="C158" t="b">
        <v>1</v>
      </c>
      <c r="D158">
        <v>8120</v>
      </c>
      <c r="E158">
        <v>8168</v>
      </c>
      <c r="F158">
        <v>280.53332999999998</v>
      </c>
      <c r="G158">
        <v>258.33334000000002</v>
      </c>
      <c r="H158">
        <v>1.0859354000000001</v>
      </c>
      <c r="I158">
        <v>-8.5935410000000004E-2</v>
      </c>
      <c r="J158">
        <v>0.47940120000000003</v>
      </c>
    </row>
    <row r="159" spans="1:10" x14ac:dyDescent="0.3">
      <c r="A159">
        <v>157</v>
      </c>
      <c r="B159">
        <v>2613</v>
      </c>
      <c r="C159" t="b">
        <v>1</v>
      </c>
      <c r="D159">
        <v>8088</v>
      </c>
      <c r="E159">
        <v>8112</v>
      </c>
      <c r="F159">
        <v>281.60000000000002</v>
      </c>
      <c r="G159">
        <v>257.8</v>
      </c>
      <c r="H159">
        <v>1.0923197</v>
      </c>
      <c r="I159">
        <v>-9.2319705000000002E-2</v>
      </c>
      <c r="J159">
        <v>0.47793839999999999</v>
      </c>
    </row>
    <row r="160" spans="1:10" x14ac:dyDescent="0.3">
      <c r="A160">
        <v>158</v>
      </c>
      <c r="B160">
        <v>2629</v>
      </c>
      <c r="C160" t="b">
        <v>1</v>
      </c>
      <c r="D160">
        <v>8168</v>
      </c>
      <c r="E160">
        <v>8176</v>
      </c>
      <c r="F160">
        <v>282.13333</v>
      </c>
      <c r="G160">
        <v>257.26666</v>
      </c>
      <c r="H160">
        <v>1.0966572000000001</v>
      </c>
      <c r="I160">
        <v>-9.6657170000000001E-2</v>
      </c>
      <c r="J160">
        <v>0.47694966</v>
      </c>
    </row>
    <row r="161" spans="1:10" x14ac:dyDescent="0.3">
      <c r="A161">
        <v>159</v>
      </c>
      <c r="B161">
        <v>2645</v>
      </c>
      <c r="C161" t="b">
        <v>1</v>
      </c>
      <c r="D161">
        <v>8144</v>
      </c>
      <c r="E161">
        <v>8152</v>
      </c>
      <c r="F161">
        <v>282.13333</v>
      </c>
      <c r="G161">
        <v>255.66667000000001</v>
      </c>
      <c r="H161">
        <v>1.1035202</v>
      </c>
      <c r="I161">
        <v>-0.10352018</v>
      </c>
      <c r="J161">
        <v>0.47539360000000003</v>
      </c>
    </row>
    <row r="162" spans="1:10" x14ac:dyDescent="0.3">
      <c r="A162">
        <v>160</v>
      </c>
      <c r="B162">
        <v>2661</v>
      </c>
      <c r="C162" t="b">
        <v>1</v>
      </c>
      <c r="D162">
        <v>8144</v>
      </c>
      <c r="E162">
        <v>8152</v>
      </c>
      <c r="F162">
        <v>283.73334</v>
      </c>
      <c r="G162">
        <v>254.06666999999999</v>
      </c>
      <c r="H162">
        <v>1.1167673</v>
      </c>
      <c r="I162">
        <v>-0.11676727000000001</v>
      </c>
      <c r="J162">
        <v>0.47241852000000001</v>
      </c>
    </row>
    <row r="163" spans="1:10" x14ac:dyDescent="0.3">
      <c r="A163">
        <v>161</v>
      </c>
      <c r="B163">
        <v>2677</v>
      </c>
      <c r="C163" t="b">
        <v>1</v>
      </c>
      <c r="D163">
        <v>8088</v>
      </c>
      <c r="E163">
        <v>8160</v>
      </c>
      <c r="F163">
        <v>285.86667</v>
      </c>
      <c r="G163">
        <v>252.46665999999999</v>
      </c>
      <c r="H163">
        <v>1.1322947999999999</v>
      </c>
      <c r="I163">
        <v>-0.13229473</v>
      </c>
      <c r="J163">
        <v>0.46897834999999999</v>
      </c>
    </row>
    <row r="164" spans="1:10" x14ac:dyDescent="0.3">
      <c r="A164">
        <v>162</v>
      </c>
      <c r="B164">
        <v>2693</v>
      </c>
      <c r="C164" t="b">
        <v>1</v>
      </c>
      <c r="D164">
        <v>8104</v>
      </c>
      <c r="E164">
        <v>8144</v>
      </c>
      <c r="F164">
        <v>286.93331999999998</v>
      </c>
      <c r="G164">
        <v>250.86667</v>
      </c>
      <c r="H164">
        <v>1.1437682</v>
      </c>
      <c r="I164">
        <v>-0.14376820000000001</v>
      </c>
      <c r="J164">
        <v>0.46646832999999999</v>
      </c>
    </row>
    <row r="165" spans="1:10" x14ac:dyDescent="0.3">
      <c r="A165">
        <v>163</v>
      </c>
      <c r="B165">
        <v>2709</v>
      </c>
      <c r="C165" t="b">
        <v>1</v>
      </c>
      <c r="D165">
        <v>8056</v>
      </c>
      <c r="E165">
        <v>8152</v>
      </c>
      <c r="F165">
        <v>284.26666</v>
      </c>
      <c r="G165">
        <v>249.26666</v>
      </c>
      <c r="H165">
        <v>1.1404118999999999</v>
      </c>
      <c r="I165">
        <v>-0.14041187999999999</v>
      </c>
      <c r="J165">
        <v>0.4671998</v>
      </c>
    </row>
    <row r="166" spans="1:10" x14ac:dyDescent="0.3">
      <c r="A166">
        <v>164</v>
      </c>
      <c r="B166">
        <v>2733</v>
      </c>
      <c r="C166" t="b">
        <v>1</v>
      </c>
      <c r="D166">
        <v>8144</v>
      </c>
      <c r="E166">
        <v>8176</v>
      </c>
      <c r="F166">
        <v>282.66665999999998</v>
      </c>
      <c r="G166">
        <v>247.66667000000001</v>
      </c>
      <c r="H166">
        <v>1.1413188999999999</v>
      </c>
      <c r="I166">
        <v>-0.14131891999999999</v>
      </c>
      <c r="J166">
        <v>0.46700191000000002</v>
      </c>
    </row>
    <row r="167" spans="1:10" x14ac:dyDescent="0.3">
      <c r="A167">
        <v>165</v>
      </c>
      <c r="B167">
        <v>2749</v>
      </c>
      <c r="C167" t="b">
        <v>1</v>
      </c>
      <c r="D167">
        <v>8112</v>
      </c>
      <c r="E167">
        <v>8152</v>
      </c>
      <c r="F167">
        <v>281.06668000000002</v>
      </c>
      <c r="G167">
        <v>246.06666999999999</v>
      </c>
      <c r="H167">
        <v>1.1422379</v>
      </c>
      <c r="I167">
        <v>-0.14223793000000001</v>
      </c>
      <c r="J167">
        <v>0.46680155000000001</v>
      </c>
    </row>
    <row r="168" spans="1:10" x14ac:dyDescent="0.3">
      <c r="A168">
        <v>166</v>
      </c>
      <c r="B168">
        <v>2765</v>
      </c>
      <c r="C168" t="b">
        <v>1</v>
      </c>
      <c r="D168">
        <v>8072</v>
      </c>
      <c r="E168">
        <v>8112</v>
      </c>
      <c r="F168">
        <v>279.46667000000002</v>
      </c>
      <c r="G168">
        <v>244.46665999999999</v>
      </c>
      <c r="H168">
        <v>1.1431689</v>
      </c>
      <c r="I168">
        <v>-0.14316887</v>
      </c>
      <c r="J168">
        <v>0.46659877999999999</v>
      </c>
    </row>
    <row r="169" spans="1:10" x14ac:dyDescent="0.3">
      <c r="A169">
        <v>167</v>
      </c>
      <c r="B169">
        <v>2781</v>
      </c>
      <c r="C169" t="b">
        <v>1</v>
      </c>
      <c r="D169">
        <v>8120</v>
      </c>
      <c r="E169">
        <v>8176</v>
      </c>
      <c r="F169">
        <v>278.93331999999998</v>
      </c>
      <c r="G169">
        <v>243.4</v>
      </c>
      <c r="H169">
        <v>1.1459874000000001</v>
      </c>
      <c r="I169">
        <v>-0.14598738</v>
      </c>
      <c r="J169">
        <v>0.46598594999999998</v>
      </c>
    </row>
    <row r="170" spans="1:10" x14ac:dyDescent="0.3">
      <c r="A170">
        <v>168</v>
      </c>
      <c r="B170">
        <v>2797</v>
      </c>
      <c r="C170" t="b">
        <v>1</v>
      </c>
      <c r="D170">
        <v>8136</v>
      </c>
      <c r="E170">
        <v>8200</v>
      </c>
      <c r="F170">
        <v>278.93331999999998</v>
      </c>
      <c r="G170">
        <v>243.93333000000001</v>
      </c>
      <c r="H170">
        <v>1.1434816999999999</v>
      </c>
      <c r="I170">
        <v>-0.14348176000000001</v>
      </c>
      <c r="J170">
        <v>0.46653067999999998</v>
      </c>
    </row>
    <row r="171" spans="1:10" x14ac:dyDescent="0.3">
      <c r="A171">
        <v>169</v>
      </c>
      <c r="B171">
        <v>2813</v>
      </c>
      <c r="C171" t="b">
        <v>1</v>
      </c>
      <c r="D171">
        <v>8144</v>
      </c>
      <c r="E171">
        <v>8128</v>
      </c>
      <c r="F171">
        <v>278.93331999999998</v>
      </c>
      <c r="G171">
        <v>242.86667</v>
      </c>
      <c r="H171">
        <v>1.1485038999999999</v>
      </c>
      <c r="I171">
        <v>-0.14850390999999999</v>
      </c>
      <c r="J171">
        <v>0.46544015</v>
      </c>
    </row>
    <row r="172" spans="1:10" x14ac:dyDescent="0.3">
      <c r="A172">
        <v>170</v>
      </c>
      <c r="B172">
        <v>2829</v>
      </c>
      <c r="C172" t="b">
        <v>1</v>
      </c>
      <c r="D172">
        <v>8112</v>
      </c>
      <c r="E172">
        <v>8152</v>
      </c>
      <c r="F172">
        <v>280</v>
      </c>
      <c r="G172">
        <v>241.8</v>
      </c>
      <c r="H172">
        <v>1.1579818</v>
      </c>
      <c r="I172">
        <v>-0.15798177999999999</v>
      </c>
      <c r="J172">
        <v>0.46339595</v>
      </c>
    </row>
    <row r="173" spans="1:10" x14ac:dyDescent="0.3">
      <c r="A173">
        <v>171</v>
      </c>
      <c r="B173">
        <v>2845</v>
      </c>
      <c r="C173" t="b">
        <v>1</v>
      </c>
      <c r="D173">
        <v>8080</v>
      </c>
      <c r="E173">
        <v>8192</v>
      </c>
      <c r="F173">
        <v>280</v>
      </c>
      <c r="G173">
        <v>242.33332999999999</v>
      </c>
      <c r="H173">
        <v>1.1554333000000001</v>
      </c>
      <c r="I173">
        <v>-0.15543330999999999</v>
      </c>
      <c r="J173">
        <v>0.46394384</v>
      </c>
    </row>
    <row r="174" spans="1:10" x14ac:dyDescent="0.3">
      <c r="A174">
        <v>172</v>
      </c>
      <c r="B174">
        <v>2861</v>
      </c>
      <c r="C174" t="b">
        <v>1</v>
      </c>
      <c r="D174">
        <v>8128</v>
      </c>
      <c r="E174">
        <v>8184</v>
      </c>
      <c r="F174">
        <v>280.53332999999998</v>
      </c>
      <c r="G174">
        <v>243.4</v>
      </c>
      <c r="H174">
        <v>1.1525609999999999</v>
      </c>
      <c r="I174">
        <v>-0.15256093000000001</v>
      </c>
      <c r="J174">
        <v>0.4645629</v>
      </c>
    </row>
    <row r="175" spans="1:10" x14ac:dyDescent="0.3">
      <c r="A175">
        <v>173</v>
      </c>
      <c r="B175">
        <v>2876</v>
      </c>
      <c r="C175" t="b">
        <v>1</v>
      </c>
      <c r="D175">
        <v>8136</v>
      </c>
      <c r="E175">
        <v>8136</v>
      </c>
      <c r="F175">
        <v>281.06668000000002</v>
      </c>
      <c r="G175">
        <v>242.33332999999999</v>
      </c>
      <c r="H175">
        <v>1.1598349999999999</v>
      </c>
      <c r="I175">
        <v>-0.15983502999999999</v>
      </c>
      <c r="J175">
        <v>0.46299829999999997</v>
      </c>
    </row>
    <row r="176" spans="1:10" x14ac:dyDescent="0.3">
      <c r="A176">
        <v>174</v>
      </c>
      <c r="B176">
        <v>2892</v>
      </c>
      <c r="C176" t="b">
        <v>1</v>
      </c>
      <c r="D176">
        <v>8168</v>
      </c>
      <c r="E176">
        <v>8176</v>
      </c>
      <c r="F176">
        <v>281.60000000000002</v>
      </c>
      <c r="G176">
        <v>243.93333000000001</v>
      </c>
      <c r="H176">
        <v>1.1544137999999999</v>
      </c>
      <c r="I176">
        <v>-0.15441379</v>
      </c>
      <c r="J176">
        <v>0.4641634</v>
      </c>
    </row>
    <row r="177" spans="1:10" x14ac:dyDescent="0.3">
      <c r="A177">
        <v>175</v>
      </c>
      <c r="B177">
        <v>2908</v>
      </c>
      <c r="C177" t="b">
        <v>1</v>
      </c>
      <c r="D177">
        <v>8144</v>
      </c>
      <c r="E177">
        <v>8176</v>
      </c>
      <c r="F177">
        <v>281.06668000000002</v>
      </c>
      <c r="G177">
        <v>245.53334000000001</v>
      </c>
      <c r="H177">
        <v>1.144719</v>
      </c>
      <c r="I177">
        <v>-0.14471899999999999</v>
      </c>
      <c r="J177">
        <v>0.46626153999999997</v>
      </c>
    </row>
    <row r="178" spans="1:10" x14ac:dyDescent="0.3">
      <c r="A178">
        <v>176</v>
      </c>
      <c r="B178">
        <v>2924</v>
      </c>
      <c r="C178" t="b">
        <v>1</v>
      </c>
      <c r="D178">
        <v>8104</v>
      </c>
      <c r="E178">
        <v>8192</v>
      </c>
      <c r="F178">
        <v>280.53332999999998</v>
      </c>
      <c r="G178">
        <v>247.13333</v>
      </c>
      <c r="H178">
        <v>1.1351496999999999</v>
      </c>
      <c r="I178">
        <v>-0.13514968999999999</v>
      </c>
      <c r="J178">
        <v>0.46835126999999999</v>
      </c>
    </row>
    <row r="179" spans="1:10" x14ac:dyDescent="0.3">
      <c r="A179">
        <v>177</v>
      </c>
      <c r="B179">
        <v>2940</v>
      </c>
      <c r="C179" t="b">
        <v>1</v>
      </c>
      <c r="D179">
        <v>8088</v>
      </c>
      <c r="E179">
        <v>8152</v>
      </c>
      <c r="F179">
        <v>280</v>
      </c>
      <c r="G179">
        <v>248.73334</v>
      </c>
      <c r="H179">
        <v>1.1257036</v>
      </c>
      <c r="I179">
        <v>-0.12570354</v>
      </c>
      <c r="J179">
        <v>0.47043249999999998</v>
      </c>
    </row>
    <row r="180" spans="1:10" x14ac:dyDescent="0.3">
      <c r="A180">
        <v>178</v>
      </c>
      <c r="B180">
        <v>2956</v>
      </c>
      <c r="C180" t="b">
        <v>1</v>
      </c>
      <c r="D180">
        <v>8064</v>
      </c>
      <c r="E180">
        <v>8152</v>
      </c>
      <c r="F180">
        <v>280</v>
      </c>
      <c r="G180">
        <v>250.33332999999999</v>
      </c>
      <c r="H180">
        <v>1.1185087</v>
      </c>
      <c r="I180">
        <v>-0.11850867399999999</v>
      </c>
      <c r="J180">
        <v>0.47203020000000001</v>
      </c>
    </row>
    <row r="181" spans="1:10" x14ac:dyDescent="0.3">
      <c r="A181">
        <v>179</v>
      </c>
      <c r="B181">
        <v>2972</v>
      </c>
      <c r="C181" t="b">
        <v>1</v>
      </c>
      <c r="D181">
        <v>8128</v>
      </c>
      <c r="E181">
        <v>8128</v>
      </c>
      <c r="F181">
        <v>280</v>
      </c>
      <c r="G181">
        <v>250.33332999999999</v>
      </c>
      <c r="H181">
        <v>1.1185087</v>
      </c>
      <c r="I181">
        <v>-0.11850867399999999</v>
      </c>
      <c r="J181">
        <v>0.47203020000000001</v>
      </c>
    </row>
    <row r="182" spans="1:10" x14ac:dyDescent="0.3">
      <c r="A182">
        <v>180</v>
      </c>
      <c r="B182">
        <v>2987</v>
      </c>
      <c r="C182" t="b">
        <v>1</v>
      </c>
      <c r="D182">
        <v>8080</v>
      </c>
      <c r="E182">
        <v>8160</v>
      </c>
      <c r="F182">
        <v>278.93331999999998</v>
      </c>
      <c r="G182">
        <v>250.33332999999999</v>
      </c>
      <c r="H182">
        <v>1.1142477</v>
      </c>
      <c r="I182">
        <v>-0.114247635</v>
      </c>
      <c r="J182">
        <v>0.47298148000000001</v>
      </c>
    </row>
    <row r="183" spans="1:10" x14ac:dyDescent="0.3">
      <c r="A183">
        <v>181</v>
      </c>
      <c r="B183">
        <v>3003</v>
      </c>
      <c r="C183" t="b">
        <v>1</v>
      </c>
      <c r="D183">
        <v>8088</v>
      </c>
      <c r="E183">
        <v>8184</v>
      </c>
      <c r="F183">
        <v>277.86667</v>
      </c>
      <c r="G183">
        <v>250.33332999999999</v>
      </c>
      <c r="H183">
        <v>1.1099867000000001</v>
      </c>
      <c r="I183">
        <v>-0.109986715</v>
      </c>
      <c r="J183">
        <v>0.47393661999999998</v>
      </c>
    </row>
    <row r="184" spans="1:10" x14ac:dyDescent="0.3">
      <c r="A184">
        <v>182</v>
      </c>
      <c r="B184">
        <v>3019</v>
      </c>
      <c r="C184" t="b">
        <v>1</v>
      </c>
      <c r="D184">
        <v>8088</v>
      </c>
      <c r="E184">
        <v>8176</v>
      </c>
      <c r="F184">
        <v>276.26666</v>
      </c>
      <c r="G184">
        <v>250.86667</v>
      </c>
      <c r="H184">
        <v>1.1012489999999999</v>
      </c>
      <c r="I184">
        <v>-0.10124898</v>
      </c>
      <c r="J184">
        <v>0.47590744000000001</v>
      </c>
    </row>
    <row r="185" spans="1:10" x14ac:dyDescent="0.3">
      <c r="A185">
        <v>183</v>
      </c>
      <c r="B185">
        <v>3035</v>
      </c>
      <c r="C185" t="b">
        <v>1</v>
      </c>
      <c r="D185">
        <v>8136</v>
      </c>
      <c r="E185">
        <v>8160</v>
      </c>
      <c r="F185">
        <v>274.13333</v>
      </c>
      <c r="G185">
        <v>249.8</v>
      </c>
      <c r="H185">
        <v>1.0974113000000001</v>
      </c>
      <c r="I185">
        <v>-9.7411239999999996E-2</v>
      </c>
      <c r="J185">
        <v>0.47677819999999999</v>
      </c>
    </row>
    <row r="186" spans="1:10" x14ac:dyDescent="0.3">
      <c r="A186">
        <v>184</v>
      </c>
      <c r="B186">
        <v>3051</v>
      </c>
      <c r="C186" t="b">
        <v>1</v>
      </c>
      <c r="D186">
        <v>8112</v>
      </c>
      <c r="E186">
        <v>8152</v>
      </c>
      <c r="F186">
        <v>272</v>
      </c>
      <c r="G186">
        <v>250.33332999999999</v>
      </c>
      <c r="H186">
        <v>1.0865513</v>
      </c>
      <c r="I186">
        <v>-8.6551290000000003E-2</v>
      </c>
      <c r="J186">
        <v>0.47925972999999999</v>
      </c>
    </row>
    <row r="187" spans="1:10" x14ac:dyDescent="0.3">
      <c r="A187">
        <v>185</v>
      </c>
      <c r="B187">
        <v>3067</v>
      </c>
      <c r="C187" t="b">
        <v>1</v>
      </c>
      <c r="D187">
        <v>8184</v>
      </c>
      <c r="E187">
        <v>8152</v>
      </c>
      <c r="F187">
        <v>271.46667000000002</v>
      </c>
      <c r="G187">
        <v>250.86667</v>
      </c>
      <c r="H187">
        <v>1.0821153999999999</v>
      </c>
      <c r="I187">
        <v>-8.2115359999999998E-2</v>
      </c>
      <c r="J187">
        <v>0.48028075999999997</v>
      </c>
    </row>
    <row r="188" spans="1:10" x14ac:dyDescent="0.3">
      <c r="A188">
        <v>186</v>
      </c>
      <c r="B188">
        <v>3083</v>
      </c>
      <c r="C188" t="b">
        <v>1</v>
      </c>
      <c r="D188">
        <v>8136</v>
      </c>
      <c r="E188">
        <v>8216</v>
      </c>
      <c r="F188">
        <v>272.53332999999998</v>
      </c>
      <c r="G188">
        <v>249.8</v>
      </c>
      <c r="H188">
        <v>1.0910059999999999</v>
      </c>
      <c r="I188">
        <v>-9.1006089999999998E-2</v>
      </c>
      <c r="J188">
        <v>0.47823870000000002</v>
      </c>
    </row>
    <row r="189" spans="1:10" x14ac:dyDescent="0.3">
      <c r="A189">
        <v>187</v>
      </c>
      <c r="B189">
        <v>3099</v>
      </c>
      <c r="C189" t="b">
        <v>1</v>
      </c>
      <c r="D189">
        <v>8072</v>
      </c>
      <c r="E189">
        <v>8152</v>
      </c>
      <c r="F189">
        <v>273.06668000000002</v>
      </c>
      <c r="G189">
        <v>247.66667000000001</v>
      </c>
      <c r="H189">
        <v>1.1025571999999999</v>
      </c>
      <c r="I189">
        <v>-0.102557234</v>
      </c>
      <c r="J189">
        <v>0.47561133</v>
      </c>
    </row>
    <row r="190" spans="1:10" x14ac:dyDescent="0.3">
      <c r="A190">
        <v>188</v>
      </c>
      <c r="B190">
        <v>3115</v>
      </c>
      <c r="C190" t="b">
        <v>1</v>
      </c>
      <c r="D190">
        <v>8064</v>
      </c>
      <c r="E190">
        <v>8144</v>
      </c>
      <c r="F190">
        <v>272</v>
      </c>
      <c r="G190">
        <v>247.66667000000001</v>
      </c>
      <c r="H190">
        <v>1.0982502999999999</v>
      </c>
      <c r="I190">
        <v>-9.8250315000000005E-2</v>
      </c>
      <c r="J190">
        <v>0.47658752999999998</v>
      </c>
    </row>
    <row r="191" spans="1:10" x14ac:dyDescent="0.3">
      <c r="A191">
        <v>189</v>
      </c>
      <c r="B191">
        <v>3130</v>
      </c>
      <c r="C191" t="b">
        <v>1</v>
      </c>
      <c r="D191">
        <v>8120</v>
      </c>
      <c r="E191">
        <v>8192</v>
      </c>
      <c r="F191">
        <v>271.46667000000002</v>
      </c>
      <c r="G191">
        <v>246.06666999999999</v>
      </c>
      <c r="H191">
        <v>1.103224</v>
      </c>
      <c r="I191">
        <v>-0.1032241</v>
      </c>
      <c r="J191">
        <v>0.47546052999999999</v>
      </c>
    </row>
    <row r="192" spans="1:10" x14ac:dyDescent="0.3">
      <c r="A192">
        <v>190</v>
      </c>
      <c r="B192">
        <v>3146</v>
      </c>
      <c r="C192" t="b">
        <v>1</v>
      </c>
      <c r="D192">
        <v>8128</v>
      </c>
      <c r="E192">
        <v>8176</v>
      </c>
      <c r="F192">
        <v>270.39999999999998</v>
      </c>
      <c r="G192">
        <v>246.06666999999999</v>
      </c>
      <c r="H192">
        <v>1.0988891000000001</v>
      </c>
      <c r="I192">
        <v>-9.8889169999999998E-2</v>
      </c>
      <c r="J192">
        <v>0.47644249999999999</v>
      </c>
    </row>
    <row r="193" spans="1:10" x14ac:dyDescent="0.3">
      <c r="A193">
        <v>191</v>
      </c>
      <c r="B193">
        <v>3162</v>
      </c>
      <c r="C193" t="b">
        <v>1</v>
      </c>
      <c r="D193">
        <v>8104</v>
      </c>
      <c r="E193">
        <v>8208</v>
      </c>
      <c r="F193">
        <v>268.26666</v>
      </c>
      <c r="G193">
        <v>246.06666999999999</v>
      </c>
      <c r="H193">
        <v>1.0902194999999999</v>
      </c>
      <c r="I193">
        <v>-9.0219439999999998E-2</v>
      </c>
      <c r="J193">
        <v>0.47841867999999999</v>
      </c>
    </row>
    <row r="194" spans="1:10" x14ac:dyDescent="0.3">
      <c r="A194">
        <v>192</v>
      </c>
      <c r="B194">
        <v>3177</v>
      </c>
      <c r="C194" t="b">
        <v>1</v>
      </c>
      <c r="D194">
        <v>8112</v>
      </c>
      <c r="E194">
        <v>8176</v>
      </c>
      <c r="F194">
        <v>266.66665999999998</v>
      </c>
      <c r="G194">
        <v>246.06666999999999</v>
      </c>
      <c r="H194">
        <v>1.0837171000000001</v>
      </c>
      <c r="I194">
        <v>-8.3717114999999995E-2</v>
      </c>
      <c r="J194">
        <v>0.47991157000000001</v>
      </c>
    </row>
    <row r="195" spans="1:10" x14ac:dyDescent="0.3">
      <c r="A195">
        <v>193</v>
      </c>
      <c r="B195">
        <v>3193</v>
      </c>
      <c r="C195" t="b">
        <v>1</v>
      </c>
      <c r="D195">
        <v>8104</v>
      </c>
      <c r="E195">
        <v>8192</v>
      </c>
      <c r="F195">
        <v>267.2</v>
      </c>
      <c r="G195">
        <v>247.13333</v>
      </c>
      <c r="H195">
        <v>1.0811976999999999</v>
      </c>
      <c r="I195">
        <v>-8.1197790000000006E-2</v>
      </c>
      <c r="J195">
        <v>0.48049249999999999</v>
      </c>
    </row>
    <row r="196" spans="1:10" x14ac:dyDescent="0.3">
      <c r="A196">
        <v>194</v>
      </c>
      <c r="B196">
        <v>3209</v>
      </c>
      <c r="C196" t="b">
        <v>1</v>
      </c>
      <c r="D196">
        <v>8128</v>
      </c>
      <c r="E196">
        <v>8168</v>
      </c>
      <c r="F196">
        <v>267.73334</v>
      </c>
      <c r="G196">
        <v>248.73334</v>
      </c>
      <c r="H196">
        <v>1.076387</v>
      </c>
      <c r="I196">
        <v>-7.6387024999999997E-2</v>
      </c>
      <c r="J196">
        <v>0.48160579999999997</v>
      </c>
    </row>
    <row r="197" spans="1:10" x14ac:dyDescent="0.3">
      <c r="A197">
        <v>195</v>
      </c>
      <c r="B197">
        <v>3225</v>
      </c>
      <c r="C197" t="b">
        <v>1</v>
      </c>
      <c r="D197">
        <v>8152</v>
      </c>
      <c r="E197">
        <v>8176</v>
      </c>
      <c r="F197">
        <v>269.33334000000002</v>
      </c>
      <c r="G197">
        <v>250.33332999999999</v>
      </c>
      <c r="H197">
        <v>1.0758989000000001</v>
      </c>
      <c r="I197">
        <v>-7.5898859999999999E-2</v>
      </c>
      <c r="J197">
        <v>0.48171902</v>
      </c>
    </row>
    <row r="198" spans="1:10" x14ac:dyDescent="0.3">
      <c r="A198">
        <v>196</v>
      </c>
      <c r="B198">
        <v>3241</v>
      </c>
      <c r="C198" t="b">
        <v>1</v>
      </c>
      <c r="D198">
        <v>8120</v>
      </c>
      <c r="E198">
        <v>8184</v>
      </c>
      <c r="F198">
        <v>271.46667000000002</v>
      </c>
      <c r="G198">
        <v>251.93333000000001</v>
      </c>
      <c r="H198">
        <v>1.0775337</v>
      </c>
      <c r="I198">
        <v>-7.7533770000000002E-2</v>
      </c>
      <c r="J198">
        <v>0.48133993000000003</v>
      </c>
    </row>
    <row r="199" spans="1:10" x14ac:dyDescent="0.3">
      <c r="A199">
        <v>197</v>
      </c>
      <c r="B199">
        <v>3257</v>
      </c>
      <c r="C199" t="b">
        <v>1</v>
      </c>
      <c r="D199">
        <v>8120</v>
      </c>
      <c r="E199">
        <v>8104</v>
      </c>
      <c r="F199">
        <v>273.60000000000002</v>
      </c>
      <c r="G199">
        <v>253</v>
      </c>
      <c r="H199">
        <v>1.0814229</v>
      </c>
      <c r="I199">
        <v>-8.1422949999999994E-2</v>
      </c>
      <c r="J199">
        <v>0.4804406</v>
      </c>
    </row>
    <row r="200" spans="1:10" x14ac:dyDescent="0.3">
      <c r="A200">
        <v>198</v>
      </c>
      <c r="B200">
        <v>3272</v>
      </c>
      <c r="C200" t="b">
        <v>1</v>
      </c>
      <c r="D200">
        <v>8128</v>
      </c>
      <c r="E200">
        <v>8168</v>
      </c>
      <c r="F200">
        <v>276.26666</v>
      </c>
      <c r="G200">
        <v>253.53334000000001</v>
      </c>
      <c r="H200">
        <v>1.089666</v>
      </c>
      <c r="I200">
        <v>-8.9666010000000004E-2</v>
      </c>
      <c r="J200">
        <v>0.47854540000000001</v>
      </c>
    </row>
    <row r="201" spans="1:10" x14ac:dyDescent="0.3">
      <c r="A201">
        <v>199</v>
      </c>
      <c r="B201">
        <v>3288</v>
      </c>
      <c r="C201" t="b">
        <v>1</v>
      </c>
      <c r="D201">
        <v>8088</v>
      </c>
      <c r="E201">
        <v>8176</v>
      </c>
      <c r="F201">
        <v>278.39999999999998</v>
      </c>
      <c r="G201">
        <v>254.6</v>
      </c>
      <c r="H201">
        <v>1.0934798999999999</v>
      </c>
      <c r="I201">
        <v>-9.3479919999999994E-2</v>
      </c>
      <c r="J201">
        <v>0.47767356</v>
      </c>
    </row>
    <row r="202" spans="1:10" x14ac:dyDescent="0.3">
      <c r="A202">
        <v>200</v>
      </c>
      <c r="B202">
        <v>3304</v>
      </c>
      <c r="C202" t="b">
        <v>1</v>
      </c>
      <c r="D202">
        <v>8128</v>
      </c>
      <c r="E202">
        <v>8168</v>
      </c>
      <c r="F202">
        <v>278.93331999999998</v>
      </c>
      <c r="G202">
        <v>255.13333</v>
      </c>
      <c r="H202">
        <v>1.0932845</v>
      </c>
      <c r="I202">
        <v>-9.3284510000000001E-2</v>
      </c>
      <c r="J202">
        <v>0.47771814000000001</v>
      </c>
    </row>
    <row r="203" spans="1:10" x14ac:dyDescent="0.3">
      <c r="A203">
        <v>201</v>
      </c>
      <c r="B203">
        <v>3320</v>
      </c>
      <c r="C203" t="b">
        <v>1</v>
      </c>
      <c r="D203">
        <v>8136</v>
      </c>
      <c r="E203">
        <v>8176</v>
      </c>
      <c r="F203">
        <v>278.39999999999998</v>
      </c>
      <c r="G203">
        <v>255.66667000000001</v>
      </c>
      <c r="H203">
        <v>1.0889179</v>
      </c>
      <c r="I203">
        <v>-8.8917813999999998E-2</v>
      </c>
      <c r="J203">
        <v>0.4787168</v>
      </c>
    </row>
    <row r="204" spans="1:10" x14ac:dyDescent="0.3">
      <c r="A204">
        <v>202</v>
      </c>
      <c r="B204">
        <v>3336</v>
      </c>
      <c r="C204" t="b">
        <v>1</v>
      </c>
      <c r="D204">
        <v>8128</v>
      </c>
      <c r="E204">
        <v>8192</v>
      </c>
      <c r="F204">
        <v>277.86667</v>
      </c>
      <c r="G204">
        <v>257.26666</v>
      </c>
      <c r="H204">
        <v>1.0800726</v>
      </c>
      <c r="I204">
        <v>-8.0072580000000004E-2</v>
      </c>
      <c r="J204">
        <v>0.48075246999999999</v>
      </c>
    </row>
    <row r="205" spans="1:10" x14ac:dyDescent="0.3">
      <c r="A205">
        <v>203</v>
      </c>
      <c r="B205">
        <v>3351</v>
      </c>
      <c r="C205" t="b">
        <v>1</v>
      </c>
      <c r="D205">
        <v>8080</v>
      </c>
      <c r="E205">
        <v>8152</v>
      </c>
      <c r="F205">
        <v>278.93331999999998</v>
      </c>
      <c r="G205">
        <v>258.86667</v>
      </c>
      <c r="H205">
        <v>1.0775173</v>
      </c>
      <c r="I205">
        <v>-7.7517320000000001E-2</v>
      </c>
      <c r="J205">
        <v>0.48134375000000001</v>
      </c>
    </row>
    <row r="206" spans="1:10" x14ac:dyDescent="0.3">
      <c r="A206">
        <v>204</v>
      </c>
      <c r="B206">
        <v>3367</v>
      </c>
      <c r="C206" t="b">
        <v>1</v>
      </c>
      <c r="D206">
        <v>8104</v>
      </c>
      <c r="E206">
        <v>8152</v>
      </c>
      <c r="F206">
        <v>279.46667000000002</v>
      </c>
      <c r="G206">
        <v>259.93331999999998</v>
      </c>
      <c r="H206">
        <v>1.0751474999999999</v>
      </c>
      <c r="I206">
        <v>-7.5147560000000002E-2</v>
      </c>
      <c r="J206">
        <v>0.48189342000000002</v>
      </c>
    </row>
    <row r="207" spans="1:10" x14ac:dyDescent="0.3">
      <c r="A207">
        <v>205</v>
      </c>
      <c r="B207">
        <v>3384</v>
      </c>
      <c r="C207" t="b">
        <v>1</v>
      </c>
      <c r="D207">
        <v>8176</v>
      </c>
      <c r="E207">
        <v>8200</v>
      </c>
      <c r="F207">
        <v>280</v>
      </c>
      <c r="G207">
        <v>259.93331999999998</v>
      </c>
      <c r="H207">
        <v>1.0771993</v>
      </c>
      <c r="I207">
        <v>-7.7199340000000005E-2</v>
      </c>
      <c r="J207">
        <v>0.48141741999999998</v>
      </c>
    </row>
    <row r="208" spans="1:10" x14ac:dyDescent="0.3">
      <c r="A208">
        <v>206</v>
      </c>
      <c r="B208">
        <v>3400</v>
      </c>
      <c r="C208" t="b">
        <v>1</v>
      </c>
      <c r="D208">
        <v>8152</v>
      </c>
      <c r="E208">
        <v>8224</v>
      </c>
      <c r="F208">
        <v>281.60000000000002</v>
      </c>
      <c r="G208">
        <v>261</v>
      </c>
      <c r="H208">
        <v>1.0789272999999999</v>
      </c>
      <c r="I208">
        <v>-7.8927230000000001E-2</v>
      </c>
      <c r="J208">
        <v>0.48101735000000001</v>
      </c>
    </row>
    <row r="209" spans="1:10" x14ac:dyDescent="0.3">
      <c r="A209">
        <v>207</v>
      </c>
      <c r="B209">
        <v>3415</v>
      </c>
      <c r="C209" t="b">
        <v>1</v>
      </c>
      <c r="D209">
        <v>8104</v>
      </c>
      <c r="E209">
        <v>8168</v>
      </c>
      <c r="F209">
        <v>281.06668000000002</v>
      </c>
      <c r="G209">
        <v>260.46667000000002</v>
      </c>
      <c r="H209">
        <v>1.0790888000000001</v>
      </c>
      <c r="I209">
        <v>-7.9088839999999994E-2</v>
      </c>
      <c r="J209">
        <v>0.48097994999999999</v>
      </c>
    </row>
    <row r="210" spans="1:10" x14ac:dyDescent="0.3">
      <c r="A210">
        <v>208</v>
      </c>
      <c r="B210">
        <v>3431</v>
      </c>
      <c r="C210" t="b">
        <v>1</v>
      </c>
      <c r="D210">
        <v>8080</v>
      </c>
      <c r="E210">
        <v>8144</v>
      </c>
      <c r="F210">
        <v>280.53332999999998</v>
      </c>
      <c r="G210">
        <v>258.86667</v>
      </c>
      <c r="H210">
        <v>1.0836981999999999</v>
      </c>
      <c r="I210">
        <v>-8.3698129999999996E-2</v>
      </c>
      <c r="J210">
        <v>0.47991594999999998</v>
      </c>
    </row>
    <row r="211" spans="1:10" x14ac:dyDescent="0.3">
      <c r="A211">
        <v>209</v>
      </c>
      <c r="B211">
        <v>3447</v>
      </c>
      <c r="C211" t="b">
        <v>1</v>
      </c>
      <c r="D211">
        <v>8128</v>
      </c>
      <c r="E211">
        <v>8192</v>
      </c>
      <c r="F211">
        <v>281.60000000000002</v>
      </c>
      <c r="G211">
        <v>259.93331999999998</v>
      </c>
      <c r="H211">
        <v>1.0833548</v>
      </c>
      <c r="I211">
        <v>-8.3354786E-2</v>
      </c>
      <c r="J211">
        <v>0.47999503999999998</v>
      </c>
    </row>
    <row r="212" spans="1:10" x14ac:dyDescent="0.3">
      <c r="A212">
        <v>210</v>
      </c>
      <c r="B212">
        <v>3463</v>
      </c>
      <c r="C212" t="b">
        <v>1</v>
      </c>
      <c r="D212">
        <v>8120</v>
      </c>
      <c r="E212">
        <v>8168</v>
      </c>
      <c r="F212">
        <v>282.13333</v>
      </c>
      <c r="G212">
        <v>259.39999999999998</v>
      </c>
      <c r="H212">
        <v>1.0876380999999999</v>
      </c>
      <c r="I212">
        <v>-8.7638154999999995E-2</v>
      </c>
      <c r="J212">
        <v>0.47901021999999999</v>
      </c>
    </row>
    <row r="213" spans="1:10" x14ac:dyDescent="0.3">
      <c r="A213">
        <v>211</v>
      </c>
      <c r="B213">
        <v>3479</v>
      </c>
      <c r="C213" t="b">
        <v>1</v>
      </c>
      <c r="D213">
        <v>8128</v>
      </c>
      <c r="E213">
        <v>8176</v>
      </c>
      <c r="F213">
        <v>282.13333</v>
      </c>
      <c r="G213">
        <v>258.86667</v>
      </c>
      <c r="H213">
        <v>1.0898789</v>
      </c>
      <c r="I213">
        <v>-8.9878949999999999E-2</v>
      </c>
      <c r="J213">
        <v>0.47849659999999999</v>
      </c>
    </row>
    <row r="214" spans="1:10" x14ac:dyDescent="0.3">
      <c r="A214">
        <v>212</v>
      </c>
      <c r="B214">
        <v>3495</v>
      </c>
      <c r="C214" t="b">
        <v>1</v>
      </c>
      <c r="D214">
        <v>8104</v>
      </c>
      <c r="E214">
        <v>8168</v>
      </c>
      <c r="F214">
        <v>282.13333</v>
      </c>
      <c r="G214">
        <v>258.33334000000002</v>
      </c>
      <c r="H214">
        <v>1.0921289999999999</v>
      </c>
      <c r="I214">
        <v>-9.2128984999999997E-2</v>
      </c>
      <c r="J214">
        <v>0.47798200000000002</v>
      </c>
    </row>
    <row r="215" spans="1:10" x14ac:dyDescent="0.3">
      <c r="A215">
        <v>213</v>
      </c>
      <c r="B215">
        <v>3511</v>
      </c>
      <c r="C215" t="b">
        <v>1</v>
      </c>
      <c r="D215">
        <v>8112</v>
      </c>
      <c r="E215">
        <v>8160</v>
      </c>
      <c r="F215">
        <v>281.60000000000002</v>
      </c>
      <c r="G215">
        <v>258.33334000000002</v>
      </c>
      <c r="H215">
        <v>1.0900645</v>
      </c>
      <c r="I215">
        <v>-9.0064495999999994E-2</v>
      </c>
      <c r="J215">
        <v>0.47845413999999997</v>
      </c>
    </row>
    <row r="216" spans="1:10" x14ac:dyDescent="0.3">
      <c r="A216">
        <v>214</v>
      </c>
      <c r="B216">
        <v>3527</v>
      </c>
      <c r="C216" t="b">
        <v>1</v>
      </c>
      <c r="D216">
        <v>8096</v>
      </c>
      <c r="E216">
        <v>8200</v>
      </c>
      <c r="F216">
        <v>281.06668000000002</v>
      </c>
      <c r="G216">
        <v>257.8</v>
      </c>
      <c r="H216">
        <v>1.0902510000000001</v>
      </c>
      <c r="I216">
        <v>-9.0250949999999996E-2</v>
      </c>
      <c r="J216">
        <v>0.47841144000000002</v>
      </c>
    </row>
    <row r="217" spans="1:10" x14ac:dyDescent="0.3">
      <c r="A217">
        <v>215</v>
      </c>
      <c r="B217">
        <v>3542</v>
      </c>
      <c r="C217" t="b">
        <v>1</v>
      </c>
      <c r="D217">
        <v>8104</v>
      </c>
      <c r="E217">
        <v>8144</v>
      </c>
      <c r="F217">
        <v>280</v>
      </c>
      <c r="G217">
        <v>257.8</v>
      </c>
      <c r="H217">
        <v>1.0861133000000001</v>
      </c>
      <c r="I217">
        <v>-8.6113319999999993E-2</v>
      </c>
      <c r="J217">
        <v>0.47936034</v>
      </c>
    </row>
    <row r="218" spans="1:10" x14ac:dyDescent="0.3">
      <c r="A218">
        <v>216</v>
      </c>
      <c r="B218">
        <v>3558</v>
      </c>
      <c r="C218" t="b">
        <v>1</v>
      </c>
      <c r="D218">
        <v>8120</v>
      </c>
      <c r="E218">
        <v>8160</v>
      </c>
      <c r="F218">
        <v>278.39999999999998</v>
      </c>
      <c r="G218">
        <v>257.26666</v>
      </c>
      <c r="H218">
        <v>1.0821456</v>
      </c>
      <c r="I218">
        <v>-8.2145624E-2</v>
      </c>
      <c r="J218">
        <v>0.48027384000000001</v>
      </c>
    </row>
    <row r="219" spans="1:10" x14ac:dyDescent="0.3">
      <c r="A219">
        <v>217</v>
      </c>
      <c r="B219">
        <v>3574</v>
      </c>
      <c r="C219" t="b">
        <v>1</v>
      </c>
      <c r="D219">
        <v>8152</v>
      </c>
      <c r="E219">
        <v>8152</v>
      </c>
      <c r="F219">
        <v>277.33334000000002</v>
      </c>
      <c r="G219">
        <v>256.2</v>
      </c>
      <c r="H219">
        <v>1.0824876000000001</v>
      </c>
      <c r="I219">
        <v>-8.2487630000000006E-2</v>
      </c>
      <c r="J219">
        <v>0.48019496</v>
      </c>
    </row>
    <row r="220" spans="1:10" x14ac:dyDescent="0.3">
      <c r="A220">
        <v>218</v>
      </c>
      <c r="B220">
        <v>3590</v>
      </c>
      <c r="C220" t="b">
        <v>1</v>
      </c>
      <c r="D220">
        <v>8152</v>
      </c>
      <c r="E220">
        <v>8144</v>
      </c>
      <c r="F220">
        <v>276.8</v>
      </c>
      <c r="G220">
        <v>254.6</v>
      </c>
      <c r="H220">
        <v>1.0871955</v>
      </c>
      <c r="I220">
        <v>-8.7195529999999993E-2</v>
      </c>
      <c r="J220">
        <v>0.47911176</v>
      </c>
    </row>
    <row r="221" spans="1:10" x14ac:dyDescent="0.3">
      <c r="A221">
        <v>219</v>
      </c>
      <c r="B221">
        <v>3606</v>
      </c>
      <c r="C221" t="b">
        <v>1</v>
      </c>
      <c r="D221">
        <v>8120</v>
      </c>
      <c r="E221">
        <v>8152</v>
      </c>
      <c r="F221">
        <v>276.26666</v>
      </c>
      <c r="G221">
        <v>253.53334000000001</v>
      </c>
      <c r="H221">
        <v>1.089666</v>
      </c>
      <c r="I221">
        <v>-8.9666010000000004E-2</v>
      </c>
      <c r="J221">
        <v>0.47854540000000001</v>
      </c>
    </row>
    <row r="222" spans="1:10" x14ac:dyDescent="0.3">
      <c r="A222">
        <v>220</v>
      </c>
      <c r="B222">
        <v>3622</v>
      </c>
      <c r="C222" t="b">
        <v>1</v>
      </c>
      <c r="D222">
        <v>8128</v>
      </c>
      <c r="E222">
        <v>8200</v>
      </c>
      <c r="F222">
        <v>276.26666</v>
      </c>
      <c r="G222">
        <v>251.93333000000001</v>
      </c>
      <c r="H222">
        <v>1.0965863</v>
      </c>
      <c r="I222">
        <v>-9.6586379999999999E-2</v>
      </c>
      <c r="J222">
        <v>0.47696579</v>
      </c>
    </row>
    <row r="223" spans="1:10" x14ac:dyDescent="0.3">
      <c r="A223">
        <v>221</v>
      </c>
      <c r="B223">
        <v>3638</v>
      </c>
      <c r="C223" t="b">
        <v>1</v>
      </c>
      <c r="D223">
        <v>8168</v>
      </c>
      <c r="E223">
        <v>8168</v>
      </c>
      <c r="F223">
        <v>277.86667</v>
      </c>
      <c r="G223">
        <v>249.26666</v>
      </c>
      <c r="H223">
        <v>1.1147366000000001</v>
      </c>
      <c r="I223">
        <v>-0.11473659</v>
      </c>
      <c r="J223">
        <v>0.47287216999999998</v>
      </c>
    </row>
    <row r="224" spans="1:10" x14ac:dyDescent="0.3">
      <c r="A224">
        <v>222</v>
      </c>
      <c r="B224">
        <v>3654</v>
      </c>
      <c r="C224" t="b">
        <v>1</v>
      </c>
      <c r="D224">
        <v>8152</v>
      </c>
      <c r="E224">
        <v>8152</v>
      </c>
      <c r="F224">
        <v>281.06668000000002</v>
      </c>
      <c r="G224">
        <v>248.2</v>
      </c>
      <c r="H224">
        <v>1.1324202000000001</v>
      </c>
      <c r="I224">
        <v>-0.13242017</v>
      </c>
      <c r="J224">
        <v>0.46895075000000003</v>
      </c>
    </row>
    <row r="225" spans="1:10" x14ac:dyDescent="0.3">
      <c r="A225">
        <v>223</v>
      </c>
      <c r="B225">
        <v>3670</v>
      </c>
      <c r="C225" t="b">
        <v>1</v>
      </c>
      <c r="D225">
        <v>8064</v>
      </c>
      <c r="E225">
        <v>8184</v>
      </c>
      <c r="F225">
        <v>282.66665999999998</v>
      </c>
      <c r="G225">
        <v>248.2</v>
      </c>
      <c r="H225">
        <v>1.1388663999999999</v>
      </c>
      <c r="I225">
        <v>-0.13886647999999999</v>
      </c>
      <c r="J225">
        <v>0.46753737000000001</v>
      </c>
    </row>
    <row r="226" spans="1:10" x14ac:dyDescent="0.3">
      <c r="A226">
        <v>224</v>
      </c>
      <c r="B226">
        <v>3686</v>
      </c>
      <c r="C226" t="b">
        <v>1</v>
      </c>
      <c r="D226">
        <v>8104</v>
      </c>
      <c r="E226">
        <v>8192</v>
      </c>
      <c r="F226">
        <v>282.66665999999998</v>
      </c>
      <c r="G226">
        <v>247.66667000000001</v>
      </c>
      <c r="H226">
        <v>1.1413188999999999</v>
      </c>
      <c r="I226">
        <v>-0.14131891999999999</v>
      </c>
      <c r="J226">
        <v>0.46700191000000002</v>
      </c>
    </row>
    <row r="227" spans="1:10" x14ac:dyDescent="0.3">
      <c r="A227">
        <v>225</v>
      </c>
      <c r="B227">
        <v>3702</v>
      </c>
      <c r="C227" t="b">
        <v>1</v>
      </c>
      <c r="D227">
        <v>8144</v>
      </c>
      <c r="E227">
        <v>8136</v>
      </c>
      <c r="F227">
        <v>284.26666</v>
      </c>
      <c r="G227">
        <v>247.66667000000001</v>
      </c>
      <c r="H227">
        <v>1.1477792</v>
      </c>
      <c r="I227">
        <v>-0.14777923000000001</v>
      </c>
      <c r="J227">
        <v>0.46559718</v>
      </c>
    </row>
    <row r="228" spans="1:10" x14ac:dyDescent="0.3">
      <c r="A228">
        <v>226</v>
      </c>
      <c r="B228">
        <v>3717</v>
      </c>
      <c r="C228" t="b">
        <v>1</v>
      </c>
      <c r="D228">
        <v>8168</v>
      </c>
      <c r="E228">
        <v>8176</v>
      </c>
      <c r="F228">
        <v>285.86667</v>
      </c>
      <c r="G228">
        <v>248.2</v>
      </c>
      <c r="H228">
        <v>1.1517594</v>
      </c>
      <c r="I228">
        <v>-0.15175936000000001</v>
      </c>
      <c r="J228">
        <v>0.46473597999999999</v>
      </c>
    </row>
    <row r="229" spans="1:10" x14ac:dyDescent="0.3">
      <c r="A229">
        <v>227</v>
      </c>
      <c r="B229">
        <v>3734</v>
      </c>
      <c r="C229" t="b">
        <v>1</v>
      </c>
      <c r="D229">
        <v>8136</v>
      </c>
      <c r="E229">
        <v>8144</v>
      </c>
      <c r="F229">
        <v>286.93331999999998</v>
      </c>
      <c r="G229">
        <v>248.73334</v>
      </c>
      <c r="H229">
        <v>1.153578</v>
      </c>
      <c r="I229">
        <v>-0.15357805999999999</v>
      </c>
      <c r="J229">
        <v>0.46434354999999999</v>
      </c>
    </row>
    <row r="230" spans="1:10" x14ac:dyDescent="0.3">
      <c r="A230">
        <v>228</v>
      </c>
      <c r="B230">
        <v>3749</v>
      </c>
      <c r="C230" t="b">
        <v>1</v>
      </c>
      <c r="D230">
        <v>8104</v>
      </c>
      <c r="E230">
        <v>8144</v>
      </c>
      <c r="F230">
        <v>288</v>
      </c>
      <c r="G230">
        <v>247.13333</v>
      </c>
      <c r="H230">
        <v>1.1653628</v>
      </c>
      <c r="I230">
        <v>-0.16536282999999999</v>
      </c>
      <c r="J230">
        <v>0.46181640000000002</v>
      </c>
    </row>
    <row r="231" spans="1:10" x14ac:dyDescent="0.3">
      <c r="A231">
        <v>229</v>
      </c>
      <c r="B231">
        <v>3765</v>
      </c>
      <c r="C231" t="b">
        <v>1</v>
      </c>
      <c r="D231">
        <v>8120</v>
      </c>
      <c r="E231">
        <v>8176</v>
      </c>
      <c r="F231">
        <v>289.60000000000002</v>
      </c>
      <c r="G231">
        <v>245.53334000000001</v>
      </c>
      <c r="H231">
        <v>1.1794732999999999</v>
      </c>
      <c r="I231">
        <v>-0.17947325</v>
      </c>
      <c r="J231">
        <v>0.45882645</v>
      </c>
    </row>
    <row r="232" spans="1:10" x14ac:dyDescent="0.3">
      <c r="A232">
        <v>230</v>
      </c>
      <c r="B232">
        <v>3781</v>
      </c>
      <c r="C232" t="b">
        <v>1</v>
      </c>
      <c r="D232">
        <v>8104</v>
      </c>
      <c r="E232">
        <v>8152</v>
      </c>
      <c r="F232">
        <v>290.66665999999998</v>
      </c>
      <c r="G232">
        <v>244.46665999999999</v>
      </c>
      <c r="H232">
        <v>1.1889828</v>
      </c>
      <c r="I232">
        <v>-0.18898281</v>
      </c>
      <c r="J232">
        <v>0.45683319999999999</v>
      </c>
    </row>
    <row r="233" spans="1:10" x14ac:dyDescent="0.3">
      <c r="A233">
        <v>231</v>
      </c>
      <c r="B233">
        <v>3797</v>
      </c>
      <c r="C233" t="b">
        <v>1</v>
      </c>
      <c r="D233">
        <v>8128</v>
      </c>
      <c r="E233">
        <v>8128</v>
      </c>
      <c r="F233">
        <v>291.73334</v>
      </c>
      <c r="G233">
        <v>243.4</v>
      </c>
      <c r="H233">
        <v>1.1985756999999999</v>
      </c>
      <c r="I233">
        <v>-0.19857578000000001</v>
      </c>
      <c r="J233">
        <v>0.45483994</v>
      </c>
    </row>
    <row r="234" spans="1:10" x14ac:dyDescent="0.3">
      <c r="A234">
        <v>232</v>
      </c>
      <c r="B234">
        <v>3813</v>
      </c>
      <c r="C234" t="b">
        <v>1</v>
      </c>
      <c r="D234">
        <v>8088</v>
      </c>
      <c r="E234">
        <v>8128</v>
      </c>
      <c r="F234">
        <v>291.2</v>
      </c>
      <c r="G234">
        <v>242.33332999999999</v>
      </c>
      <c r="H234">
        <v>1.2016507000000001</v>
      </c>
      <c r="I234">
        <v>-0.20165069999999999</v>
      </c>
      <c r="J234">
        <v>0.45420468000000003</v>
      </c>
    </row>
    <row r="235" spans="1:10" x14ac:dyDescent="0.3">
      <c r="A235">
        <v>233</v>
      </c>
      <c r="B235">
        <v>3829</v>
      </c>
      <c r="C235" t="b">
        <v>1</v>
      </c>
      <c r="D235">
        <v>8104</v>
      </c>
      <c r="E235">
        <v>8184</v>
      </c>
      <c r="F235">
        <v>290.13333</v>
      </c>
      <c r="G235">
        <v>242.33332999999999</v>
      </c>
      <c r="H235">
        <v>1.1972488999999999</v>
      </c>
      <c r="I235">
        <v>-0.19724897999999999</v>
      </c>
      <c r="J235">
        <v>0.45511454000000001</v>
      </c>
    </row>
    <row r="236" spans="1:10" x14ac:dyDescent="0.3">
      <c r="A236">
        <v>234</v>
      </c>
      <c r="B236">
        <v>3845</v>
      </c>
      <c r="C236" t="b">
        <v>1</v>
      </c>
      <c r="D236">
        <v>8112</v>
      </c>
      <c r="E236">
        <v>8152</v>
      </c>
      <c r="F236">
        <v>289.06668000000002</v>
      </c>
      <c r="G236">
        <v>242.33332999999999</v>
      </c>
      <c r="H236">
        <v>1.1928474</v>
      </c>
      <c r="I236">
        <v>-0.1928474</v>
      </c>
      <c r="J236">
        <v>0.45602807000000001</v>
      </c>
    </row>
    <row r="237" spans="1:10" x14ac:dyDescent="0.3">
      <c r="A237">
        <v>235</v>
      </c>
      <c r="B237">
        <v>3861</v>
      </c>
      <c r="C237" t="b">
        <v>1</v>
      </c>
      <c r="D237">
        <v>8120</v>
      </c>
      <c r="E237">
        <v>8184</v>
      </c>
      <c r="F237">
        <v>288</v>
      </c>
      <c r="G237">
        <v>242.33332999999999</v>
      </c>
      <c r="H237">
        <v>1.1884456999999999</v>
      </c>
      <c r="I237">
        <v>-0.18844569</v>
      </c>
      <c r="J237">
        <v>0.45694532999999998</v>
      </c>
    </row>
    <row r="238" spans="1:10" x14ac:dyDescent="0.3">
      <c r="A238">
        <v>236</v>
      </c>
      <c r="B238">
        <v>3877</v>
      </c>
      <c r="C238" t="b">
        <v>1</v>
      </c>
      <c r="D238">
        <v>8128</v>
      </c>
      <c r="E238">
        <v>8168</v>
      </c>
      <c r="F238">
        <v>285.33334000000002</v>
      </c>
      <c r="G238">
        <v>243.4</v>
      </c>
      <c r="H238">
        <v>1.1722816</v>
      </c>
      <c r="I238">
        <v>-0.17228164000000001</v>
      </c>
      <c r="J238">
        <v>0.46034547999999997</v>
      </c>
    </row>
    <row r="239" spans="1:10" x14ac:dyDescent="0.3">
      <c r="A239">
        <v>237</v>
      </c>
      <c r="B239">
        <v>3893</v>
      </c>
      <c r="C239" t="b">
        <v>1</v>
      </c>
      <c r="D239">
        <v>8136</v>
      </c>
      <c r="E239">
        <v>8128</v>
      </c>
      <c r="F239">
        <v>283.2</v>
      </c>
      <c r="G239">
        <v>244.46665999999999</v>
      </c>
      <c r="H239">
        <v>1.1584402</v>
      </c>
      <c r="I239">
        <v>-0.15844022999999999</v>
      </c>
      <c r="J239">
        <v>0.46329752000000002</v>
      </c>
    </row>
    <row r="240" spans="1:10" x14ac:dyDescent="0.3">
      <c r="A240">
        <v>238</v>
      </c>
      <c r="B240">
        <v>3909</v>
      </c>
      <c r="C240" t="b">
        <v>1</v>
      </c>
      <c r="D240">
        <v>8064</v>
      </c>
      <c r="E240">
        <v>8200</v>
      </c>
      <c r="F240">
        <v>282.66665999999998</v>
      </c>
      <c r="G240">
        <v>244.46665999999999</v>
      </c>
      <c r="H240">
        <v>1.1562585000000001</v>
      </c>
      <c r="I240">
        <v>-0.15625850999999999</v>
      </c>
      <c r="J240">
        <v>0.46376630000000002</v>
      </c>
    </row>
    <row r="241" spans="1:10" x14ac:dyDescent="0.3">
      <c r="A241">
        <v>239</v>
      </c>
      <c r="B241">
        <v>3925</v>
      </c>
      <c r="C241" t="b">
        <v>1</v>
      </c>
      <c r="D241">
        <v>8112</v>
      </c>
      <c r="E241">
        <v>8216</v>
      </c>
      <c r="F241">
        <v>282.13333</v>
      </c>
      <c r="G241">
        <v>244.46665999999999</v>
      </c>
      <c r="H241">
        <v>1.1540769</v>
      </c>
      <c r="I241">
        <v>-0.15407693</v>
      </c>
      <c r="J241">
        <v>0.46423599999999998</v>
      </c>
    </row>
    <row r="242" spans="1:10" x14ac:dyDescent="0.3">
      <c r="A242">
        <v>240</v>
      </c>
      <c r="B242">
        <v>3941</v>
      </c>
      <c r="C242" t="b">
        <v>1</v>
      </c>
      <c r="D242">
        <v>8096</v>
      </c>
      <c r="E242">
        <v>8176</v>
      </c>
      <c r="F242">
        <v>280</v>
      </c>
      <c r="G242">
        <v>245</v>
      </c>
      <c r="H242">
        <v>1.1428571999999999</v>
      </c>
      <c r="I242">
        <v>-0.14285714999999999</v>
      </c>
      <c r="J242">
        <v>0.46666667000000001</v>
      </c>
    </row>
    <row r="243" spans="1:10" x14ac:dyDescent="0.3">
      <c r="A243">
        <v>241</v>
      </c>
      <c r="B243">
        <v>3956</v>
      </c>
      <c r="C243" t="b">
        <v>1</v>
      </c>
      <c r="D243">
        <v>8104</v>
      </c>
      <c r="E243">
        <v>8176</v>
      </c>
      <c r="F243">
        <v>277.33334000000002</v>
      </c>
      <c r="G243">
        <v>245</v>
      </c>
      <c r="H243">
        <v>1.1319728</v>
      </c>
      <c r="I243">
        <v>-0.13197283000000001</v>
      </c>
      <c r="J243">
        <v>0.4690491</v>
      </c>
    </row>
    <row r="244" spans="1:10" x14ac:dyDescent="0.3">
      <c r="A244">
        <v>242</v>
      </c>
      <c r="B244">
        <v>3972</v>
      </c>
      <c r="C244" t="b">
        <v>1</v>
      </c>
      <c r="D244">
        <v>8144</v>
      </c>
      <c r="E244">
        <v>8160</v>
      </c>
      <c r="F244">
        <v>275.2</v>
      </c>
      <c r="G244">
        <v>245</v>
      </c>
      <c r="H244">
        <v>1.1232654</v>
      </c>
      <c r="I244">
        <v>-0.12326535600000001</v>
      </c>
      <c r="J244">
        <v>0.47097270000000002</v>
      </c>
    </row>
    <row r="245" spans="1:10" x14ac:dyDescent="0.3">
      <c r="A245">
        <v>243</v>
      </c>
      <c r="B245">
        <v>3988</v>
      </c>
      <c r="C245" t="b">
        <v>1</v>
      </c>
      <c r="D245">
        <v>8056</v>
      </c>
      <c r="E245">
        <v>8176</v>
      </c>
      <c r="F245">
        <v>273.06668000000002</v>
      </c>
      <c r="G245">
        <v>247.13333</v>
      </c>
      <c r="H245">
        <v>1.1049367000000001</v>
      </c>
      <c r="I245">
        <v>-0.10493667399999999</v>
      </c>
      <c r="J245">
        <v>0.47507367</v>
      </c>
    </row>
    <row r="246" spans="1:10" x14ac:dyDescent="0.3">
      <c r="A246">
        <v>244</v>
      </c>
      <c r="B246">
        <v>4004</v>
      </c>
      <c r="C246" t="b">
        <v>1</v>
      </c>
      <c r="D246">
        <v>8088</v>
      </c>
      <c r="E246">
        <v>8144</v>
      </c>
      <c r="F246">
        <v>270.39999999999998</v>
      </c>
      <c r="G246">
        <v>249.26666</v>
      </c>
      <c r="H246">
        <v>1.0847819999999999</v>
      </c>
      <c r="I246">
        <v>-8.478202E-2</v>
      </c>
      <c r="J246">
        <v>0.47966647000000001</v>
      </c>
    </row>
    <row r="247" spans="1:10" x14ac:dyDescent="0.3">
      <c r="A247">
        <v>245</v>
      </c>
      <c r="B247">
        <v>4019</v>
      </c>
      <c r="C247" t="b">
        <v>1</v>
      </c>
      <c r="D247">
        <v>8144</v>
      </c>
      <c r="E247">
        <v>8152</v>
      </c>
      <c r="F247">
        <v>269.33334000000002</v>
      </c>
      <c r="G247">
        <v>249.8</v>
      </c>
      <c r="H247">
        <v>1.0781959000000001</v>
      </c>
      <c r="I247">
        <v>-7.8195915000000005E-2</v>
      </c>
      <c r="J247">
        <v>0.48118656999999998</v>
      </c>
    </row>
    <row r="248" spans="1:10" x14ac:dyDescent="0.3">
      <c r="A248">
        <v>246</v>
      </c>
      <c r="B248">
        <v>4036</v>
      </c>
      <c r="C248" t="b">
        <v>1</v>
      </c>
      <c r="D248">
        <v>8080</v>
      </c>
      <c r="E248">
        <v>8152</v>
      </c>
      <c r="F248">
        <v>267.2</v>
      </c>
      <c r="G248">
        <v>250.33332999999999</v>
      </c>
      <c r="H248">
        <v>1.0673769</v>
      </c>
      <c r="I248">
        <v>-6.7376904000000001E-2</v>
      </c>
      <c r="J248">
        <v>0.48370475000000002</v>
      </c>
    </row>
    <row r="249" spans="1:10" x14ac:dyDescent="0.3">
      <c r="A249">
        <v>247</v>
      </c>
      <c r="B249">
        <v>4052</v>
      </c>
      <c r="C249" t="b">
        <v>1</v>
      </c>
      <c r="D249">
        <v>8096</v>
      </c>
      <c r="E249">
        <v>8176</v>
      </c>
      <c r="F249">
        <v>266.13333</v>
      </c>
      <c r="G249">
        <v>250.86667</v>
      </c>
      <c r="H249">
        <v>1.0608556</v>
      </c>
      <c r="I249">
        <v>-6.0855683000000001E-2</v>
      </c>
      <c r="J249">
        <v>0.48523533000000002</v>
      </c>
    </row>
    <row r="250" spans="1:10" x14ac:dyDescent="0.3">
      <c r="A250">
        <v>248</v>
      </c>
      <c r="B250">
        <v>4068</v>
      </c>
      <c r="C250" t="b">
        <v>1</v>
      </c>
      <c r="D250">
        <v>8128</v>
      </c>
      <c r="E250">
        <v>8176</v>
      </c>
      <c r="F250">
        <v>265.60000000000002</v>
      </c>
      <c r="G250">
        <v>250.86667</v>
      </c>
      <c r="H250">
        <v>1.0587298000000001</v>
      </c>
      <c r="I250">
        <v>-5.8729753000000003E-2</v>
      </c>
      <c r="J250">
        <v>0.48573640000000001</v>
      </c>
    </row>
    <row r="251" spans="1:10" x14ac:dyDescent="0.3">
      <c r="A251">
        <v>249</v>
      </c>
      <c r="B251">
        <v>4083</v>
      </c>
      <c r="C251" t="b">
        <v>1</v>
      </c>
      <c r="D251">
        <v>8064</v>
      </c>
      <c r="E251">
        <v>8176</v>
      </c>
      <c r="F251">
        <v>265.06668000000002</v>
      </c>
      <c r="G251">
        <v>252.46665999999999</v>
      </c>
      <c r="H251">
        <v>1.0499077000000001</v>
      </c>
      <c r="I251">
        <v>-4.9907666000000003E-2</v>
      </c>
      <c r="J251">
        <v>0.48782684999999998</v>
      </c>
    </row>
    <row r="252" spans="1:10" x14ac:dyDescent="0.3">
      <c r="A252">
        <v>250</v>
      </c>
      <c r="B252">
        <v>4099</v>
      </c>
      <c r="C252" t="b">
        <v>1</v>
      </c>
      <c r="D252">
        <v>8088</v>
      </c>
      <c r="E252">
        <v>8144</v>
      </c>
      <c r="F252">
        <v>263.46667000000002</v>
      </c>
      <c r="G252">
        <v>254.06666999999999</v>
      </c>
      <c r="H252">
        <v>1.0369982</v>
      </c>
      <c r="I252">
        <v>-3.6998200000000002E-2</v>
      </c>
      <c r="J252">
        <v>0.49091846</v>
      </c>
    </row>
    <row r="253" spans="1:10" x14ac:dyDescent="0.3">
      <c r="A253">
        <v>251</v>
      </c>
      <c r="B253">
        <v>4115</v>
      </c>
      <c r="C253" t="b">
        <v>1</v>
      </c>
      <c r="D253">
        <v>8096</v>
      </c>
      <c r="E253">
        <v>8152</v>
      </c>
      <c r="F253">
        <v>262.39999999999998</v>
      </c>
      <c r="G253">
        <v>254.6</v>
      </c>
      <c r="H253">
        <v>1.0306362</v>
      </c>
      <c r="I253">
        <v>-3.0636244E-2</v>
      </c>
      <c r="J253">
        <v>0.49245650000000002</v>
      </c>
    </row>
    <row r="254" spans="1:10" x14ac:dyDescent="0.3">
      <c r="A254">
        <v>252</v>
      </c>
      <c r="B254">
        <v>4131</v>
      </c>
      <c r="C254" t="b">
        <v>1</v>
      </c>
      <c r="D254">
        <v>8128</v>
      </c>
      <c r="E254">
        <v>8176</v>
      </c>
      <c r="F254">
        <v>260.8</v>
      </c>
      <c r="G254">
        <v>255.13333</v>
      </c>
      <c r="H254">
        <v>1.0222106</v>
      </c>
      <c r="I254">
        <v>-2.2210569999999999E-2</v>
      </c>
      <c r="J254">
        <v>0.49450833</v>
      </c>
    </row>
    <row r="255" spans="1:10" x14ac:dyDescent="0.3">
      <c r="A255">
        <v>253</v>
      </c>
      <c r="B255">
        <v>4147</v>
      </c>
      <c r="C255" t="b">
        <v>1</v>
      </c>
      <c r="D255">
        <v>8128</v>
      </c>
      <c r="E255">
        <v>8144</v>
      </c>
      <c r="F255">
        <v>259.2</v>
      </c>
      <c r="G255">
        <v>254.06666999999999</v>
      </c>
      <c r="H255">
        <v>1.0202047000000001</v>
      </c>
      <c r="I255">
        <v>-2.0204723000000001E-2</v>
      </c>
      <c r="J255">
        <v>0.49499935</v>
      </c>
    </row>
    <row r="256" spans="1:10" x14ac:dyDescent="0.3">
      <c r="A256">
        <v>254</v>
      </c>
      <c r="B256">
        <v>4163</v>
      </c>
      <c r="C256" t="b">
        <v>1</v>
      </c>
      <c r="D256">
        <v>8072</v>
      </c>
      <c r="E256">
        <v>8176</v>
      </c>
      <c r="F256">
        <v>257.60000000000002</v>
      </c>
      <c r="G256">
        <v>251.93333000000001</v>
      </c>
      <c r="H256">
        <v>1.0224928</v>
      </c>
      <c r="I256">
        <v>-2.2492742E-2</v>
      </c>
      <c r="J256">
        <v>0.49443935999999999</v>
      </c>
    </row>
    <row r="257" spans="1:10" x14ac:dyDescent="0.3">
      <c r="A257">
        <v>255</v>
      </c>
      <c r="B257">
        <v>4179</v>
      </c>
      <c r="C257" t="b">
        <v>1</v>
      </c>
      <c r="D257">
        <v>8152</v>
      </c>
      <c r="E257">
        <v>8200</v>
      </c>
      <c r="F257">
        <v>258.66665999999998</v>
      </c>
      <c r="G257">
        <v>251.93333000000001</v>
      </c>
      <c r="H257">
        <v>1.0267265999999999</v>
      </c>
      <c r="I257">
        <v>-2.6726604000000001E-2</v>
      </c>
      <c r="J257">
        <v>0.49340646999999999</v>
      </c>
    </row>
    <row r="258" spans="1:10" x14ac:dyDescent="0.3">
      <c r="A258">
        <v>256</v>
      </c>
      <c r="B258">
        <v>4194</v>
      </c>
      <c r="C258" t="b">
        <v>1</v>
      </c>
      <c r="D258">
        <v>8088</v>
      </c>
      <c r="E258">
        <v>8176</v>
      </c>
      <c r="F258">
        <v>260.26666</v>
      </c>
      <c r="G258">
        <v>251.93333000000001</v>
      </c>
      <c r="H258">
        <v>1.0330775000000001</v>
      </c>
      <c r="I258">
        <v>-3.3077512000000003E-2</v>
      </c>
      <c r="J258">
        <v>0.49186516000000002</v>
      </c>
    </row>
    <row r="259" spans="1:10" x14ac:dyDescent="0.3">
      <c r="A259">
        <v>257</v>
      </c>
      <c r="B259">
        <v>4211</v>
      </c>
      <c r="C259" t="b">
        <v>1</v>
      </c>
      <c r="D259">
        <v>8128</v>
      </c>
      <c r="E259">
        <v>8200</v>
      </c>
      <c r="F259">
        <v>261.86667</v>
      </c>
      <c r="G259">
        <v>251.93333000000001</v>
      </c>
      <c r="H259">
        <v>1.0394285000000001</v>
      </c>
      <c r="I259">
        <v>-3.9428423999999997E-2</v>
      </c>
      <c r="J259">
        <v>0.49033346999999999</v>
      </c>
    </row>
    <row r="260" spans="1:10" x14ac:dyDescent="0.3">
      <c r="A260">
        <v>258</v>
      </c>
      <c r="B260">
        <v>4226</v>
      </c>
      <c r="C260" t="b">
        <v>1</v>
      </c>
      <c r="D260">
        <v>8136</v>
      </c>
      <c r="E260">
        <v>8224</v>
      </c>
      <c r="F260">
        <v>263.46667000000002</v>
      </c>
      <c r="G260">
        <v>253.53334000000001</v>
      </c>
      <c r="H260">
        <v>1.0391796</v>
      </c>
      <c r="I260">
        <v>-3.9179596999999997E-2</v>
      </c>
      <c r="J260">
        <v>0.49039329999999998</v>
      </c>
    </row>
    <row r="261" spans="1:10" x14ac:dyDescent="0.3">
      <c r="A261">
        <v>259</v>
      </c>
      <c r="B261">
        <v>4242</v>
      </c>
      <c r="C261" t="b">
        <v>1</v>
      </c>
      <c r="D261">
        <v>8144</v>
      </c>
      <c r="E261">
        <v>8192</v>
      </c>
      <c r="F261">
        <v>266.13333</v>
      </c>
      <c r="G261">
        <v>255.13333</v>
      </c>
      <c r="H261">
        <v>1.0431147000000001</v>
      </c>
      <c r="I261">
        <v>-4.3114710000000001E-2</v>
      </c>
      <c r="J261">
        <v>0.48944880000000002</v>
      </c>
    </row>
    <row r="262" spans="1:10" x14ac:dyDescent="0.3">
      <c r="A262">
        <v>260</v>
      </c>
      <c r="B262">
        <v>4258</v>
      </c>
      <c r="C262" t="b">
        <v>1</v>
      </c>
      <c r="D262">
        <v>8160</v>
      </c>
      <c r="E262">
        <v>8152</v>
      </c>
      <c r="F262">
        <v>268.26666</v>
      </c>
      <c r="G262">
        <v>257.26666</v>
      </c>
      <c r="H262">
        <v>1.0427572000000001</v>
      </c>
      <c r="I262">
        <v>-4.275719E-2</v>
      </c>
      <c r="J262">
        <v>0.48953444000000002</v>
      </c>
    </row>
    <row r="263" spans="1:10" x14ac:dyDescent="0.3">
      <c r="A263">
        <v>261</v>
      </c>
      <c r="B263">
        <v>4274</v>
      </c>
      <c r="C263" t="b">
        <v>1</v>
      </c>
      <c r="D263">
        <v>8128</v>
      </c>
      <c r="E263">
        <v>8120</v>
      </c>
      <c r="F263">
        <v>271.46667000000002</v>
      </c>
      <c r="G263">
        <v>259.93331999999998</v>
      </c>
      <c r="H263">
        <v>1.0443704</v>
      </c>
      <c r="I263">
        <v>-4.4370439999999997E-2</v>
      </c>
      <c r="J263">
        <v>0.48914809999999997</v>
      </c>
    </row>
    <row r="264" spans="1:10" x14ac:dyDescent="0.3">
      <c r="A264">
        <v>262</v>
      </c>
      <c r="B264">
        <v>4290</v>
      </c>
      <c r="C264" t="b">
        <v>1</v>
      </c>
      <c r="D264">
        <v>8104</v>
      </c>
      <c r="E264">
        <v>8152</v>
      </c>
      <c r="F264">
        <v>274.66665999999998</v>
      </c>
      <c r="G264">
        <v>259.93331999999998</v>
      </c>
      <c r="H264">
        <v>1.0566812999999999</v>
      </c>
      <c r="I264">
        <v>-5.6681219999999997E-2</v>
      </c>
      <c r="J264">
        <v>0.48622019999999999</v>
      </c>
    </row>
    <row r="265" spans="1:10" x14ac:dyDescent="0.3">
      <c r="A265">
        <v>263</v>
      </c>
      <c r="B265">
        <v>4306</v>
      </c>
      <c r="C265" t="b">
        <v>1</v>
      </c>
      <c r="D265">
        <v>8152</v>
      </c>
      <c r="E265">
        <v>8120</v>
      </c>
      <c r="F265">
        <v>277.86667</v>
      </c>
      <c r="G265">
        <v>259.93331999999998</v>
      </c>
      <c r="H265">
        <v>1.0689921</v>
      </c>
      <c r="I265">
        <v>-6.8992116000000006E-2</v>
      </c>
      <c r="J265">
        <v>0.48332712</v>
      </c>
    </row>
    <row r="266" spans="1:10" x14ac:dyDescent="0.3">
      <c r="A266">
        <v>264</v>
      </c>
      <c r="B266">
        <v>4321</v>
      </c>
      <c r="C266" t="b">
        <v>1</v>
      </c>
      <c r="D266">
        <v>8128</v>
      </c>
      <c r="E266">
        <v>8176</v>
      </c>
      <c r="F266">
        <v>280</v>
      </c>
      <c r="G266">
        <v>258.33334000000002</v>
      </c>
      <c r="H266">
        <v>1.0838709</v>
      </c>
      <c r="I266">
        <v>-8.3870924999999999E-2</v>
      </c>
      <c r="J266">
        <v>0.47987613000000001</v>
      </c>
    </row>
    <row r="267" spans="1:10" x14ac:dyDescent="0.3">
      <c r="A267">
        <v>265</v>
      </c>
      <c r="B267">
        <v>4337</v>
      </c>
      <c r="C267" t="b">
        <v>1</v>
      </c>
      <c r="D267">
        <v>8104</v>
      </c>
      <c r="E267">
        <v>8184</v>
      </c>
      <c r="F267">
        <v>282.66665999999998</v>
      </c>
      <c r="G267">
        <v>256.73334</v>
      </c>
      <c r="H267">
        <v>1.1010127000000001</v>
      </c>
      <c r="I267">
        <v>-0.10101267</v>
      </c>
      <c r="J267">
        <v>0.47596094</v>
      </c>
    </row>
    <row r="268" spans="1:10" x14ac:dyDescent="0.3">
      <c r="A268">
        <v>266</v>
      </c>
      <c r="B268">
        <v>4353</v>
      </c>
      <c r="C268" t="b">
        <v>1</v>
      </c>
      <c r="D268">
        <v>8152</v>
      </c>
      <c r="E268">
        <v>8224</v>
      </c>
      <c r="F268">
        <v>284.8</v>
      </c>
      <c r="G268">
        <v>256.73334</v>
      </c>
      <c r="H268">
        <v>1.1093222</v>
      </c>
      <c r="I268">
        <v>-0.10932219</v>
      </c>
      <c r="J268">
        <v>0.47408595999999997</v>
      </c>
    </row>
    <row r="269" spans="1:10" x14ac:dyDescent="0.3">
      <c r="A269">
        <v>267</v>
      </c>
      <c r="B269">
        <v>4369</v>
      </c>
      <c r="C269" t="b">
        <v>1</v>
      </c>
      <c r="D269">
        <v>8128</v>
      </c>
      <c r="E269">
        <v>8136</v>
      </c>
      <c r="F269">
        <v>286.93331999999998</v>
      </c>
      <c r="G269">
        <v>256.73334</v>
      </c>
      <c r="H269">
        <v>1.1176317</v>
      </c>
      <c r="I269">
        <v>-0.11763171</v>
      </c>
      <c r="J269">
        <v>0.47222566999999999</v>
      </c>
    </row>
    <row r="270" spans="1:10" x14ac:dyDescent="0.3">
      <c r="A270">
        <v>268</v>
      </c>
      <c r="B270">
        <v>4385</v>
      </c>
      <c r="C270" t="b">
        <v>1</v>
      </c>
      <c r="D270">
        <v>8136</v>
      </c>
      <c r="E270">
        <v>8176</v>
      </c>
      <c r="F270">
        <v>289.06668000000002</v>
      </c>
      <c r="G270">
        <v>258.33334000000002</v>
      </c>
      <c r="H270">
        <v>1.1189678000000001</v>
      </c>
      <c r="I270">
        <v>-0.11896776000000001</v>
      </c>
      <c r="J270">
        <v>0.47192790000000001</v>
      </c>
    </row>
    <row r="271" spans="1:10" x14ac:dyDescent="0.3">
      <c r="A271">
        <v>269</v>
      </c>
      <c r="B271">
        <v>4401</v>
      </c>
      <c r="C271" t="b">
        <v>1</v>
      </c>
      <c r="D271">
        <v>8152</v>
      </c>
      <c r="E271">
        <v>8224</v>
      </c>
      <c r="F271">
        <v>291.73334</v>
      </c>
      <c r="G271">
        <v>260.46667000000002</v>
      </c>
      <c r="H271">
        <v>1.1200409</v>
      </c>
      <c r="I271">
        <v>-0.12004093</v>
      </c>
      <c r="J271">
        <v>0.47168902000000001</v>
      </c>
    </row>
    <row r="272" spans="1:10" x14ac:dyDescent="0.3">
      <c r="A272">
        <v>270</v>
      </c>
      <c r="B272">
        <v>4417</v>
      </c>
      <c r="C272" t="b">
        <v>1</v>
      </c>
      <c r="D272">
        <v>8088</v>
      </c>
      <c r="E272">
        <v>8176</v>
      </c>
      <c r="F272">
        <v>292.26666</v>
      </c>
      <c r="G272">
        <v>260.46667000000002</v>
      </c>
      <c r="H272">
        <v>1.1220886000000001</v>
      </c>
      <c r="I272">
        <v>-0.12208851</v>
      </c>
      <c r="J272">
        <v>0.47123387</v>
      </c>
    </row>
    <row r="273" spans="1:10" x14ac:dyDescent="0.3">
      <c r="A273">
        <v>271</v>
      </c>
      <c r="B273">
        <v>4433</v>
      </c>
      <c r="C273" t="b">
        <v>1</v>
      </c>
      <c r="D273">
        <v>8088</v>
      </c>
      <c r="E273">
        <v>8200</v>
      </c>
      <c r="F273">
        <v>292.26666</v>
      </c>
      <c r="G273">
        <v>260.46667000000002</v>
      </c>
      <c r="H273">
        <v>1.1220886000000001</v>
      </c>
      <c r="I273">
        <v>-0.12208851</v>
      </c>
      <c r="J273">
        <v>0.47123387</v>
      </c>
    </row>
    <row r="274" spans="1:10" x14ac:dyDescent="0.3">
      <c r="A274">
        <v>272</v>
      </c>
      <c r="B274">
        <v>4465</v>
      </c>
      <c r="C274" t="b">
        <v>1</v>
      </c>
      <c r="D274">
        <v>8096</v>
      </c>
      <c r="E274">
        <v>8176</v>
      </c>
      <c r="F274">
        <v>290.13333</v>
      </c>
      <c r="G274">
        <v>260.46667000000002</v>
      </c>
      <c r="H274">
        <v>1.1138980000000001</v>
      </c>
      <c r="I274">
        <v>-0.11389808999999999</v>
      </c>
      <c r="J274">
        <v>0.47305970000000003</v>
      </c>
    </row>
    <row r="275" spans="1:10" x14ac:dyDescent="0.3">
      <c r="A275">
        <v>273</v>
      </c>
      <c r="B275">
        <v>4481</v>
      </c>
      <c r="C275" t="b">
        <v>1</v>
      </c>
      <c r="D275">
        <v>8136</v>
      </c>
      <c r="E275">
        <v>8128</v>
      </c>
      <c r="F275">
        <v>288</v>
      </c>
      <c r="G275">
        <v>258.86667</v>
      </c>
      <c r="H275">
        <v>1.1125418</v>
      </c>
      <c r="I275">
        <v>-0.11254184</v>
      </c>
      <c r="J275">
        <v>0.47336337000000001</v>
      </c>
    </row>
    <row r="276" spans="1:10" x14ac:dyDescent="0.3">
      <c r="A276">
        <v>274</v>
      </c>
      <c r="B276">
        <v>4496</v>
      </c>
      <c r="C276" t="b">
        <v>1</v>
      </c>
      <c r="D276">
        <v>8096</v>
      </c>
      <c r="E276">
        <v>8184</v>
      </c>
      <c r="F276">
        <v>285.33334000000002</v>
      </c>
      <c r="G276">
        <v>257.26666</v>
      </c>
      <c r="H276">
        <v>1.1090956999999999</v>
      </c>
      <c r="I276">
        <v>-0.10909568</v>
      </c>
      <c r="J276">
        <v>0.47413689999999997</v>
      </c>
    </row>
    <row r="277" spans="1:10" x14ac:dyDescent="0.3">
      <c r="A277">
        <v>275</v>
      </c>
      <c r="B277">
        <v>4512</v>
      </c>
      <c r="C277" t="b">
        <v>1</v>
      </c>
      <c r="D277">
        <v>8120</v>
      </c>
      <c r="E277">
        <v>8176</v>
      </c>
      <c r="F277">
        <v>282.66665999999998</v>
      </c>
      <c r="G277">
        <v>256.2</v>
      </c>
      <c r="H277">
        <v>1.1033046</v>
      </c>
      <c r="I277">
        <v>-0.10330462</v>
      </c>
      <c r="J277">
        <v>0.47544229999999998</v>
      </c>
    </row>
    <row r="278" spans="1:10" x14ac:dyDescent="0.3">
      <c r="A278">
        <v>276</v>
      </c>
      <c r="B278">
        <v>4528</v>
      </c>
      <c r="C278" t="b">
        <v>1</v>
      </c>
      <c r="D278">
        <v>8096</v>
      </c>
      <c r="E278">
        <v>8184</v>
      </c>
      <c r="F278">
        <v>280</v>
      </c>
      <c r="G278">
        <v>255.13333</v>
      </c>
      <c r="H278">
        <v>1.0974653999999999</v>
      </c>
      <c r="I278">
        <v>-9.7465389999999999E-2</v>
      </c>
      <c r="J278">
        <v>0.47676593</v>
      </c>
    </row>
    <row r="279" spans="1:10" x14ac:dyDescent="0.3">
      <c r="A279">
        <v>277</v>
      </c>
      <c r="B279">
        <v>4544</v>
      </c>
      <c r="C279" t="b">
        <v>1</v>
      </c>
      <c r="D279">
        <v>8144</v>
      </c>
      <c r="E279">
        <v>8184</v>
      </c>
      <c r="F279">
        <v>278.93331999999998</v>
      </c>
      <c r="G279">
        <v>257.26666</v>
      </c>
      <c r="H279">
        <v>1.0842186</v>
      </c>
      <c r="I279">
        <v>-8.4218669999999995E-2</v>
      </c>
      <c r="J279">
        <v>0.47979613999999998</v>
      </c>
    </row>
    <row r="280" spans="1:10" x14ac:dyDescent="0.3">
      <c r="A280">
        <v>278</v>
      </c>
      <c r="B280">
        <v>4560</v>
      </c>
      <c r="C280" t="b">
        <v>1</v>
      </c>
      <c r="D280">
        <v>8176</v>
      </c>
      <c r="E280">
        <v>8176</v>
      </c>
      <c r="F280">
        <v>277.33334000000002</v>
      </c>
      <c r="G280">
        <v>259.39999999999998</v>
      </c>
      <c r="H280">
        <v>1.069134</v>
      </c>
      <c r="I280">
        <v>-6.9133959999999994E-2</v>
      </c>
      <c r="J280">
        <v>0.48329398000000001</v>
      </c>
    </row>
    <row r="281" spans="1:10" x14ac:dyDescent="0.3">
      <c r="A281">
        <v>279</v>
      </c>
      <c r="B281">
        <v>4576</v>
      </c>
      <c r="C281" t="b">
        <v>1</v>
      </c>
      <c r="D281">
        <v>8192</v>
      </c>
      <c r="E281">
        <v>8160</v>
      </c>
      <c r="F281">
        <v>278.39999999999998</v>
      </c>
      <c r="G281">
        <v>261</v>
      </c>
      <c r="H281">
        <v>1.0666666</v>
      </c>
      <c r="I281">
        <v>-6.6666639999999999E-2</v>
      </c>
      <c r="J281">
        <v>0.48387095000000002</v>
      </c>
    </row>
    <row r="282" spans="1:10" x14ac:dyDescent="0.3">
      <c r="A282">
        <v>280</v>
      </c>
      <c r="B282">
        <v>4592</v>
      </c>
      <c r="C282" t="b">
        <v>1</v>
      </c>
      <c r="D282">
        <v>8128</v>
      </c>
      <c r="E282">
        <v>8168</v>
      </c>
      <c r="F282">
        <v>279.46667000000002</v>
      </c>
      <c r="G282">
        <v>262.60000000000002</v>
      </c>
      <c r="H282">
        <v>1.0642294999999999</v>
      </c>
      <c r="I282">
        <v>-6.4229499999999995E-2</v>
      </c>
      <c r="J282">
        <v>0.48444229999999999</v>
      </c>
    </row>
    <row r="283" spans="1:10" x14ac:dyDescent="0.3">
      <c r="A283">
        <v>281</v>
      </c>
      <c r="B283">
        <v>4608</v>
      </c>
      <c r="C283" t="b">
        <v>1</v>
      </c>
      <c r="D283">
        <v>8160</v>
      </c>
      <c r="E283">
        <v>8200</v>
      </c>
      <c r="F283">
        <v>281.60000000000002</v>
      </c>
      <c r="G283">
        <v>262.60000000000002</v>
      </c>
      <c r="H283">
        <v>1.0723533999999999</v>
      </c>
      <c r="I283">
        <v>-7.2353385000000006E-2</v>
      </c>
      <c r="J283">
        <v>0.48254317000000002</v>
      </c>
    </row>
    <row r="284" spans="1:10" x14ac:dyDescent="0.3">
      <c r="A284">
        <v>282</v>
      </c>
      <c r="B284">
        <v>4623</v>
      </c>
      <c r="C284" t="b">
        <v>1</v>
      </c>
      <c r="D284">
        <v>8104</v>
      </c>
      <c r="E284">
        <v>8136</v>
      </c>
      <c r="F284">
        <v>283.73334</v>
      </c>
      <c r="G284">
        <v>262.06668000000002</v>
      </c>
      <c r="H284">
        <v>1.0826762000000001</v>
      </c>
      <c r="I284">
        <v>-8.2676120000000006E-2</v>
      </c>
      <c r="J284">
        <v>0.48015143999999998</v>
      </c>
    </row>
    <row r="285" spans="1:10" x14ac:dyDescent="0.3">
      <c r="A285">
        <v>283</v>
      </c>
      <c r="B285">
        <v>4640</v>
      </c>
      <c r="C285" t="b">
        <v>1</v>
      </c>
      <c r="D285">
        <v>8128</v>
      </c>
      <c r="E285">
        <v>8136</v>
      </c>
      <c r="F285">
        <v>283.73334</v>
      </c>
      <c r="G285">
        <v>261</v>
      </c>
      <c r="H285">
        <v>1.0871009</v>
      </c>
      <c r="I285">
        <v>-8.7100910000000004E-2</v>
      </c>
      <c r="J285">
        <v>0.47913351999999998</v>
      </c>
    </row>
    <row r="286" spans="1:10" x14ac:dyDescent="0.3">
      <c r="A286">
        <v>284</v>
      </c>
      <c r="B286">
        <v>4655</v>
      </c>
      <c r="C286" t="b">
        <v>1</v>
      </c>
      <c r="D286">
        <v>8184</v>
      </c>
      <c r="E286">
        <v>8176</v>
      </c>
      <c r="F286">
        <v>283.2</v>
      </c>
      <c r="G286">
        <v>259.93331999999998</v>
      </c>
      <c r="H286">
        <v>1.0895102000000001</v>
      </c>
      <c r="I286">
        <v>-8.9510240000000005E-2</v>
      </c>
      <c r="J286">
        <v>0.47858107</v>
      </c>
    </row>
    <row r="287" spans="1:10" x14ac:dyDescent="0.3">
      <c r="A287">
        <v>285</v>
      </c>
      <c r="B287">
        <v>4671</v>
      </c>
      <c r="C287" t="b">
        <v>1</v>
      </c>
      <c r="D287">
        <v>8176</v>
      </c>
      <c r="E287">
        <v>8168</v>
      </c>
      <c r="F287">
        <v>284.8</v>
      </c>
      <c r="G287">
        <v>259.39999999999998</v>
      </c>
      <c r="H287">
        <v>1.0979182999999999</v>
      </c>
      <c r="I287">
        <v>-9.7918249999999998E-2</v>
      </c>
      <c r="J287">
        <v>0.47666301999999999</v>
      </c>
    </row>
    <row r="288" spans="1:10" x14ac:dyDescent="0.3">
      <c r="A288">
        <v>286</v>
      </c>
      <c r="B288">
        <v>4687</v>
      </c>
      <c r="C288" t="b">
        <v>1</v>
      </c>
      <c r="D288">
        <v>8064</v>
      </c>
      <c r="E288">
        <v>8176</v>
      </c>
      <c r="F288">
        <v>284.8</v>
      </c>
      <c r="G288">
        <v>258.86667</v>
      </c>
      <c r="H288">
        <v>1.1001803000000001</v>
      </c>
      <c r="I288">
        <v>-0.100180216</v>
      </c>
      <c r="J288">
        <v>0.47614964999999998</v>
      </c>
    </row>
    <row r="289" spans="1:10" x14ac:dyDescent="0.3">
      <c r="A289">
        <v>287</v>
      </c>
      <c r="B289">
        <v>4703</v>
      </c>
      <c r="C289" t="b">
        <v>1</v>
      </c>
      <c r="D289">
        <v>8112</v>
      </c>
      <c r="E289">
        <v>8184</v>
      </c>
      <c r="F289">
        <v>286.93331999999998</v>
      </c>
      <c r="G289">
        <v>258.86667</v>
      </c>
      <c r="H289">
        <v>1.1084212</v>
      </c>
      <c r="I289">
        <v>-0.10842126000000001</v>
      </c>
      <c r="J289">
        <v>0.47428851999999999</v>
      </c>
    </row>
    <row r="290" spans="1:10" x14ac:dyDescent="0.3">
      <c r="A290">
        <v>288</v>
      </c>
      <c r="B290">
        <v>4719</v>
      </c>
      <c r="C290" t="b">
        <v>1</v>
      </c>
      <c r="D290">
        <v>8112</v>
      </c>
      <c r="E290">
        <v>8176</v>
      </c>
      <c r="F290">
        <v>288</v>
      </c>
      <c r="G290">
        <v>258.86667</v>
      </c>
      <c r="H290">
        <v>1.1125418</v>
      </c>
      <c r="I290">
        <v>-0.11254184</v>
      </c>
      <c r="J290">
        <v>0.47336337000000001</v>
      </c>
    </row>
    <row r="291" spans="1:10" x14ac:dyDescent="0.3">
      <c r="A291">
        <v>289</v>
      </c>
      <c r="B291">
        <v>4735</v>
      </c>
      <c r="C291" t="b">
        <v>1</v>
      </c>
      <c r="D291">
        <v>8112</v>
      </c>
      <c r="E291">
        <v>8184</v>
      </c>
      <c r="F291">
        <v>289.06668000000002</v>
      </c>
      <c r="G291">
        <v>258.86667</v>
      </c>
      <c r="H291">
        <v>1.1166624000000001</v>
      </c>
      <c r="I291">
        <v>-0.11666242</v>
      </c>
      <c r="J291">
        <v>0.47244187999999998</v>
      </c>
    </row>
    <row r="292" spans="1:10" x14ac:dyDescent="0.3">
      <c r="A292">
        <v>290</v>
      </c>
      <c r="B292">
        <v>4751</v>
      </c>
      <c r="C292" t="b">
        <v>1</v>
      </c>
      <c r="D292">
        <v>8128</v>
      </c>
      <c r="E292">
        <v>8176</v>
      </c>
      <c r="F292">
        <v>290.13333</v>
      </c>
      <c r="G292">
        <v>258.86667</v>
      </c>
      <c r="H292">
        <v>1.1207829</v>
      </c>
      <c r="I292">
        <v>-0.12078288</v>
      </c>
      <c r="J292">
        <v>0.471524</v>
      </c>
    </row>
    <row r="293" spans="1:10" x14ac:dyDescent="0.3">
      <c r="A293">
        <v>291</v>
      </c>
      <c r="B293">
        <v>4766</v>
      </c>
      <c r="C293" t="b">
        <v>1</v>
      </c>
      <c r="D293">
        <v>8080</v>
      </c>
      <c r="E293">
        <v>8176</v>
      </c>
      <c r="F293">
        <v>291.2</v>
      </c>
      <c r="G293">
        <v>258.86667</v>
      </c>
      <c r="H293">
        <v>1.1249034</v>
      </c>
      <c r="I293">
        <v>-0.12490345999999999</v>
      </c>
      <c r="J293">
        <v>0.47060964</v>
      </c>
    </row>
    <row r="294" spans="1:10" x14ac:dyDescent="0.3">
      <c r="A294">
        <v>292</v>
      </c>
      <c r="B294">
        <v>4782</v>
      </c>
      <c r="C294" t="b">
        <v>1</v>
      </c>
      <c r="D294">
        <v>8128</v>
      </c>
      <c r="E294">
        <v>8176</v>
      </c>
      <c r="F294">
        <v>290.66665999999998</v>
      </c>
      <c r="G294">
        <v>258.33334000000002</v>
      </c>
      <c r="H294">
        <v>1.1251612</v>
      </c>
      <c r="I294">
        <v>-0.1251612</v>
      </c>
      <c r="J294">
        <v>0.47055253000000002</v>
      </c>
    </row>
    <row r="295" spans="1:10" x14ac:dyDescent="0.3">
      <c r="A295">
        <v>293</v>
      </c>
      <c r="B295">
        <v>4798</v>
      </c>
      <c r="C295" t="b">
        <v>1</v>
      </c>
      <c r="D295">
        <v>8112</v>
      </c>
      <c r="E295">
        <v>8136</v>
      </c>
      <c r="F295">
        <v>290.13333</v>
      </c>
      <c r="G295">
        <v>257.8</v>
      </c>
      <c r="H295">
        <v>1.1254202</v>
      </c>
      <c r="I295">
        <v>-0.12542027</v>
      </c>
      <c r="J295">
        <v>0.47049516000000002</v>
      </c>
    </row>
    <row r="296" spans="1:10" x14ac:dyDescent="0.3">
      <c r="A296">
        <v>294</v>
      </c>
      <c r="B296">
        <v>4814</v>
      </c>
      <c r="C296" t="b">
        <v>1</v>
      </c>
      <c r="D296">
        <v>8072</v>
      </c>
      <c r="E296">
        <v>8176</v>
      </c>
      <c r="F296">
        <v>288</v>
      </c>
      <c r="G296">
        <v>257.8</v>
      </c>
      <c r="H296">
        <v>1.1171451999999999</v>
      </c>
      <c r="I296">
        <v>-0.11714513</v>
      </c>
      <c r="J296">
        <v>0.47233417999999999</v>
      </c>
    </row>
    <row r="297" spans="1:10" x14ac:dyDescent="0.3">
      <c r="A297">
        <v>295</v>
      </c>
      <c r="B297">
        <v>4831</v>
      </c>
      <c r="C297" t="b">
        <v>1</v>
      </c>
      <c r="D297">
        <v>8128</v>
      </c>
      <c r="E297">
        <v>8184</v>
      </c>
      <c r="F297">
        <v>285.86667</v>
      </c>
      <c r="G297">
        <v>257.8</v>
      </c>
      <c r="H297">
        <v>1.10887</v>
      </c>
      <c r="I297">
        <v>-0.108869985</v>
      </c>
      <c r="J297">
        <v>0.47418764000000002</v>
      </c>
    </row>
    <row r="298" spans="1:10" x14ac:dyDescent="0.3">
      <c r="A298">
        <v>296</v>
      </c>
      <c r="B298">
        <v>4846</v>
      </c>
      <c r="C298" t="b">
        <v>1</v>
      </c>
      <c r="D298">
        <v>8088</v>
      </c>
      <c r="E298">
        <v>8184</v>
      </c>
      <c r="F298">
        <v>282.66665999999998</v>
      </c>
      <c r="G298">
        <v>257.8</v>
      </c>
      <c r="H298">
        <v>1.0964571999999999</v>
      </c>
      <c r="I298">
        <v>-9.6457210000000002E-2</v>
      </c>
      <c r="J298">
        <v>0.47699517000000002</v>
      </c>
    </row>
    <row r="299" spans="1:10" x14ac:dyDescent="0.3">
      <c r="A299">
        <v>297</v>
      </c>
      <c r="B299">
        <v>4862</v>
      </c>
      <c r="C299" t="b">
        <v>1</v>
      </c>
      <c r="D299">
        <v>8080</v>
      </c>
      <c r="E299">
        <v>8160</v>
      </c>
      <c r="F299">
        <v>277.86667</v>
      </c>
      <c r="G299">
        <v>258.33334000000002</v>
      </c>
      <c r="H299">
        <v>1.0756129000000001</v>
      </c>
      <c r="I299">
        <v>-7.5612865000000001E-2</v>
      </c>
      <c r="J299">
        <v>0.48178542000000002</v>
      </c>
    </row>
    <row r="300" spans="1:10" x14ac:dyDescent="0.3">
      <c r="A300">
        <v>298</v>
      </c>
      <c r="B300">
        <v>4878</v>
      </c>
      <c r="C300" t="b">
        <v>1</v>
      </c>
      <c r="D300">
        <v>8088</v>
      </c>
      <c r="E300">
        <v>8176</v>
      </c>
      <c r="F300">
        <v>275.2</v>
      </c>
      <c r="G300">
        <v>259.39999999999998</v>
      </c>
      <c r="H300">
        <v>1.0609099</v>
      </c>
      <c r="I300">
        <v>-6.0909864000000001E-2</v>
      </c>
      <c r="J300">
        <v>0.4852226</v>
      </c>
    </row>
    <row r="301" spans="1:10" x14ac:dyDescent="0.3">
      <c r="A301">
        <v>299</v>
      </c>
      <c r="B301">
        <v>4894</v>
      </c>
      <c r="C301" t="b">
        <v>1</v>
      </c>
      <c r="D301">
        <v>8128</v>
      </c>
      <c r="E301">
        <v>8144</v>
      </c>
      <c r="F301">
        <v>272.53332999999998</v>
      </c>
      <c r="G301">
        <v>259.93331999999998</v>
      </c>
      <c r="H301">
        <v>1.0484739999999999</v>
      </c>
      <c r="I301">
        <v>-4.8473994999999999E-2</v>
      </c>
      <c r="J301">
        <v>0.48816823999999998</v>
      </c>
    </row>
    <row r="302" spans="1:10" x14ac:dyDescent="0.3">
      <c r="A302">
        <v>300</v>
      </c>
      <c r="B302">
        <v>4910</v>
      </c>
      <c r="C302" t="b">
        <v>1</v>
      </c>
      <c r="D302">
        <v>8120</v>
      </c>
      <c r="E302">
        <v>8160</v>
      </c>
      <c r="F302">
        <v>267.73334</v>
      </c>
      <c r="G302">
        <v>259.39999999999998</v>
      </c>
      <c r="H302">
        <v>1.0321255</v>
      </c>
      <c r="I302">
        <v>-3.2125458000000003E-2</v>
      </c>
      <c r="J302">
        <v>0.49209562000000001</v>
      </c>
    </row>
    <row r="303" spans="1:10" x14ac:dyDescent="0.3">
      <c r="A303">
        <v>301</v>
      </c>
      <c r="B303">
        <v>4926</v>
      </c>
      <c r="C303" t="b">
        <v>1</v>
      </c>
      <c r="D303">
        <v>8136</v>
      </c>
      <c r="E303">
        <v>8184</v>
      </c>
      <c r="F303">
        <v>267.2</v>
      </c>
      <c r="G303">
        <v>258.86667</v>
      </c>
      <c r="H303">
        <v>1.0321916</v>
      </c>
      <c r="I303">
        <v>-3.2191640000000001E-2</v>
      </c>
      <c r="J303">
        <v>0.49207962</v>
      </c>
    </row>
    <row r="304" spans="1:10" x14ac:dyDescent="0.3">
      <c r="A304">
        <v>302</v>
      </c>
      <c r="B304">
        <v>4942</v>
      </c>
      <c r="C304" t="b">
        <v>1</v>
      </c>
      <c r="D304">
        <v>8136</v>
      </c>
      <c r="E304">
        <v>8184</v>
      </c>
      <c r="F304">
        <v>267.2</v>
      </c>
      <c r="G304">
        <v>258.86667</v>
      </c>
      <c r="H304">
        <v>1.0321916</v>
      </c>
      <c r="I304">
        <v>-3.2191640000000001E-2</v>
      </c>
      <c r="J304">
        <v>0.49207962</v>
      </c>
    </row>
    <row r="305" spans="1:10" x14ac:dyDescent="0.3">
      <c r="A305">
        <v>303</v>
      </c>
      <c r="B305">
        <v>4958</v>
      </c>
      <c r="C305" t="b">
        <v>1</v>
      </c>
      <c r="D305">
        <v>8136</v>
      </c>
      <c r="E305">
        <v>8152</v>
      </c>
      <c r="F305">
        <v>268.8</v>
      </c>
      <c r="G305">
        <v>257.8</v>
      </c>
      <c r="H305">
        <v>1.0426686999999999</v>
      </c>
      <c r="I305">
        <v>-4.2668736999999998E-2</v>
      </c>
      <c r="J305">
        <v>0.48955563000000002</v>
      </c>
    </row>
    <row r="306" spans="1:10" x14ac:dyDescent="0.3">
      <c r="A306">
        <v>304</v>
      </c>
      <c r="B306">
        <v>4974</v>
      </c>
      <c r="C306" t="b">
        <v>1</v>
      </c>
      <c r="D306">
        <v>8096</v>
      </c>
      <c r="E306">
        <v>8160</v>
      </c>
      <c r="F306">
        <v>270.39999999999998</v>
      </c>
      <c r="G306">
        <v>256.73334</v>
      </c>
      <c r="H306">
        <v>1.0532329</v>
      </c>
      <c r="I306">
        <v>-5.3232886E-2</v>
      </c>
      <c r="J306">
        <v>0.48703685000000002</v>
      </c>
    </row>
    <row r="307" spans="1:10" x14ac:dyDescent="0.3">
      <c r="A307">
        <v>305</v>
      </c>
      <c r="B307">
        <v>4990</v>
      </c>
      <c r="C307" t="b">
        <v>1</v>
      </c>
      <c r="D307">
        <v>8144</v>
      </c>
      <c r="E307">
        <v>8176</v>
      </c>
      <c r="F307">
        <v>272</v>
      </c>
      <c r="G307">
        <v>256.73334</v>
      </c>
      <c r="H307">
        <v>1.0594650000000001</v>
      </c>
      <c r="I307">
        <v>-5.946506E-2</v>
      </c>
      <c r="J307">
        <v>0.48556297999999998</v>
      </c>
    </row>
    <row r="308" spans="1:10" x14ac:dyDescent="0.3">
      <c r="A308">
        <v>306</v>
      </c>
      <c r="B308">
        <v>5006</v>
      </c>
      <c r="C308" t="b">
        <v>1</v>
      </c>
      <c r="D308">
        <v>8168</v>
      </c>
      <c r="E308">
        <v>8176</v>
      </c>
      <c r="F308">
        <v>273.60000000000002</v>
      </c>
      <c r="G308">
        <v>256.73334</v>
      </c>
      <c r="H308">
        <v>1.0656972</v>
      </c>
      <c r="I308">
        <v>-6.5697229999999995E-2</v>
      </c>
      <c r="J308">
        <v>0.48409802000000002</v>
      </c>
    </row>
    <row r="309" spans="1:10" x14ac:dyDescent="0.3">
      <c r="A309">
        <v>307</v>
      </c>
      <c r="B309">
        <v>5022</v>
      </c>
      <c r="C309" t="b">
        <v>1</v>
      </c>
      <c r="D309">
        <v>8104</v>
      </c>
      <c r="E309">
        <v>8200</v>
      </c>
      <c r="F309">
        <v>275.2</v>
      </c>
      <c r="G309">
        <v>256.73334</v>
      </c>
      <c r="H309">
        <v>1.0719295</v>
      </c>
      <c r="I309">
        <v>-7.1929400000000004E-2</v>
      </c>
      <c r="J309">
        <v>0.48264193999999999</v>
      </c>
    </row>
    <row r="310" spans="1:10" x14ac:dyDescent="0.3">
      <c r="A310">
        <v>308</v>
      </c>
      <c r="B310">
        <v>5038</v>
      </c>
      <c r="C310" t="b">
        <v>1</v>
      </c>
      <c r="D310">
        <v>8104</v>
      </c>
      <c r="E310">
        <v>8184</v>
      </c>
      <c r="F310">
        <v>274.66665999999998</v>
      </c>
      <c r="G310">
        <v>256.73334</v>
      </c>
      <c r="H310">
        <v>1.0698519</v>
      </c>
      <c r="I310">
        <v>-6.9851930000000007E-2</v>
      </c>
      <c r="J310">
        <v>0.48312630000000001</v>
      </c>
    </row>
    <row r="311" spans="1:10" x14ac:dyDescent="0.3">
      <c r="A311">
        <v>309</v>
      </c>
      <c r="B311">
        <v>5053</v>
      </c>
      <c r="C311" t="b">
        <v>1</v>
      </c>
      <c r="D311">
        <v>8112</v>
      </c>
      <c r="E311">
        <v>8152</v>
      </c>
      <c r="F311">
        <v>274.66665999999998</v>
      </c>
      <c r="G311">
        <v>256.73334</v>
      </c>
      <c r="H311">
        <v>1.0698519</v>
      </c>
      <c r="I311">
        <v>-6.9851930000000007E-2</v>
      </c>
      <c r="J311">
        <v>0.48312630000000001</v>
      </c>
    </row>
    <row r="312" spans="1:10" x14ac:dyDescent="0.3">
      <c r="A312">
        <v>310</v>
      </c>
      <c r="B312">
        <v>5085</v>
      </c>
      <c r="C312" t="b">
        <v>1</v>
      </c>
      <c r="D312">
        <v>8128</v>
      </c>
      <c r="E312">
        <v>8136</v>
      </c>
      <c r="F312">
        <v>274.66665999999998</v>
      </c>
      <c r="G312">
        <v>256.73334</v>
      </c>
      <c r="H312">
        <v>1.0698519</v>
      </c>
      <c r="I312">
        <v>-6.9851930000000007E-2</v>
      </c>
      <c r="J312">
        <v>0.48312630000000001</v>
      </c>
    </row>
    <row r="313" spans="1:10" x14ac:dyDescent="0.3">
      <c r="A313">
        <v>311</v>
      </c>
      <c r="B313">
        <v>5117</v>
      </c>
      <c r="C313" t="b">
        <v>1</v>
      </c>
      <c r="D313">
        <v>8128</v>
      </c>
      <c r="E313">
        <v>8152</v>
      </c>
      <c r="F313">
        <v>274.66665999999998</v>
      </c>
      <c r="G313">
        <v>255.13333</v>
      </c>
      <c r="H313">
        <v>1.0765612</v>
      </c>
      <c r="I313">
        <v>-7.6561240000000003E-2</v>
      </c>
      <c r="J313">
        <v>0.48156539999999998</v>
      </c>
    </row>
    <row r="314" spans="1:10" x14ac:dyDescent="0.3">
      <c r="A314">
        <v>312</v>
      </c>
      <c r="B314">
        <v>5133</v>
      </c>
      <c r="C314" t="b">
        <v>1</v>
      </c>
      <c r="D314">
        <v>8152</v>
      </c>
      <c r="E314">
        <v>8160</v>
      </c>
      <c r="F314">
        <v>277.33334000000002</v>
      </c>
      <c r="G314">
        <v>253.53334000000001</v>
      </c>
      <c r="H314">
        <v>1.0938733</v>
      </c>
      <c r="I314">
        <v>-9.3873269999999995E-2</v>
      </c>
      <c r="J314">
        <v>0.4775838</v>
      </c>
    </row>
    <row r="315" spans="1:10" x14ac:dyDescent="0.3">
      <c r="A315">
        <v>313</v>
      </c>
      <c r="B315">
        <v>5149</v>
      </c>
      <c r="C315" t="b">
        <v>1</v>
      </c>
      <c r="D315">
        <v>8120</v>
      </c>
      <c r="E315">
        <v>8176</v>
      </c>
      <c r="F315">
        <v>280</v>
      </c>
      <c r="G315">
        <v>251.93333000000001</v>
      </c>
      <c r="H315">
        <v>1.1114051</v>
      </c>
      <c r="I315">
        <v>-0.11140513</v>
      </c>
      <c r="J315">
        <v>0.47361824000000002</v>
      </c>
    </row>
    <row r="316" spans="1:10" x14ac:dyDescent="0.3">
      <c r="A316">
        <v>314</v>
      </c>
      <c r="B316">
        <v>5165</v>
      </c>
      <c r="C316" t="b">
        <v>1</v>
      </c>
      <c r="D316">
        <v>8104</v>
      </c>
      <c r="E316">
        <v>8184</v>
      </c>
      <c r="F316">
        <v>282.66665999999998</v>
      </c>
      <c r="G316">
        <v>250.86667</v>
      </c>
      <c r="H316">
        <v>1.1267605000000001</v>
      </c>
      <c r="I316">
        <v>-0.12676050999999999</v>
      </c>
      <c r="J316">
        <v>0.47019870000000002</v>
      </c>
    </row>
    <row r="317" spans="1:10" x14ac:dyDescent="0.3">
      <c r="A317">
        <v>315</v>
      </c>
      <c r="B317">
        <v>5181</v>
      </c>
      <c r="C317" t="b">
        <v>1</v>
      </c>
      <c r="D317">
        <v>8112</v>
      </c>
      <c r="E317">
        <v>8176</v>
      </c>
      <c r="F317">
        <v>284.8</v>
      </c>
      <c r="G317">
        <v>251.93333000000001</v>
      </c>
      <c r="H317">
        <v>1.1304578000000001</v>
      </c>
      <c r="I317">
        <v>-0.13045773999999999</v>
      </c>
      <c r="J317">
        <v>0.46938267</v>
      </c>
    </row>
    <row r="318" spans="1:10" x14ac:dyDescent="0.3">
      <c r="A318">
        <v>316</v>
      </c>
      <c r="B318">
        <v>5197</v>
      </c>
      <c r="C318" t="b">
        <v>1</v>
      </c>
      <c r="D318">
        <v>8088</v>
      </c>
      <c r="E318">
        <v>8184</v>
      </c>
      <c r="F318">
        <v>284.26666</v>
      </c>
      <c r="G318">
        <v>253</v>
      </c>
      <c r="H318">
        <v>1.1235837</v>
      </c>
      <c r="I318">
        <v>-0.12358364500000001</v>
      </c>
      <c r="J318">
        <v>0.47090211999999998</v>
      </c>
    </row>
    <row r="319" spans="1:10" x14ac:dyDescent="0.3">
      <c r="A319">
        <v>317</v>
      </c>
      <c r="B319">
        <v>5212</v>
      </c>
      <c r="C319" t="b">
        <v>1</v>
      </c>
      <c r="D319">
        <v>8104</v>
      </c>
      <c r="E319">
        <v>8176</v>
      </c>
      <c r="F319">
        <v>282.66665999999998</v>
      </c>
      <c r="G319">
        <v>253</v>
      </c>
      <c r="H319">
        <v>1.1172595000000001</v>
      </c>
      <c r="I319">
        <v>-0.11725951</v>
      </c>
      <c r="J319">
        <v>0.47230870000000003</v>
      </c>
    </row>
    <row r="320" spans="1:10" x14ac:dyDescent="0.3">
      <c r="A320">
        <v>318</v>
      </c>
      <c r="B320">
        <v>5228</v>
      </c>
      <c r="C320" t="b">
        <v>1</v>
      </c>
      <c r="D320">
        <v>8080</v>
      </c>
      <c r="E320">
        <v>8176</v>
      </c>
      <c r="F320">
        <v>280.53332999999998</v>
      </c>
      <c r="G320">
        <v>254.06666999999999</v>
      </c>
      <c r="H320">
        <v>1.1041721</v>
      </c>
      <c r="I320">
        <v>-0.1041721</v>
      </c>
      <c r="J320">
        <v>0.47524630000000001</v>
      </c>
    </row>
    <row r="321" spans="1:10" x14ac:dyDescent="0.3">
      <c r="A321">
        <v>319</v>
      </c>
      <c r="B321">
        <v>5244</v>
      </c>
      <c r="C321" t="b">
        <v>1</v>
      </c>
      <c r="D321">
        <v>8096</v>
      </c>
      <c r="E321">
        <v>8160</v>
      </c>
      <c r="F321">
        <v>277.86667</v>
      </c>
      <c r="G321">
        <v>255.13333</v>
      </c>
      <c r="H321">
        <v>1.0891036999999999</v>
      </c>
      <c r="I321">
        <v>-8.9103749999999995E-2</v>
      </c>
      <c r="J321">
        <v>0.47867417000000001</v>
      </c>
    </row>
    <row r="322" spans="1:10" x14ac:dyDescent="0.3">
      <c r="A322">
        <v>320</v>
      </c>
      <c r="B322">
        <v>5260</v>
      </c>
      <c r="C322" t="b">
        <v>1</v>
      </c>
      <c r="D322">
        <v>8136</v>
      </c>
      <c r="E322">
        <v>8200</v>
      </c>
      <c r="F322">
        <v>275.2</v>
      </c>
      <c r="G322">
        <v>255.13333</v>
      </c>
      <c r="H322">
        <v>1.0786518</v>
      </c>
      <c r="I322">
        <v>-7.8651739999999998E-2</v>
      </c>
      <c r="J322">
        <v>0.48108104000000002</v>
      </c>
    </row>
    <row r="323" spans="1:10" x14ac:dyDescent="0.3">
      <c r="A323">
        <v>321</v>
      </c>
      <c r="B323">
        <v>5276</v>
      </c>
      <c r="C323" t="b">
        <v>1</v>
      </c>
      <c r="D323">
        <v>8168</v>
      </c>
      <c r="E323">
        <v>8192</v>
      </c>
      <c r="F323">
        <v>273.06668000000002</v>
      </c>
      <c r="G323">
        <v>255.13333</v>
      </c>
      <c r="H323">
        <v>1.0702901</v>
      </c>
      <c r="I323">
        <v>-7.0290110000000003E-2</v>
      </c>
      <c r="J323">
        <v>0.48302410000000001</v>
      </c>
    </row>
    <row r="324" spans="1:10" x14ac:dyDescent="0.3">
      <c r="A324">
        <v>322</v>
      </c>
      <c r="B324">
        <v>5292</v>
      </c>
      <c r="C324" t="b">
        <v>1</v>
      </c>
      <c r="D324">
        <v>8096</v>
      </c>
      <c r="E324">
        <v>8176</v>
      </c>
      <c r="F324">
        <v>270.39999999999998</v>
      </c>
      <c r="G324">
        <v>255.13333</v>
      </c>
      <c r="H324">
        <v>1.0598379</v>
      </c>
      <c r="I324">
        <v>-5.9837979999999999E-2</v>
      </c>
      <c r="J324">
        <v>0.48547506000000001</v>
      </c>
    </row>
    <row r="325" spans="1:10" x14ac:dyDescent="0.3">
      <c r="A325">
        <v>323</v>
      </c>
      <c r="B325">
        <v>5308</v>
      </c>
      <c r="C325" t="b">
        <v>1</v>
      </c>
      <c r="D325">
        <v>8064</v>
      </c>
      <c r="E325">
        <v>8168</v>
      </c>
      <c r="F325">
        <v>269.86667</v>
      </c>
      <c r="G325">
        <v>255.13333</v>
      </c>
      <c r="H325">
        <v>1.0577475999999999</v>
      </c>
      <c r="I325">
        <v>-5.7747600000000003E-2</v>
      </c>
      <c r="J325">
        <v>0.48596825999999999</v>
      </c>
    </row>
    <row r="326" spans="1:10" x14ac:dyDescent="0.3">
      <c r="A326">
        <v>324</v>
      </c>
      <c r="B326">
        <v>5323</v>
      </c>
      <c r="C326" t="b">
        <v>1</v>
      </c>
      <c r="D326">
        <v>8064</v>
      </c>
      <c r="E326">
        <v>8168</v>
      </c>
      <c r="F326">
        <v>268.8</v>
      </c>
      <c r="G326">
        <v>255.13333</v>
      </c>
      <c r="H326">
        <v>1.0535667</v>
      </c>
      <c r="I326">
        <v>-5.3566724000000003E-2</v>
      </c>
      <c r="J326">
        <v>0.48695759999999999</v>
      </c>
    </row>
    <row r="327" spans="1:10" x14ac:dyDescent="0.3">
      <c r="A327">
        <v>325</v>
      </c>
      <c r="B327">
        <v>5339</v>
      </c>
      <c r="C327" t="b">
        <v>1</v>
      </c>
      <c r="D327">
        <v>8120</v>
      </c>
      <c r="E327">
        <v>8144</v>
      </c>
      <c r="F327">
        <v>267.73334</v>
      </c>
      <c r="G327">
        <v>254.6</v>
      </c>
      <c r="H327">
        <v>1.0515840999999999</v>
      </c>
      <c r="I327">
        <v>-5.1584177000000002E-2</v>
      </c>
      <c r="J327">
        <v>0.48742819999999998</v>
      </c>
    </row>
    <row r="328" spans="1:10" x14ac:dyDescent="0.3">
      <c r="A328">
        <v>326</v>
      </c>
      <c r="B328">
        <v>5355</v>
      </c>
      <c r="C328" t="b">
        <v>1</v>
      </c>
      <c r="D328">
        <v>8160</v>
      </c>
      <c r="E328">
        <v>8200</v>
      </c>
      <c r="F328">
        <v>266.66665999999998</v>
      </c>
      <c r="G328">
        <v>255.66667000000001</v>
      </c>
      <c r="H328">
        <v>1.0430246999999999</v>
      </c>
      <c r="I328">
        <v>-4.3024710000000001E-2</v>
      </c>
      <c r="J328">
        <v>0.48947035999999999</v>
      </c>
    </row>
    <row r="329" spans="1:10" x14ac:dyDescent="0.3">
      <c r="A329">
        <v>327</v>
      </c>
      <c r="B329">
        <v>5371</v>
      </c>
      <c r="C329" t="b">
        <v>1</v>
      </c>
      <c r="D329">
        <v>8088</v>
      </c>
      <c r="E329">
        <v>8152</v>
      </c>
      <c r="F329">
        <v>264</v>
      </c>
      <c r="G329">
        <v>256.73334</v>
      </c>
      <c r="H329">
        <v>1.0283043000000001</v>
      </c>
      <c r="I329">
        <v>-2.8304320000000001E-2</v>
      </c>
      <c r="J329">
        <v>0.49302265000000001</v>
      </c>
    </row>
    <row r="330" spans="1:10" x14ac:dyDescent="0.3">
      <c r="A330">
        <v>328</v>
      </c>
      <c r="B330">
        <v>5387</v>
      </c>
      <c r="C330" t="b">
        <v>1</v>
      </c>
      <c r="D330">
        <v>8144</v>
      </c>
      <c r="E330">
        <v>8152</v>
      </c>
      <c r="F330">
        <v>263.46667000000002</v>
      </c>
      <c r="G330">
        <v>256.73334</v>
      </c>
      <c r="H330">
        <v>1.026227</v>
      </c>
      <c r="I330">
        <v>-2.6226969999999999E-2</v>
      </c>
      <c r="J330">
        <v>0.49352813000000001</v>
      </c>
    </row>
    <row r="331" spans="1:10" x14ac:dyDescent="0.3">
      <c r="A331">
        <v>329</v>
      </c>
      <c r="B331">
        <v>5403</v>
      </c>
      <c r="C331" t="b">
        <v>1</v>
      </c>
      <c r="D331">
        <v>8128</v>
      </c>
      <c r="E331">
        <v>8168</v>
      </c>
      <c r="F331">
        <v>263.46667000000002</v>
      </c>
      <c r="G331">
        <v>256.2</v>
      </c>
      <c r="H331">
        <v>1.0283632</v>
      </c>
      <c r="I331">
        <v>-2.8363240000000001E-2</v>
      </c>
      <c r="J331">
        <v>0.49300834999999998</v>
      </c>
    </row>
    <row r="332" spans="1:10" x14ac:dyDescent="0.3">
      <c r="A332">
        <v>330</v>
      </c>
      <c r="B332">
        <v>5419</v>
      </c>
      <c r="C332" t="b">
        <v>1</v>
      </c>
      <c r="D332">
        <v>8128</v>
      </c>
      <c r="E332">
        <v>8104</v>
      </c>
      <c r="F332">
        <v>264</v>
      </c>
      <c r="G332">
        <v>254.6</v>
      </c>
      <c r="H332">
        <v>1.0369207</v>
      </c>
      <c r="I332">
        <v>-3.6920633000000001E-2</v>
      </c>
      <c r="J332">
        <v>0.49093716999999998</v>
      </c>
    </row>
    <row r="333" spans="1:10" x14ac:dyDescent="0.3">
      <c r="A333">
        <v>331</v>
      </c>
      <c r="B333">
        <v>5435</v>
      </c>
      <c r="C333" t="b">
        <v>1</v>
      </c>
      <c r="D333">
        <v>8128</v>
      </c>
      <c r="E333">
        <v>8192</v>
      </c>
      <c r="F333">
        <v>265.06668000000002</v>
      </c>
      <c r="G333">
        <v>253</v>
      </c>
      <c r="H333">
        <v>1.0476943999999999</v>
      </c>
      <c r="I333">
        <v>-4.7694393000000002E-2</v>
      </c>
      <c r="J333">
        <v>0.48835414999999999</v>
      </c>
    </row>
    <row r="334" spans="1:10" x14ac:dyDescent="0.3">
      <c r="A334">
        <v>332</v>
      </c>
      <c r="B334">
        <v>5451</v>
      </c>
      <c r="C334" t="b">
        <v>1</v>
      </c>
      <c r="D334">
        <v>8088</v>
      </c>
      <c r="E334">
        <v>8160</v>
      </c>
      <c r="F334">
        <v>266.66665999999998</v>
      </c>
      <c r="G334">
        <v>251.93333000000001</v>
      </c>
      <c r="H334">
        <v>1.058481</v>
      </c>
      <c r="I334">
        <v>-5.8481034000000001E-2</v>
      </c>
      <c r="J334">
        <v>0.48579509999999998</v>
      </c>
    </row>
    <row r="335" spans="1:10" x14ac:dyDescent="0.3">
      <c r="A335">
        <v>333</v>
      </c>
      <c r="B335">
        <v>5467</v>
      </c>
      <c r="C335" t="b">
        <v>1</v>
      </c>
      <c r="D335">
        <v>8096</v>
      </c>
      <c r="E335">
        <v>8120</v>
      </c>
      <c r="F335">
        <v>268.26666</v>
      </c>
      <c r="G335">
        <v>250.86667</v>
      </c>
      <c r="H335">
        <v>1.0693595</v>
      </c>
      <c r="I335">
        <v>-6.9359526000000005E-2</v>
      </c>
      <c r="J335">
        <v>0.48324131999999997</v>
      </c>
    </row>
    <row r="336" spans="1:10" x14ac:dyDescent="0.3">
      <c r="A336">
        <v>334</v>
      </c>
      <c r="B336">
        <v>5498</v>
      </c>
      <c r="C336" t="b">
        <v>1</v>
      </c>
      <c r="D336">
        <v>8120</v>
      </c>
      <c r="E336">
        <v>8152</v>
      </c>
      <c r="F336">
        <v>269.86667</v>
      </c>
      <c r="G336">
        <v>249.26666</v>
      </c>
      <c r="H336">
        <v>1.0826423999999999</v>
      </c>
      <c r="I336">
        <v>-8.2642439999999998E-2</v>
      </c>
      <c r="J336">
        <v>0.48015924999999998</v>
      </c>
    </row>
    <row r="337" spans="1:10" x14ac:dyDescent="0.3">
      <c r="A337">
        <v>335</v>
      </c>
      <c r="B337">
        <v>5514</v>
      </c>
      <c r="C337" t="b">
        <v>1</v>
      </c>
      <c r="D337">
        <v>8144</v>
      </c>
      <c r="E337">
        <v>8144</v>
      </c>
      <c r="F337">
        <v>271.46667000000002</v>
      </c>
      <c r="G337">
        <v>247.66667000000001</v>
      </c>
      <c r="H337">
        <v>1.0960969</v>
      </c>
      <c r="I337">
        <v>-9.6096920000000002E-2</v>
      </c>
      <c r="J337">
        <v>0.47707716</v>
      </c>
    </row>
    <row r="338" spans="1:10" x14ac:dyDescent="0.3">
      <c r="A338">
        <v>336</v>
      </c>
      <c r="B338">
        <v>5530</v>
      </c>
      <c r="C338" t="b">
        <v>1</v>
      </c>
      <c r="D338">
        <v>8128</v>
      </c>
      <c r="E338">
        <v>8168</v>
      </c>
      <c r="F338">
        <v>272.53332999999998</v>
      </c>
      <c r="G338">
        <v>246.06666999999999</v>
      </c>
      <c r="H338">
        <v>1.1075588000000001</v>
      </c>
      <c r="I338">
        <v>-0.1075589</v>
      </c>
      <c r="J338">
        <v>0.47448259999999998</v>
      </c>
    </row>
    <row r="339" spans="1:10" x14ac:dyDescent="0.3">
      <c r="A339">
        <v>337</v>
      </c>
      <c r="B339">
        <v>5546</v>
      </c>
      <c r="C339" t="b">
        <v>1</v>
      </c>
      <c r="D339">
        <v>8064</v>
      </c>
      <c r="E339">
        <v>8200</v>
      </c>
      <c r="F339">
        <v>274.13333</v>
      </c>
      <c r="G339">
        <v>244.46665999999999</v>
      </c>
      <c r="H339">
        <v>1.1213527000000001</v>
      </c>
      <c r="I339">
        <v>-0.12135263</v>
      </c>
      <c r="J339">
        <v>0.47139736999999998</v>
      </c>
    </row>
    <row r="340" spans="1:10" x14ac:dyDescent="0.3">
      <c r="A340">
        <v>338</v>
      </c>
      <c r="B340">
        <v>5562</v>
      </c>
      <c r="C340" t="b">
        <v>1</v>
      </c>
      <c r="D340">
        <v>8080</v>
      </c>
      <c r="E340">
        <v>8184</v>
      </c>
      <c r="F340">
        <v>275.73334</v>
      </c>
      <c r="G340">
        <v>243.93333000000001</v>
      </c>
      <c r="H340">
        <v>1.1303635000000001</v>
      </c>
      <c r="I340">
        <v>-0.13036349999999999</v>
      </c>
      <c r="J340">
        <v>0.46940345</v>
      </c>
    </row>
    <row r="341" spans="1:10" x14ac:dyDescent="0.3">
      <c r="A341">
        <v>339</v>
      </c>
      <c r="B341">
        <v>5578</v>
      </c>
      <c r="C341" t="b">
        <v>1</v>
      </c>
      <c r="D341">
        <v>8176</v>
      </c>
      <c r="E341">
        <v>8208</v>
      </c>
      <c r="F341">
        <v>277.86667</v>
      </c>
      <c r="G341">
        <v>244.46665999999999</v>
      </c>
      <c r="H341">
        <v>1.1366240000000001</v>
      </c>
      <c r="I341">
        <v>-0.13662398000000001</v>
      </c>
      <c r="J341">
        <v>0.4680281</v>
      </c>
    </row>
    <row r="342" spans="1:10" x14ac:dyDescent="0.3">
      <c r="A342">
        <v>340</v>
      </c>
      <c r="B342">
        <v>5593</v>
      </c>
      <c r="C342" t="b">
        <v>1</v>
      </c>
      <c r="D342">
        <v>8136</v>
      </c>
      <c r="E342">
        <v>8192</v>
      </c>
      <c r="F342">
        <v>280</v>
      </c>
      <c r="G342">
        <v>246.06666999999999</v>
      </c>
      <c r="H342">
        <v>1.1379030000000001</v>
      </c>
      <c r="I342">
        <v>-0.137903</v>
      </c>
      <c r="J342">
        <v>0.46774808000000001</v>
      </c>
    </row>
    <row r="343" spans="1:10" x14ac:dyDescent="0.3">
      <c r="A343">
        <v>341</v>
      </c>
      <c r="B343">
        <v>5609</v>
      </c>
      <c r="C343" t="b">
        <v>1</v>
      </c>
      <c r="D343">
        <v>8104</v>
      </c>
      <c r="E343">
        <v>8152</v>
      </c>
      <c r="F343">
        <v>280.53332999999998</v>
      </c>
      <c r="G343">
        <v>247.66667000000001</v>
      </c>
      <c r="H343">
        <v>1.1327052</v>
      </c>
      <c r="I343">
        <v>-0.1327052</v>
      </c>
      <c r="J343">
        <v>0.46888804000000001</v>
      </c>
    </row>
    <row r="344" spans="1:10" x14ac:dyDescent="0.3">
      <c r="A344">
        <v>342</v>
      </c>
      <c r="B344">
        <v>5625</v>
      </c>
      <c r="C344" t="b">
        <v>1</v>
      </c>
      <c r="D344">
        <v>8128</v>
      </c>
      <c r="E344">
        <v>8176</v>
      </c>
      <c r="F344">
        <v>283.2</v>
      </c>
      <c r="G344">
        <v>248.73334</v>
      </c>
      <c r="H344">
        <v>1.1385688</v>
      </c>
      <c r="I344">
        <v>-0.13856877000000001</v>
      </c>
      <c r="J344">
        <v>0.46760246</v>
      </c>
    </row>
    <row r="345" spans="1:10" x14ac:dyDescent="0.3">
      <c r="A345">
        <v>343</v>
      </c>
      <c r="B345">
        <v>5641</v>
      </c>
      <c r="C345" t="b">
        <v>1</v>
      </c>
      <c r="D345">
        <v>8136</v>
      </c>
      <c r="E345">
        <v>8152</v>
      </c>
      <c r="F345">
        <v>284.26666</v>
      </c>
      <c r="G345">
        <v>250.33332999999999</v>
      </c>
      <c r="H345">
        <v>1.1355526</v>
      </c>
      <c r="I345">
        <v>-0.1355526</v>
      </c>
      <c r="J345">
        <v>0.46826287999999999</v>
      </c>
    </row>
    <row r="346" spans="1:10" x14ac:dyDescent="0.3">
      <c r="A346">
        <v>344</v>
      </c>
      <c r="B346">
        <v>5657</v>
      </c>
      <c r="C346" t="b">
        <v>1</v>
      </c>
      <c r="D346">
        <v>8104</v>
      </c>
      <c r="E346">
        <v>8136</v>
      </c>
      <c r="F346">
        <v>284.26666</v>
      </c>
      <c r="G346">
        <v>250.33332999999999</v>
      </c>
      <c r="H346">
        <v>1.1355526</v>
      </c>
      <c r="I346">
        <v>-0.1355526</v>
      </c>
      <c r="J346">
        <v>0.46826287999999999</v>
      </c>
    </row>
    <row r="347" spans="1:10" x14ac:dyDescent="0.3">
      <c r="A347">
        <v>345</v>
      </c>
      <c r="B347">
        <v>5672</v>
      </c>
      <c r="C347" t="b">
        <v>1</v>
      </c>
      <c r="D347">
        <v>8104</v>
      </c>
      <c r="E347">
        <v>8128</v>
      </c>
      <c r="F347">
        <v>282.66665999999998</v>
      </c>
      <c r="G347">
        <v>250.33332999999999</v>
      </c>
      <c r="H347">
        <v>1.1291610999999999</v>
      </c>
      <c r="I347">
        <v>-0.1291611</v>
      </c>
      <c r="J347">
        <v>0.46966854000000002</v>
      </c>
    </row>
    <row r="348" spans="1:10" x14ac:dyDescent="0.3">
      <c r="A348">
        <v>346</v>
      </c>
      <c r="B348">
        <v>5688</v>
      </c>
      <c r="C348" t="b">
        <v>1</v>
      </c>
      <c r="D348">
        <v>8112</v>
      </c>
      <c r="E348">
        <v>8168</v>
      </c>
      <c r="F348">
        <v>281.60000000000002</v>
      </c>
      <c r="G348">
        <v>250.33332999999999</v>
      </c>
      <c r="H348">
        <v>1.1249001999999999</v>
      </c>
      <c r="I348">
        <v>-0.12490018</v>
      </c>
      <c r="J348">
        <v>0.47061032000000003</v>
      </c>
    </row>
    <row r="349" spans="1:10" x14ac:dyDescent="0.3">
      <c r="A349">
        <v>347</v>
      </c>
      <c r="B349">
        <v>5704</v>
      </c>
      <c r="C349" t="b">
        <v>1</v>
      </c>
      <c r="D349">
        <v>8104</v>
      </c>
      <c r="E349">
        <v>8144</v>
      </c>
      <c r="F349">
        <v>280</v>
      </c>
      <c r="G349">
        <v>249.26666</v>
      </c>
      <c r="H349">
        <v>1.1232951</v>
      </c>
      <c r="I349">
        <v>-0.12329502000000001</v>
      </c>
      <c r="J349">
        <v>0.4709661</v>
      </c>
    </row>
    <row r="350" spans="1:10" x14ac:dyDescent="0.3">
      <c r="A350">
        <v>348</v>
      </c>
      <c r="B350">
        <v>5720</v>
      </c>
      <c r="C350" t="b">
        <v>1</v>
      </c>
      <c r="D350">
        <v>8136</v>
      </c>
      <c r="E350">
        <v>8152</v>
      </c>
      <c r="F350">
        <v>278.39999999999998</v>
      </c>
      <c r="G350">
        <v>248.2</v>
      </c>
      <c r="H350">
        <v>1.1216761</v>
      </c>
      <c r="I350">
        <v>-0.12167606</v>
      </c>
      <c r="J350">
        <v>0.47132550000000001</v>
      </c>
    </row>
    <row r="351" spans="1:10" x14ac:dyDescent="0.3">
      <c r="A351">
        <v>349</v>
      </c>
      <c r="B351">
        <v>5736</v>
      </c>
      <c r="C351" t="b">
        <v>1</v>
      </c>
      <c r="D351">
        <v>8104</v>
      </c>
      <c r="E351">
        <v>8128</v>
      </c>
      <c r="F351">
        <v>277.33334000000002</v>
      </c>
      <c r="G351">
        <v>247.66667000000001</v>
      </c>
      <c r="H351">
        <v>1.1197847000000001</v>
      </c>
      <c r="I351">
        <v>-0.11978467600000001</v>
      </c>
      <c r="J351">
        <v>0.47174602999999998</v>
      </c>
    </row>
    <row r="352" spans="1:10" x14ac:dyDescent="0.3">
      <c r="A352">
        <v>350</v>
      </c>
      <c r="B352">
        <v>5767</v>
      </c>
      <c r="C352" t="b">
        <v>1</v>
      </c>
      <c r="D352">
        <v>8136</v>
      </c>
      <c r="E352">
        <v>8152</v>
      </c>
      <c r="F352">
        <v>276.8</v>
      </c>
      <c r="G352">
        <v>247.66667000000001</v>
      </c>
      <c r="H352">
        <v>1.1176311999999999</v>
      </c>
      <c r="I352">
        <v>-0.11763115</v>
      </c>
      <c r="J352">
        <v>0.47222575999999999</v>
      </c>
    </row>
    <row r="353" spans="1:10" x14ac:dyDescent="0.3">
      <c r="A353">
        <v>351</v>
      </c>
      <c r="B353">
        <v>5783</v>
      </c>
      <c r="C353" t="b">
        <v>1</v>
      </c>
      <c r="D353">
        <v>8064</v>
      </c>
      <c r="E353">
        <v>8112</v>
      </c>
      <c r="F353">
        <v>275.73334</v>
      </c>
      <c r="G353">
        <v>247.13333</v>
      </c>
      <c r="H353">
        <v>1.1157271</v>
      </c>
      <c r="I353">
        <v>-0.11572702999999999</v>
      </c>
      <c r="J353">
        <v>0.47265074000000001</v>
      </c>
    </row>
    <row r="354" spans="1:10" x14ac:dyDescent="0.3">
      <c r="A354">
        <v>352</v>
      </c>
      <c r="B354">
        <v>5799</v>
      </c>
      <c r="C354" t="b">
        <v>1</v>
      </c>
      <c r="D354">
        <v>8104</v>
      </c>
      <c r="E354">
        <v>8144</v>
      </c>
      <c r="F354">
        <v>274.66665999999998</v>
      </c>
      <c r="G354">
        <v>246.6</v>
      </c>
      <c r="H354">
        <v>1.1138144999999999</v>
      </c>
      <c r="I354">
        <v>-0.11381447</v>
      </c>
      <c r="J354">
        <v>0.47307840000000001</v>
      </c>
    </row>
    <row r="355" spans="1:10" x14ac:dyDescent="0.3">
      <c r="A355">
        <v>353</v>
      </c>
      <c r="B355">
        <v>5815</v>
      </c>
      <c r="C355" t="b">
        <v>1</v>
      </c>
      <c r="D355">
        <v>8088</v>
      </c>
      <c r="E355">
        <v>8176</v>
      </c>
      <c r="F355">
        <v>273.60000000000002</v>
      </c>
      <c r="G355">
        <v>245</v>
      </c>
      <c r="H355">
        <v>1.1167347000000001</v>
      </c>
      <c r="I355">
        <v>-0.11673472</v>
      </c>
      <c r="J355">
        <v>0.47242580000000001</v>
      </c>
    </row>
    <row r="356" spans="1:10" x14ac:dyDescent="0.3">
      <c r="A356">
        <v>354</v>
      </c>
      <c r="B356">
        <v>5831</v>
      </c>
      <c r="C356" t="b">
        <v>1</v>
      </c>
      <c r="D356">
        <v>8120</v>
      </c>
      <c r="E356">
        <v>8144</v>
      </c>
      <c r="F356">
        <v>272</v>
      </c>
      <c r="G356">
        <v>242.33332999999999</v>
      </c>
      <c r="H356">
        <v>1.1224209000000001</v>
      </c>
      <c r="I356">
        <v>-0.12242093</v>
      </c>
      <c r="J356">
        <v>0.47116007999999998</v>
      </c>
    </row>
    <row r="357" spans="1:10" x14ac:dyDescent="0.3">
      <c r="A357">
        <v>355</v>
      </c>
      <c r="B357">
        <v>5847</v>
      </c>
      <c r="C357" t="b">
        <v>1</v>
      </c>
      <c r="D357">
        <v>8192</v>
      </c>
      <c r="E357">
        <v>8176</v>
      </c>
      <c r="F357">
        <v>270.39999999999998</v>
      </c>
      <c r="G357">
        <v>239.13333</v>
      </c>
      <c r="H357">
        <v>1.1307499999999999</v>
      </c>
      <c r="I357">
        <v>-0.13074991</v>
      </c>
      <c r="J357">
        <v>0.46931833000000001</v>
      </c>
    </row>
    <row r="358" spans="1:10" x14ac:dyDescent="0.3">
      <c r="A358">
        <v>356</v>
      </c>
      <c r="B358">
        <v>5863</v>
      </c>
      <c r="C358" t="b">
        <v>1</v>
      </c>
      <c r="D358">
        <v>8112</v>
      </c>
      <c r="E358">
        <v>8184</v>
      </c>
      <c r="F358">
        <v>270.93331999999998</v>
      </c>
      <c r="G358">
        <v>238.06666999999999</v>
      </c>
      <c r="H358">
        <v>1.1380565</v>
      </c>
      <c r="I358">
        <v>-0.13805651999999999</v>
      </c>
      <c r="J358">
        <v>0.46771446</v>
      </c>
    </row>
    <row r="359" spans="1:10" x14ac:dyDescent="0.3">
      <c r="A359">
        <v>357</v>
      </c>
      <c r="B359">
        <v>5879</v>
      </c>
      <c r="C359" t="b">
        <v>1</v>
      </c>
      <c r="D359">
        <v>8096</v>
      </c>
      <c r="E359">
        <v>8176</v>
      </c>
      <c r="F359">
        <v>269.86667</v>
      </c>
      <c r="G359">
        <v>237.53334000000001</v>
      </c>
      <c r="H359">
        <v>1.1361212999999999</v>
      </c>
      <c r="I359">
        <v>-0.13612120999999999</v>
      </c>
      <c r="J359">
        <v>0.46813821999999999</v>
      </c>
    </row>
    <row r="360" spans="1:10" x14ac:dyDescent="0.3">
      <c r="A360">
        <v>358</v>
      </c>
      <c r="B360">
        <v>5894</v>
      </c>
      <c r="C360" t="b">
        <v>1</v>
      </c>
      <c r="D360">
        <v>8096</v>
      </c>
      <c r="E360">
        <v>8176</v>
      </c>
      <c r="F360">
        <v>268.26666</v>
      </c>
      <c r="G360">
        <v>237.53334000000001</v>
      </c>
      <c r="H360">
        <v>1.1293854000000001</v>
      </c>
      <c r="I360">
        <v>-0.12938528999999999</v>
      </c>
      <c r="J360">
        <v>0.46961913</v>
      </c>
    </row>
    <row r="361" spans="1:10" x14ac:dyDescent="0.3">
      <c r="A361">
        <v>359</v>
      </c>
      <c r="B361">
        <v>5910</v>
      </c>
      <c r="C361" t="b">
        <v>1</v>
      </c>
      <c r="D361">
        <v>8144</v>
      </c>
      <c r="E361">
        <v>8152</v>
      </c>
      <c r="F361">
        <v>267.2</v>
      </c>
      <c r="G361">
        <v>239.13333</v>
      </c>
      <c r="H361">
        <v>1.1173683000000001</v>
      </c>
      <c r="I361">
        <v>-0.11736833000000001</v>
      </c>
      <c r="J361">
        <v>0.47228438</v>
      </c>
    </row>
    <row r="362" spans="1:10" x14ac:dyDescent="0.3">
      <c r="A362">
        <v>360</v>
      </c>
      <c r="B362">
        <v>5926</v>
      </c>
      <c r="C362" t="b">
        <v>1</v>
      </c>
      <c r="D362">
        <v>8128</v>
      </c>
      <c r="E362">
        <v>8144</v>
      </c>
      <c r="F362">
        <v>267.73334</v>
      </c>
      <c r="G362">
        <v>240.73334</v>
      </c>
      <c r="H362">
        <v>1.1121573</v>
      </c>
      <c r="I362">
        <v>-0.11215729000000001</v>
      </c>
      <c r="J362">
        <v>0.47344960000000003</v>
      </c>
    </row>
    <row r="363" spans="1:10" x14ac:dyDescent="0.3">
      <c r="A363">
        <v>361</v>
      </c>
      <c r="B363">
        <v>5942</v>
      </c>
      <c r="C363" t="b">
        <v>1</v>
      </c>
      <c r="D363">
        <v>8168</v>
      </c>
      <c r="E363">
        <v>8192</v>
      </c>
      <c r="F363">
        <v>268.8</v>
      </c>
      <c r="G363">
        <v>242.33332999999999</v>
      </c>
      <c r="H363">
        <v>1.109216</v>
      </c>
      <c r="I363">
        <v>-0.10921593</v>
      </c>
      <c r="J363">
        <v>0.47410983000000001</v>
      </c>
    </row>
    <row r="364" spans="1:10" x14ac:dyDescent="0.3">
      <c r="A364">
        <v>362</v>
      </c>
      <c r="B364">
        <v>5958</v>
      </c>
      <c r="C364" t="b">
        <v>1</v>
      </c>
      <c r="D364">
        <v>8152</v>
      </c>
      <c r="E364">
        <v>8176</v>
      </c>
      <c r="F364">
        <v>271.46667000000002</v>
      </c>
      <c r="G364">
        <v>244.46665999999999</v>
      </c>
      <c r="H364">
        <v>1.1104445000000001</v>
      </c>
      <c r="I364">
        <v>-0.11044457000000001</v>
      </c>
      <c r="J364">
        <v>0.47383380000000003</v>
      </c>
    </row>
    <row r="365" spans="1:10" x14ac:dyDescent="0.3">
      <c r="A365">
        <v>363</v>
      </c>
      <c r="B365">
        <v>5974</v>
      </c>
      <c r="C365" t="b">
        <v>1</v>
      </c>
      <c r="D365">
        <v>8120</v>
      </c>
      <c r="E365">
        <v>8144</v>
      </c>
      <c r="F365">
        <v>274.13333</v>
      </c>
      <c r="G365">
        <v>245</v>
      </c>
      <c r="H365">
        <v>1.1189115000000001</v>
      </c>
      <c r="I365">
        <v>-0.11891156</v>
      </c>
      <c r="J365">
        <v>0.47194046000000001</v>
      </c>
    </row>
    <row r="366" spans="1:10" x14ac:dyDescent="0.3">
      <c r="A366">
        <v>364</v>
      </c>
      <c r="B366">
        <v>5990</v>
      </c>
      <c r="C366" t="b">
        <v>1</v>
      </c>
      <c r="D366">
        <v>8096</v>
      </c>
      <c r="E366">
        <v>8136</v>
      </c>
      <c r="F366">
        <v>275.73334</v>
      </c>
      <c r="G366">
        <v>245</v>
      </c>
      <c r="H366">
        <v>1.1254420999999999</v>
      </c>
      <c r="I366">
        <v>-0.12544219000000001</v>
      </c>
      <c r="J366">
        <v>0.47049034000000001</v>
      </c>
    </row>
    <row r="367" spans="1:10" x14ac:dyDescent="0.3">
      <c r="A367">
        <v>365</v>
      </c>
      <c r="B367">
        <v>6005</v>
      </c>
      <c r="C367" t="b">
        <v>1</v>
      </c>
      <c r="D367">
        <v>8088</v>
      </c>
      <c r="E367">
        <v>8152</v>
      </c>
      <c r="F367">
        <v>276.26666</v>
      </c>
      <c r="G367">
        <v>245</v>
      </c>
      <c r="H367">
        <v>1.1276189999999999</v>
      </c>
      <c r="I367">
        <v>-0.12761902999999999</v>
      </c>
      <c r="J367">
        <v>0.47000897000000003</v>
      </c>
    </row>
    <row r="368" spans="1:10" x14ac:dyDescent="0.3">
      <c r="A368">
        <v>366</v>
      </c>
      <c r="B368">
        <v>6021</v>
      </c>
      <c r="C368" t="b">
        <v>1</v>
      </c>
      <c r="D368">
        <v>8104</v>
      </c>
      <c r="E368">
        <v>8176</v>
      </c>
      <c r="F368">
        <v>276.26666</v>
      </c>
      <c r="G368">
        <v>245.53334000000001</v>
      </c>
      <c r="H368">
        <v>1.1251696</v>
      </c>
      <c r="I368">
        <v>-0.12516964999999999</v>
      </c>
      <c r="J368">
        <v>0.47055069999999999</v>
      </c>
    </row>
    <row r="369" spans="1:10" x14ac:dyDescent="0.3">
      <c r="A369">
        <v>367</v>
      </c>
      <c r="B369">
        <v>6037</v>
      </c>
      <c r="C369" t="b">
        <v>1</v>
      </c>
      <c r="D369">
        <v>8120</v>
      </c>
      <c r="E369">
        <v>8144</v>
      </c>
      <c r="F369">
        <v>276.26666</v>
      </c>
      <c r="G369">
        <v>245.53334000000001</v>
      </c>
      <c r="H369">
        <v>1.1251696</v>
      </c>
      <c r="I369">
        <v>-0.12516964999999999</v>
      </c>
      <c r="J369">
        <v>0.47055069999999999</v>
      </c>
    </row>
    <row r="370" spans="1:10" x14ac:dyDescent="0.3">
      <c r="A370">
        <v>368</v>
      </c>
      <c r="B370">
        <v>6053</v>
      </c>
      <c r="C370" t="b">
        <v>1</v>
      </c>
      <c r="D370">
        <v>8104</v>
      </c>
      <c r="E370">
        <v>8152</v>
      </c>
      <c r="F370">
        <v>276.26666</v>
      </c>
      <c r="G370">
        <v>246.06666999999999</v>
      </c>
      <c r="H370">
        <v>1.1227309999999999</v>
      </c>
      <c r="I370">
        <v>-0.122730955</v>
      </c>
      <c r="J370">
        <v>0.47109127000000001</v>
      </c>
    </row>
    <row r="371" spans="1:10" x14ac:dyDescent="0.3">
      <c r="A371">
        <v>369</v>
      </c>
      <c r="B371">
        <v>6085</v>
      </c>
      <c r="C371" t="b">
        <v>1</v>
      </c>
      <c r="D371">
        <v>8128</v>
      </c>
      <c r="E371">
        <v>8152</v>
      </c>
      <c r="F371">
        <v>276.26666</v>
      </c>
      <c r="G371">
        <v>246.6</v>
      </c>
      <c r="H371">
        <v>1.1203027999999999</v>
      </c>
      <c r="I371">
        <v>-0.12030274000000001</v>
      </c>
      <c r="J371">
        <v>0.47163072</v>
      </c>
    </row>
    <row r="372" spans="1:10" x14ac:dyDescent="0.3">
      <c r="A372">
        <v>370</v>
      </c>
      <c r="B372">
        <v>6101</v>
      </c>
      <c r="C372" t="b">
        <v>1</v>
      </c>
      <c r="D372">
        <v>8104</v>
      </c>
      <c r="E372">
        <v>8176</v>
      </c>
      <c r="F372">
        <v>276.26666</v>
      </c>
      <c r="G372">
        <v>247.13333</v>
      </c>
      <c r="H372">
        <v>1.1178851000000001</v>
      </c>
      <c r="I372">
        <v>-0.11788507600000001</v>
      </c>
      <c r="J372">
        <v>0.47216912999999999</v>
      </c>
    </row>
    <row r="373" spans="1:10" x14ac:dyDescent="0.3">
      <c r="A373">
        <v>371</v>
      </c>
      <c r="B373">
        <v>6117</v>
      </c>
      <c r="C373" t="b">
        <v>1</v>
      </c>
      <c r="D373">
        <v>8104</v>
      </c>
      <c r="E373">
        <v>8192</v>
      </c>
      <c r="F373">
        <v>275.73334</v>
      </c>
      <c r="G373">
        <v>245.53334000000001</v>
      </c>
      <c r="H373">
        <v>1.1229975000000001</v>
      </c>
      <c r="I373">
        <v>-0.12299754</v>
      </c>
      <c r="J373">
        <v>0.47103210000000001</v>
      </c>
    </row>
    <row r="374" spans="1:10" x14ac:dyDescent="0.3">
      <c r="A374">
        <v>372</v>
      </c>
      <c r="B374">
        <v>6132</v>
      </c>
      <c r="C374" t="b">
        <v>1</v>
      </c>
      <c r="D374">
        <v>8112</v>
      </c>
      <c r="E374">
        <v>8152</v>
      </c>
      <c r="F374">
        <v>275.2</v>
      </c>
      <c r="G374">
        <v>243.93333000000001</v>
      </c>
      <c r="H374">
        <v>1.1281772000000001</v>
      </c>
      <c r="I374">
        <v>-0.12817713999999999</v>
      </c>
      <c r="J374">
        <v>0.46988567999999997</v>
      </c>
    </row>
    <row r="375" spans="1:10" x14ac:dyDescent="0.3">
      <c r="A375">
        <v>373</v>
      </c>
      <c r="B375">
        <v>6148</v>
      </c>
      <c r="C375" t="b">
        <v>1</v>
      </c>
      <c r="D375">
        <v>8168</v>
      </c>
      <c r="E375">
        <v>8160</v>
      </c>
      <c r="F375">
        <v>275.2</v>
      </c>
      <c r="G375">
        <v>242.86667</v>
      </c>
      <c r="H375">
        <v>1.1331321000000001</v>
      </c>
      <c r="I375">
        <v>-0.13313206999999999</v>
      </c>
      <c r="J375">
        <v>0.46879426000000002</v>
      </c>
    </row>
    <row r="376" spans="1:10" x14ac:dyDescent="0.3">
      <c r="A376">
        <v>374</v>
      </c>
      <c r="B376">
        <v>6164</v>
      </c>
      <c r="C376" t="b">
        <v>1</v>
      </c>
      <c r="D376">
        <v>8072</v>
      </c>
      <c r="E376">
        <v>8160</v>
      </c>
      <c r="F376">
        <v>274.66665999999998</v>
      </c>
      <c r="G376">
        <v>241.8</v>
      </c>
      <c r="H376">
        <v>1.1359249</v>
      </c>
      <c r="I376">
        <v>-0.13592494999999999</v>
      </c>
      <c r="J376">
        <v>0.46818122000000001</v>
      </c>
    </row>
    <row r="377" spans="1:10" x14ac:dyDescent="0.3">
      <c r="A377">
        <v>375</v>
      </c>
      <c r="B377">
        <v>6180</v>
      </c>
      <c r="C377" t="b">
        <v>1</v>
      </c>
      <c r="D377">
        <v>8128</v>
      </c>
      <c r="E377">
        <v>8200</v>
      </c>
      <c r="F377">
        <v>274.66665999999998</v>
      </c>
      <c r="G377">
        <v>240.73334</v>
      </c>
      <c r="H377">
        <v>1.1409581</v>
      </c>
      <c r="I377">
        <v>-0.14095811999999999</v>
      </c>
      <c r="J377">
        <v>0.46708055999999998</v>
      </c>
    </row>
    <row r="378" spans="1:10" x14ac:dyDescent="0.3">
      <c r="A378">
        <v>376</v>
      </c>
      <c r="B378">
        <v>6196</v>
      </c>
      <c r="C378" t="b">
        <v>1</v>
      </c>
      <c r="D378">
        <v>8088</v>
      </c>
      <c r="E378">
        <v>8200</v>
      </c>
      <c r="F378">
        <v>273.60000000000002</v>
      </c>
      <c r="G378">
        <v>239.66667000000001</v>
      </c>
      <c r="H378">
        <v>1.1415856</v>
      </c>
      <c r="I378">
        <v>-0.14158554000000001</v>
      </c>
      <c r="J378">
        <v>0.46694376999999998</v>
      </c>
    </row>
    <row r="379" spans="1:10" x14ac:dyDescent="0.3">
      <c r="A379">
        <v>377</v>
      </c>
      <c r="B379">
        <v>6212</v>
      </c>
      <c r="C379" t="b">
        <v>1</v>
      </c>
      <c r="D379">
        <v>8096</v>
      </c>
      <c r="E379">
        <v>8152</v>
      </c>
      <c r="F379">
        <v>270.39999999999998</v>
      </c>
      <c r="G379">
        <v>238.6</v>
      </c>
      <c r="H379">
        <v>1.1332774000000001</v>
      </c>
      <c r="I379">
        <v>-0.13327739999999999</v>
      </c>
      <c r="J379">
        <v>0.46876227999999998</v>
      </c>
    </row>
    <row r="380" spans="1:10" x14ac:dyDescent="0.3">
      <c r="A380">
        <v>378</v>
      </c>
      <c r="B380">
        <v>6228</v>
      </c>
      <c r="C380" t="b">
        <v>1</v>
      </c>
      <c r="D380">
        <v>8128</v>
      </c>
      <c r="E380">
        <v>8176</v>
      </c>
      <c r="F380">
        <v>267.2</v>
      </c>
      <c r="G380">
        <v>240.2</v>
      </c>
      <c r="H380">
        <v>1.1124064</v>
      </c>
      <c r="I380">
        <v>-0.11240639500000001</v>
      </c>
      <c r="J380">
        <v>0.47339374000000001</v>
      </c>
    </row>
    <row r="381" spans="1:10" x14ac:dyDescent="0.3">
      <c r="A381">
        <v>379</v>
      </c>
      <c r="B381">
        <v>6244</v>
      </c>
      <c r="C381" t="b">
        <v>1</v>
      </c>
      <c r="D381">
        <v>8152</v>
      </c>
      <c r="E381">
        <v>8168</v>
      </c>
      <c r="F381">
        <v>267.2</v>
      </c>
      <c r="G381">
        <v>242.33332999999999</v>
      </c>
      <c r="H381">
        <v>1.1026136</v>
      </c>
      <c r="I381">
        <v>-0.10261355</v>
      </c>
      <c r="J381">
        <v>0.47559857</v>
      </c>
    </row>
    <row r="382" spans="1:10" x14ac:dyDescent="0.3">
      <c r="A382">
        <v>380</v>
      </c>
      <c r="B382">
        <v>6259</v>
      </c>
      <c r="C382" t="b">
        <v>1</v>
      </c>
      <c r="D382">
        <v>8184</v>
      </c>
      <c r="E382">
        <v>8176</v>
      </c>
      <c r="F382">
        <v>267.73334</v>
      </c>
      <c r="G382">
        <v>243.93333000000001</v>
      </c>
      <c r="H382">
        <v>1.0975676999999999</v>
      </c>
      <c r="I382">
        <v>-9.7567655000000003E-2</v>
      </c>
      <c r="J382">
        <v>0.47674265999999998</v>
      </c>
    </row>
    <row r="383" spans="1:10" x14ac:dyDescent="0.3">
      <c r="A383">
        <v>381</v>
      </c>
      <c r="B383">
        <v>6275</v>
      </c>
      <c r="C383" t="b">
        <v>1</v>
      </c>
      <c r="D383">
        <v>8160</v>
      </c>
      <c r="E383">
        <v>8160</v>
      </c>
      <c r="F383">
        <v>270.93331999999998</v>
      </c>
      <c r="G383">
        <v>245</v>
      </c>
      <c r="H383">
        <v>1.1058503</v>
      </c>
      <c r="I383">
        <v>-0.10585028</v>
      </c>
      <c r="J383">
        <v>0.47486755000000003</v>
      </c>
    </row>
    <row r="384" spans="1:10" x14ac:dyDescent="0.3">
      <c r="A384">
        <v>382</v>
      </c>
      <c r="B384">
        <v>6291</v>
      </c>
      <c r="C384" t="b">
        <v>1</v>
      </c>
      <c r="D384">
        <v>8104</v>
      </c>
      <c r="E384">
        <v>8128</v>
      </c>
      <c r="F384">
        <v>274.13333</v>
      </c>
      <c r="G384">
        <v>246.6</v>
      </c>
      <c r="H384">
        <v>1.1116518</v>
      </c>
      <c r="I384">
        <v>-0.11165176</v>
      </c>
      <c r="J384">
        <v>0.47356292999999999</v>
      </c>
    </row>
    <row r="385" spans="1:10" x14ac:dyDescent="0.3">
      <c r="A385">
        <v>383</v>
      </c>
      <c r="B385">
        <v>6307</v>
      </c>
      <c r="C385" t="b">
        <v>1</v>
      </c>
      <c r="D385">
        <v>8152</v>
      </c>
      <c r="E385">
        <v>8144</v>
      </c>
      <c r="F385">
        <v>277.33334000000002</v>
      </c>
      <c r="G385">
        <v>247.13333</v>
      </c>
      <c r="H385">
        <v>1.1222013</v>
      </c>
      <c r="I385">
        <v>-0.12220129</v>
      </c>
      <c r="J385">
        <v>0.47120884000000002</v>
      </c>
    </row>
    <row r="386" spans="1:10" x14ac:dyDescent="0.3">
      <c r="A386">
        <v>384</v>
      </c>
      <c r="B386">
        <v>6323</v>
      </c>
      <c r="C386" t="b">
        <v>1</v>
      </c>
      <c r="D386">
        <v>8112</v>
      </c>
      <c r="E386">
        <v>8152</v>
      </c>
      <c r="F386">
        <v>280.53332999999998</v>
      </c>
      <c r="G386">
        <v>247.13333</v>
      </c>
      <c r="H386">
        <v>1.1351496999999999</v>
      </c>
      <c r="I386">
        <v>-0.13514968999999999</v>
      </c>
      <c r="J386">
        <v>0.46835126999999999</v>
      </c>
    </row>
    <row r="387" spans="1:10" x14ac:dyDescent="0.3">
      <c r="A387">
        <v>385</v>
      </c>
      <c r="B387">
        <v>6339</v>
      </c>
      <c r="C387" t="b">
        <v>1</v>
      </c>
      <c r="D387">
        <v>8128</v>
      </c>
      <c r="E387">
        <v>8176</v>
      </c>
      <c r="F387">
        <v>282.13333</v>
      </c>
      <c r="G387">
        <v>247.13333</v>
      </c>
      <c r="H387">
        <v>1.141624</v>
      </c>
      <c r="I387">
        <v>-0.14162395999999999</v>
      </c>
      <c r="J387">
        <v>0.4669354</v>
      </c>
    </row>
    <row r="388" spans="1:10" x14ac:dyDescent="0.3">
      <c r="A388">
        <v>386</v>
      </c>
      <c r="B388">
        <v>6355</v>
      </c>
      <c r="C388" t="b">
        <v>1</v>
      </c>
      <c r="D388">
        <v>8128</v>
      </c>
      <c r="E388">
        <v>8152</v>
      </c>
      <c r="F388">
        <v>283.73334</v>
      </c>
      <c r="G388">
        <v>247.13333</v>
      </c>
      <c r="H388">
        <v>1.1480982</v>
      </c>
      <c r="I388">
        <v>-0.14809822</v>
      </c>
      <c r="J388">
        <v>0.46552803999999998</v>
      </c>
    </row>
    <row r="389" spans="1:10" x14ac:dyDescent="0.3">
      <c r="A389">
        <v>387</v>
      </c>
      <c r="B389">
        <v>6371</v>
      </c>
      <c r="C389" t="b">
        <v>1</v>
      </c>
      <c r="D389">
        <v>8152</v>
      </c>
      <c r="E389">
        <v>8224</v>
      </c>
      <c r="F389">
        <v>285.33334000000002</v>
      </c>
      <c r="G389">
        <v>247.13333</v>
      </c>
      <c r="H389">
        <v>1.1545725</v>
      </c>
      <c r="I389">
        <v>-0.15457249000000001</v>
      </c>
      <c r="J389">
        <v>0.46412920000000002</v>
      </c>
    </row>
    <row r="390" spans="1:10" x14ac:dyDescent="0.3">
      <c r="A390">
        <v>388</v>
      </c>
      <c r="B390">
        <v>6387</v>
      </c>
      <c r="C390" t="b">
        <v>1</v>
      </c>
      <c r="D390">
        <v>8112</v>
      </c>
      <c r="E390">
        <v>8192</v>
      </c>
      <c r="F390">
        <v>286.39999999999998</v>
      </c>
      <c r="G390">
        <v>248.2</v>
      </c>
      <c r="H390">
        <v>1.1539081</v>
      </c>
      <c r="I390">
        <v>-0.15390813</v>
      </c>
      <c r="J390">
        <v>0.46427237999999998</v>
      </c>
    </row>
    <row r="391" spans="1:10" x14ac:dyDescent="0.3">
      <c r="A391">
        <v>389</v>
      </c>
      <c r="B391">
        <v>6403</v>
      </c>
      <c r="C391" t="b">
        <v>1</v>
      </c>
      <c r="D391">
        <v>8144</v>
      </c>
      <c r="E391">
        <v>8168</v>
      </c>
      <c r="F391">
        <v>288</v>
      </c>
      <c r="G391">
        <v>249.26666</v>
      </c>
      <c r="H391">
        <v>1.1553891999999999</v>
      </c>
      <c r="I391">
        <v>-0.15538916</v>
      </c>
      <c r="J391">
        <v>0.46395334999999999</v>
      </c>
    </row>
    <row r="392" spans="1:10" x14ac:dyDescent="0.3">
      <c r="A392">
        <v>390</v>
      </c>
      <c r="B392">
        <v>6419</v>
      </c>
      <c r="C392" t="b">
        <v>1</v>
      </c>
      <c r="D392">
        <v>8152</v>
      </c>
      <c r="E392">
        <v>8176</v>
      </c>
      <c r="F392">
        <v>290.13333</v>
      </c>
      <c r="G392">
        <v>250.33332999999999</v>
      </c>
      <c r="H392">
        <v>1.1589879999999999</v>
      </c>
      <c r="I392">
        <v>-0.15898803</v>
      </c>
      <c r="J392">
        <v>0.46317995000000001</v>
      </c>
    </row>
    <row r="393" spans="1:10" x14ac:dyDescent="0.3">
      <c r="A393">
        <v>391</v>
      </c>
      <c r="B393">
        <v>6435</v>
      </c>
      <c r="C393" t="b">
        <v>1</v>
      </c>
      <c r="D393">
        <v>8168</v>
      </c>
      <c r="E393">
        <v>8184</v>
      </c>
      <c r="F393">
        <v>292.8</v>
      </c>
      <c r="G393">
        <v>251.93333000000001</v>
      </c>
      <c r="H393">
        <v>1.1622121000000001</v>
      </c>
      <c r="I393">
        <v>-0.16221218000000001</v>
      </c>
      <c r="J393">
        <v>0.46248928</v>
      </c>
    </row>
    <row r="394" spans="1:10" x14ac:dyDescent="0.3">
      <c r="A394">
        <v>392</v>
      </c>
      <c r="B394">
        <v>6451</v>
      </c>
      <c r="C394" t="b">
        <v>1</v>
      </c>
      <c r="D394">
        <v>8104</v>
      </c>
      <c r="E394">
        <v>8152</v>
      </c>
      <c r="F394">
        <v>296</v>
      </c>
      <c r="G394">
        <v>253</v>
      </c>
      <c r="H394">
        <v>1.1699605</v>
      </c>
      <c r="I394">
        <v>-0.16996047</v>
      </c>
      <c r="J394">
        <v>0.46083790000000002</v>
      </c>
    </row>
    <row r="395" spans="1:10" x14ac:dyDescent="0.3">
      <c r="A395">
        <v>393</v>
      </c>
      <c r="B395">
        <v>6467</v>
      </c>
      <c r="C395" t="b">
        <v>1</v>
      </c>
      <c r="D395">
        <v>8128</v>
      </c>
      <c r="E395">
        <v>8144</v>
      </c>
      <c r="F395">
        <v>299.2</v>
      </c>
      <c r="G395">
        <v>252.46665999999999</v>
      </c>
      <c r="H395">
        <v>1.1851069999999999</v>
      </c>
      <c r="I395">
        <v>-0.18510702000000001</v>
      </c>
      <c r="J395">
        <v>0.45764347999999999</v>
      </c>
    </row>
    <row r="396" spans="1:10" x14ac:dyDescent="0.3">
      <c r="A396">
        <v>394</v>
      </c>
      <c r="B396">
        <v>6483</v>
      </c>
      <c r="C396" t="b">
        <v>1</v>
      </c>
      <c r="D396">
        <v>8128</v>
      </c>
      <c r="E396">
        <v>8168</v>
      </c>
      <c r="F396">
        <v>299.2</v>
      </c>
      <c r="G396">
        <v>251.93333000000001</v>
      </c>
      <c r="H396">
        <v>1.1876158999999999</v>
      </c>
      <c r="I396">
        <v>-0.18761580999999999</v>
      </c>
      <c r="J396">
        <v>0.45711863000000003</v>
      </c>
    </row>
    <row r="397" spans="1:10" x14ac:dyDescent="0.3">
      <c r="A397">
        <v>395</v>
      </c>
      <c r="B397">
        <v>6499</v>
      </c>
      <c r="C397" t="b">
        <v>1</v>
      </c>
      <c r="D397">
        <v>8120</v>
      </c>
      <c r="E397">
        <v>8176</v>
      </c>
      <c r="F397">
        <v>299.2</v>
      </c>
      <c r="G397">
        <v>251.4</v>
      </c>
      <c r="H397">
        <v>1.1901354</v>
      </c>
      <c r="I397">
        <v>-0.19013532</v>
      </c>
      <c r="J397">
        <v>0.45659283000000001</v>
      </c>
    </row>
    <row r="398" spans="1:10" x14ac:dyDescent="0.3">
      <c r="A398">
        <v>396</v>
      </c>
      <c r="B398">
        <v>6515</v>
      </c>
      <c r="C398" t="b">
        <v>1</v>
      </c>
      <c r="D398">
        <v>8120</v>
      </c>
      <c r="E398">
        <v>8128</v>
      </c>
      <c r="F398">
        <v>297.06668000000002</v>
      </c>
      <c r="G398">
        <v>250.33332999999999</v>
      </c>
      <c r="H398">
        <v>1.1866844999999999</v>
      </c>
      <c r="I398">
        <v>-0.1866845</v>
      </c>
      <c r="J398">
        <v>0.45731333000000002</v>
      </c>
    </row>
    <row r="399" spans="1:10" x14ac:dyDescent="0.3">
      <c r="A399">
        <v>397</v>
      </c>
      <c r="B399">
        <v>6531</v>
      </c>
      <c r="C399" t="b">
        <v>1</v>
      </c>
      <c r="D399">
        <v>8088</v>
      </c>
      <c r="E399">
        <v>8136</v>
      </c>
      <c r="F399">
        <v>294.93331999999998</v>
      </c>
      <c r="G399">
        <v>248.73334</v>
      </c>
      <c r="H399">
        <v>1.1857411</v>
      </c>
      <c r="I399">
        <v>-0.18574099999999999</v>
      </c>
      <c r="J399">
        <v>0.45751077000000001</v>
      </c>
    </row>
    <row r="400" spans="1:10" x14ac:dyDescent="0.3">
      <c r="A400">
        <v>398</v>
      </c>
      <c r="B400">
        <v>6547</v>
      </c>
      <c r="C400" t="b">
        <v>1</v>
      </c>
      <c r="D400">
        <v>8088</v>
      </c>
      <c r="E400">
        <v>8160</v>
      </c>
      <c r="F400">
        <v>292.8</v>
      </c>
      <c r="G400">
        <v>248.73334</v>
      </c>
      <c r="H400">
        <v>1.1771642</v>
      </c>
      <c r="I400">
        <v>-0.17716423000000001</v>
      </c>
      <c r="J400">
        <v>0.45931306</v>
      </c>
    </row>
    <row r="401" spans="1:10" x14ac:dyDescent="0.3">
      <c r="A401">
        <v>399</v>
      </c>
      <c r="B401">
        <v>6563</v>
      </c>
      <c r="C401" t="b">
        <v>1</v>
      </c>
      <c r="D401">
        <v>8104</v>
      </c>
      <c r="E401">
        <v>8160</v>
      </c>
      <c r="F401">
        <v>289.60000000000002</v>
      </c>
      <c r="G401">
        <v>249.26666</v>
      </c>
      <c r="H401">
        <v>1.161808</v>
      </c>
      <c r="I401">
        <v>-0.16180801</v>
      </c>
      <c r="J401">
        <v>0.46257573000000002</v>
      </c>
    </row>
    <row r="402" spans="1:10" x14ac:dyDescent="0.3">
      <c r="A402">
        <v>400</v>
      </c>
      <c r="B402">
        <v>6579</v>
      </c>
      <c r="C402" t="b">
        <v>1</v>
      </c>
      <c r="D402">
        <v>8120</v>
      </c>
      <c r="E402">
        <v>8192</v>
      </c>
      <c r="F402">
        <v>288</v>
      </c>
      <c r="G402">
        <v>249.8</v>
      </c>
      <c r="H402">
        <v>1.1529223</v>
      </c>
      <c r="I402">
        <v>-0.15292232</v>
      </c>
      <c r="J402">
        <v>0.46448496</v>
      </c>
    </row>
    <row r="403" spans="1:10" x14ac:dyDescent="0.3">
      <c r="A403">
        <v>401</v>
      </c>
      <c r="B403">
        <v>6594</v>
      </c>
      <c r="C403" t="b">
        <v>1</v>
      </c>
      <c r="D403">
        <v>8088</v>
      </c>
      <c r="E403">
        <v>8192</v>
      </c>
      <c r="F403">
        <v>285.33334000000002</v>
      </c>
      <c r="G403">
        <v>250.33332999999999</v>
      </c>
      <c r="H403">
        <v>1.1398136999999999</v>
      </c>
      <c r="I403">
        <v>-0.13981365000000001</v>
      </c>
      <c r="J403">
        <v>0.46733039999999998</v>
      </c>
    </row>
    <row r="404" spans="1:10" x14ac:dyDescent="0.3">
      <c r="A404">
        <v>402</v>
      </c>
      <c r="B404">
        <v>6610</v>
      </c>
      <c r="C404" t="b">
        <v>1</v>
      </c>
      <c r="D404">
        <v>8112</v>
      </c>
      <c r="E404">
        <v>8152</v>
      </c>
      <c r="F404">
        <v>283.73334</v>
      </c>
      <c r="G404">
        <v>250.86667</v>
      </c>
      <c r="H404">
        <v>1.1310123999999999</v>
      </c>
      <c r="I404">
        <v>-0.1310125</v>
      </c>
      <c r="J404">
        <v>0.46926054</v>
      </c>
    </row>
    <row r="405" spans="1:10" x14ac:dyDescent="0.3">
      <c r="A405">
        <v>403</v>
      </c>
      <c r="B405">
        <v>6626</v>
      </c>
      <c r="C405" t="b">
        <v>1</v>
      </c>
      <c r="D405">
        <v>8184</v>
      </c>
      <c r="E405">
        <v>8176</v>
      </c>
      <c r="F405">
        <v>282.66665999999998</v>
      </c>
      <c r="G405">
        <v>250.86667</v>
      </c>
      <c r="H405">
        <v>1.1267605000000001</v>
      </c>
      <c r="I405">
        <v>-0.12676050999999999</v>
      </c>
      <c r="J405">
        <v>0.47019870000000002</v>
      </c>
    </row>
    <row r="406" spans="1:10" x14ac:dyDescent="0.3">
      <c r="A406">
        <v>404</v>
      </c>
      <c r="B406">
        <v>6642</v>
      </c>
      <c r="C406" t="b">
        <v>1</v>
      </c>
      <c r="D406">
        <v>8136</v>
      </c>
      <c r="E406">
        <v>8176</v>
      </c>
      <c r="F406">
        <v>282.13333</v>
      </c>
      <c r="G406">
        <v>250.86667</v>
      </c>
      <c r="H406">
        <v>1.1246346</v>
      </c>
      <c r="I406">
        <v>-0.12463458600000001</v>
      </c>
      <c r="J406">
        <v>0.47066918000000002</v>
      </c>
    </row>
    <row r="407" spans="1:10" x14ac:dyDescent="0.3">
      <c r="A407">
        <v>405</v>
      </c>
      <c r="B407">
        <v>6658</v>
      </c>
      <c r="C407" t="b">
        <v>1</v>
      </c>
      <c r="D407">
        <v>8088</v>
      </c>
      <c r="E407">
        <v>8144</v>
      </c>
      <c r="F407">
        <v>280</v>
      </c>
      <c r="G407">
        <v>250.86667</v>
      </c>
      <c r="H407">
        <v>1.1161307</v>
      </c>
      <c r="I407">
        <v>-0.11613074</v>
      </c>
      <c r="J407">
        <v>0.47256055000000002</v>
      </c>
    </row>
    <row r="408" spans="1:10" x14ac:dyDescent="0.3">
      <c r="A408">
        <v>406</v>
      </c>
      <c r="B408">
        <v>6673</v>
      </c>
      <c r="C408" t="b">
        <v>1</v>
      </c>
      <c r="D408">
        <v>8112</v>
      </c>
      <c r="E408">
        <v>8128</v>
      </c>
      <c r="F408">
        <v>277.33334000000002</v>
      </c>
      <c r="G408">
        <v>248.73334</v>
      </c>
      <c r="H408">
        <v>1.1149826</v>
      </c>
      <c r="I408">
        <v>-0.1149826</v>
      </c>
      <c r="J408">
        <v>0.47281715000000002</v>
      </c>
    </row>
    <row r="409" spans="1:10" x14ac:dyDescent="0.3">
      <c r="A409">
        <v>407</v>
      </c>
      <c r="B409">
        <v>6689</v>
      </c>
      <c r="C409" t="b">
        <v>1</v>
      </c>
      <c r="D409">
        <v>8048</v>
      </c>
      <c r="E409">
        <v>8192</v>
      </c>
      <c r="F409">
        <v>275.2</v>
      </c>
      <c r="G409">
        <v>248.73334</v>
      </c>
      <c r="H409">
        <v>1.1064058999999999</v>
      </c>
      <c r="I409">
        <v>-0.10640582</v>
      </c>
      <c r="J409">
        <v>0.47474232</v>
      </c>
    </row>
    <row r="410" spans="1:10" x14ac:dyDescent="0.3">
      <c r="A410">
        <v>408</v>
      </c>
      <c r="B410">
        <v>6705</v>
      </c>
      <c r="C410" t="b">
        <v>1</v>
      </c>
      <c r="D410">
        <v>8128</v>
      </c>
      <c r="E410">
        <v>8176</v>
      </c>
      <c r="F410">
        <v>273.06668000000002</v>
      </c>
      <c r="G410">
        <v>249.26666</v>
      </c>
      <c r="H410">
        <v>1.0954801999999999</v>
      </c>
      <c r="I410">
        <v>-9.548015E-2</v>
      </c>
      <c r="J410">
        <v>0.47721755999999999</v>
      </c>
    </row>
    <row r="411" spans="1:10" x14ac:dyDescent="0.3">
      <c r="A411">
        <v>409</v>
      </c>
      <c r="B411">
        <v>6721</v>
      </c>
      <c r="C411" t="b">
        <v>1</v>
      </c>
      <c r="D411">
        <v>8096</v>
      </c>
      <c r="E411">
        <v>8136</v>
      </c>
      <c r="F411">
        <v>270.93331999999998</v>
      </c>
      <c r="G411">
        <v>247.66667000000001</v>
      </c>
      <c r="H411">
        <v>1.0939433999999999</v>
      </c>
      <c r="I411">
        <v>-9.3943394999999999E-2</v>
      </c>
      <c r="J411">
        <v>0.47756785000000002</v>
      </c>
    </row>
    <row r="412" spans="1:10" x14ac:dyDescent="0.3">
      <c r="A412">
        <v>410</v>
      </c>
      <c r="B412">
        <v>6737</v>
      </c>
      <c r="C412" t="b">
        <v>1</v>
      </c>
      <c r="D412">
        <v>8112</v>
      </c>
      <c r="E412">
        <v>8176</v>
      </c>
      <c r="F412">
        <v>269.86667</v>
      </c>
      <c r="G412">
        <v>248.2</v>
      </c>
      <c r="H412">
        <v>1.0872952</v>
      </c>
      <c r="I412">
        <v>-8.7295209999999998E-2</v>
      </c>
      <c r="J412">
        <v>0.47908893000000002</v>
      </c>
    </row>
    <row r="413" spans="1:10" x14ac:dyDescent="0.3">
      <c r="A413">
        <v>411</v>
      </c>
      <c r="B413">
        <v>6753</v>
      </c>
      <c r="C413" t="b">
        <v>1</v>
      </c>
      <c r="D413">
        <v>8104</v>
      </c>
      <c r="E413">
        <v>8168</v>
      </c>
      <c r="F413">
        <v>268.8</v>
      </c>
      <c r="G413">
        <v>249.8</v>
      </c>
      <c r="H413">
        <v>1.0760608</v>
      </c>
      <c r="I413">
        <v>-7.6060790000000003E-2</v>
      </c>
      <c r="J413">
        <v>0.48168147</v>
      </c>
    </row>
    <row r="414" spans="1:10" x14ac:dyDescent="0.3">
      <c r="A414">
        <v>412</v>
      </c>
      <c r="B414">
        <v>6769</v>
      </c>
      <c r="C414" t="b">
        <v>1</v>
      </c>
      <c r="D414">
        <v>8096</v>
      </c>
      <c r="E414">
        <v>8144</v>
      </c>
      <c r="F414">
        <v>267.73334</v>
      </c>
      <c r="G414">
        <v>251.4</v>
      </c>
      <c r="H414">
        <v>1.0649694999999999</v>
      </c>
      <c r="I414">
        <v>-6.4969550000000001E-2</v>
      </c>
      <c r="J414">
        <v>0.48426867000000001</v>
      </c>
    </row>
    <row r="415" spans="1:10" x14ac:dyDescent="0.3">
      <c r="A415">
        <v>413</v>
      </c>
      <c r="B415">
        <v>6800</v>
      </c>
      <c r="C415" t="b">
        <v>1</v>
      </c>
      <c r="D415">
        <v>8120</v>
      </c>
      <c r="E415">
        <v>8144</v>
      </c>
      <c r="F415">
        <v>266.66665999999998</v>
      </c>
      <c r="G415">
        <v>250.33332999999999</v>
      </c>
      <c r="H415">
        <v>1.0652463000000001</v>
      </c>
      <c r="I415">
        <v>-6.5246319999999997E-2</v>
      </c>
      <c r="J415">
        <v>0.48420373</v>
      </c>
    </row>
    <row r="416" spans="1:10" x14ac:dyDescent="0.3">
      <c r="A416">
        <v>414</v>
      </c>
      <c r="B416">
        <v>6816</v>
      </c>
      <c r="C416" t="b">
        <v>1</v>
      </c>
      <c r="D416">
        <v>8104</v>
      </c>
      <c r="E416">
        <v>8176</v>
      </c>
      <c r="F416">
        <v>266.66665999999998</v>
      </c>
      <c r="G416">
        <v>250.86667</v>
      </c>
      <c r="H416">
        <v>1.0629816000000001</v>
      </c>
      <c r="I416">
        <v>-6.2981609999999993E-2</v>
      </c>
      <c r="J416">
        <v>0.48473527999999999</v>
      </c>
    </row>
    <row r="417" spans="1:10" x14ac:dyDescent="0.3">
      <c r="A417">
        <v>415</v>
      </c>
      <c r="B417">
        <v>6832</v>
      </c>
      <c r="C417" t="b">
        <v>1</v>
      </c>
      <c r="D417">
        <v>8064</v>
      </c>
      <c r="E417">
        <v>8176</v>
      </c>
      <c r="F417">
        <v>266.66665999999998</v>
      </c>
      <c r="G417">
        <v>251.4</v>
      </c>
      <c r="H417">
        <v>1.0607266</v>
      </c>
      <c r="I417">
        <v>-6.0726583000000001E-2</v>
      </c>
      <c r="J417">
        <v>0.48526573000000001</v>
      </c>
    </row>
    <row r="418" spans="1:10" x14ac:dyDescent="0.3">
      <c r="A418">
        <v>416</v>
      </c>
      <c r="B418">
        <v>6863</v>
      </c>
      <c r="C418" t="b">
        <v>1</v>
      </c>
      <c r="D418">
        <v>8088</v>
      </c>
      <c r="E418">
        <v>8176</v>
      </c>
      <c r="F418">
        <v>267.2</v>
      </c>
      <c r="G418">
        <v>252.46665999999999</v>
      </c>
      <c r="H418">
        <v>1.0583575999999999</v>
      </c>
      <c r="I418">
        <v>-5.8357619999999999E-2</v>
      </c>
      <c r="J418">
        <v>0.48582423000000002</v>
      </c>
    </row>
    <row r="419" spans="1:10" x14ac:dyDescent="0.3">
      <c r="A419">
        <v>417</v>
      </c>
      <c r="B419">
        <v>6879</v>
      </c>
      <c r="C419" t="b">
        <v>1</v>
      </c>
      <c r="D419">
        <v>8088</v>
      </c>
      <c r="E419">
        <v>8192</v>
      </c>
      <c r="F419">
        <v>266.13333</v>
      </c>
      <c r="G419">
        <v>253.53334000000001</v>
      </c>
      <c r="H419">
        <v>1.0496975</v>
      </c>
      <c r="I419">
        <v>-4.9697570000000003E-2</v>
      </c>
      <c r="J419">
        <v>0.48787682999999998</v>
      </c>
    </row>
    <row r="420" spans="1:10" x14ac:dyDescent="0.3">
      <c r="A420">
        <v>418</v>
      </c>
      <c r="B420">
        <v>6895</v>
      </c>
      <c r="C420" t="b">
        <v>1</v>
      </c>
      <c r="D420">
        <v>8088</v>
      </c>
      <c r="E420">
        <v>8176</v>
      </c>
      <c r="F420">
        <v>264.53332999999998</v>
      </c>
      <c r="G420">
        <v>253.53334000000001</v>
      </c>
      <c r="H420">
        <v>1.0433866999999999</v>
      </c>
      <c r="I420">
        <v>-4.338674E-2</v>
      </c>
      <c r="J420">
        <v>0.48938364000000001</v>
      </c>
    </row>
    <row r="421" spans="1:10" x14ac:dyDescent="0.3">
      <c r="A421">
        <v>419</v>
      </c>
      <c r="B421">
        <v>6911</v>
      </c>
      <c r="C421" t="b">
        <v>1</v>
      </c>
      <c r="D421">
        <v>8104</v>
      </c>
      <c r="E421">
        <v>8192</v>
      </c>
      <c r="F421">
        <v>262.39999999999998</v>
      </c>
      <c r="G421">
        <v>253.53334000000001</v>
      </c>
      <c r="H421">
        <v>1.0349723</v>
      </c>
      <c r="I421">
        <v>-3.4972336E-2</v>
      </c>
      <c r="J421">
        <v>0.49140716000000001</v>
      </c>
    </row>
    <row r="422" spans="1:10" x14ac:dyDescent="0.3">
      <c r="A422">
        <v>420</v>
      </c>
      <c r="B422">
        <v>6926</v>
      </c>
      <c r="C422" t="b">
        <v>1</v>
      </c>
      <c r="D422">
        <v>8088</v>
      </c>
      <c r="E422">
        <v>8152</v>
      </c>
      <c r="F422">
        <v>260.8</v>
      </c>
      <c r="G422">
        <v>253.53334000000001</v>
      </c>
      <c r="H422">
        <v>1.0286614999999999</v>
      </c>
      <c r="I422">
        <v>-2.8661506E-2</v>
      </c>
      <c r="J422">
        <v>0.49293587</v>
      </c>
    </row>
    <row r="423" spans="1:10" x14ac:dyDescent="0.3">
      <c r="A423">
        <v>421</v>
      </c>
      <c r="B423">
        <v>6942</v>
      </c>
      <c r="C423" t="b">
        <v>1</v>
      </c>
      <c r="D423">
        <v>8160</v>
      </c>
      <c r="E423">
        <v>8200</v>
      </c>
      <c r="F423">
        <v>259.2</v>
      </c>
      <c r="G423">
        <v>256.2</v>
      </c>
      <c r="H423">
        <v>1.0117096000000001</v>
      </c>
      <c r="I423">
        <v>-1.1709602E-2</v>
      </c>
      <c r="J423">
        <v>0.49708962000000001</v>
      </c>
    </row>
    <row r="424" spans="1:10" x14ac:dyDescent="0.3">
      <c r="A424">
        <v>422</v>
      </c>
      <c r="B424">
        <v>6958</v>
      </c>
      <c r="C424" t="b">
        <v>1</v>
      </c>
      <c r="D424">
        <v>8168</v>
      </c>
      <c r="E424">
        <v>8128</v>
      </c>
      <c r="F424">
        <v>258.66665999999998</v>
      </c>
      <c r="G424">
        <v>256.2</v>
      </c>
      <c r="H424">
        <v>1.0096278000000001</v>
      </c>
      <c r="I424">
        <v>-9.6278070000000004E-3</v>
      </c>
      <c r="J424">
        <v>0.49760454999999998</v>
      </c>
    </row>
    <row r="425" spans="1:10" x14ac:dyDescent="0.3">
      <c r="A425">
        <v>423</v>
      </c>
      <c r="B425">
        <v>6974</v>
      </c>
      <c r="C425" t="b">
        <v>1</v>
      </c>
      <c r="D425">
        <v>8072</v>
      </c>
      <c r="E425">
        <v>8152</v>
      </c>
      <c r="F425">
        <v>258.13333</v>
      </c>
      <c r="G425">
        <v>254.6</v>
      </c>
      <c r="H425">
        <v>1.0138780000000001</v>
      </c>
      <c r="I425">
        <v>-1.3877946E-2</v>
      </c>
      <c r="J425">
        <v>0.49655442999999999</v>
      </c>
    </row>
    <row r="426" spans="1:10" x14ac:dyDescent="0.3">
      <c r="A426">
        <v>424</v>
      </c>
      <c r="B426">
        <v>6990</v>
      </c>
      <c r="C426" t="b">
        <v>1</v>
      </c>
      <c r="D426">
        <v>8144</v>
      </c>
      <c r="E426">
        <v>8128</v>
      </c>
      <c r="F426">
        <v>261.33334000000002</v>
      </c>
      <c r="G426">
        <v>255.13333</v>
      </c>
      <c r="H426">
        <v>1.0243009999999999</v>
      </c>
      <c r="I426">
        <v>-2.4301066999999999E-2</v>
      </c>
      <c r="J426">
        <v>0.49399766000000001</v>
      </c>
    </row>
    <row r="427" spans="1:10" x14ac:dyDescent="0.3">
      <c r="A427">
        <v>425</v>
      </c>
      <c r="B427">
        <v>7006</v>
      </c>
      <c r="C427" t="b">
        <v>1</v>
      </c>
      <c r="D427">
        <v>8120</v>
      </c>
      <c r="E427">
        <v>8160</v>
      </c>
      <c r="F427">
        <v>263.46667000000002</v>
      </c>
      <c r="G427">
        <v>253.53334000000001</v>
      </c>
      <c r="H427">
        <v>1.0391796</v>
      </c>
      <c r="I427">
        <v>-3.9179596999999997E-2</v>
      </c>
      <c r="J427">
        <v>0.49039329999999998</v>
      </c>
    </row>
    <row r="428" spans="1:10" x14ac:dyDescent="0.3">
      <c r="A428">
        <v>426</v>
      </c>
      <c r="B428">
        <v>7022</v>
      </c>
      <c r="C428" t="b">
        <v>1</v>
      </c>
      <c r="D428">
        <v>8112</v>
      </c>
      <c r="E428">
        <v>8208</v>
      </c>
      <c r="F428">
        <v>264.53332999999998</v>
      </c>
      <c r="G428">
        <v>251.93333000000001</v>
      </c>
      <c r="H428">
        <v>1.0500132</v>
      </c>
      <c r="I428">
        <v>-5.0013196000000003E-2</v>
      </c>
      <c r="J428">
        <v>0.48780172999999999</v>
      </c>
    </row>
    <row r="429" spans="1:10" x14ac:dyDescent="0.3">
      <c r="A429">
        <v>427</v>
      </c>
      <c r="B429">
        <v>7037</v>
      </c>
      <c r="C429" t="b">
        <v>1</v>
      </c>
      <c r="D429">
        <v>8184</v>
      </c>
      <c r="E429">
        <v>8160</v>
      </c>
      <c r="F429">
        <v>265.60000000000002</v>
      </c>
      <c r="G429">
        <v>251.4</v>
      </c>
      <c r="H429">
        <v>1.0564837</v>
      </c>
      <c r="I429">
        <v>-5.6483739999999998E-2</v>
      </c>
      <c r="J429">
        <v>0.4862669</v>
      </c>
    </row>
    <row r="430" spans="1:10" x14ac:dyDescent="0.3">
      <c r="A430">
        <v>428</v>
      </c>
      <c r="B430">
        <v>7053</v>
      </c>
      <c r="C430" t="b">
        <v>1</v>
      </c>
      <c r="D430">
        <v>8080</v>
      </c>
      <c r="E430">
        <v>8192</v>
      </c>
      <c r="F430">
        <v>266.66665999999998</v>
      </c>
      <c r="G430">
        <v>252.46665999999999</v>
      </c>
      <c r="H430">
        <v>1.0562450999999999</v>
      </c>
      <c r="I430">
        <v>-5.6245040000000003E-2</v>
      </c>
      <c r="J430">
        <v>0.48632340000000002</v>
      </c>
    </row>
    <row r="431" spans="1:10" x14ac:dyDescent="0.3">
      <c r="A431">
        <v>429</v>
      </c>
      <c r="B431">
        <v>7069</v>
      </c>
      <c r="C431" t="b">
        <v>1</v>
      </c>
      <c r="D431">
        <v>8088</v>
      </c>
      <c r="E431">
        <v>8216</v>
      </c>
      <c r="F431">
        <v>267.2</v>
      </c>
      <c r="G431">
        <v>254.06666999999999</v>
      </c>
      <c r="H431">
        <v>1.0516924999999999</v>
      </c>
      <c r="I431">
        <v>-5.1692522999999997E-2</v>
      </c>
      <c r="J431">
        <v>0.48740246999999998</v>
      </c>
    </row>
    <row r="432" spans="1:10" x14ac:dyDescent="0.3">
      <c r="A432">
        <v>430</v>
      </c>
      <c r="B432">
        <v>7085</v>
      </c>
      <c r="C432" t="b">
        <v>1</v>
      </c>
      <c r="D432">
        <v>8160</v>
      </c>
      <c r="E432">
        <v>8176</v>
      </c>
      <c r="F432">
        <v>267.73334</v>
      </c>
      <c r="G432">
        <v>255.66667000000001</v>
      </c>
      <c r="H432">
        <v>1.0471969000000001</v>
      </c>
      <c r="I432">
        <v>-4.7196864999999998E-2</v>
      </c>
      <c r="J432">
        <v>0.48847279999999998</v>
      </c>
    </row>
    <row r="433" spans="1:10" x14ac:dyDescent="0.3">
      <c r="A433">
        <v>431</v>
      </c>
      <c r="B433">
        <v>7117</v>
      </c>
      <c r="C433" t="b">
        <v>1</v>
      </c>
      <c r="D433">
        <v>8136</v>
      </c>
      <c r="E433">
        <v>8152</v>
      </c>
      <c r="F433">
        <v>270.39999999999998</v>
      </c>
      <c r="G433">
        <v>255.66667000000001</v>
      </c>
      <c r="H433">
        <v>1.0576270999999999</v>
      </c>
      <c r="I433">
        <v>-5.7627074E-2</v>
      </c>
      <c r="J433">
        <v>0.48599671999999999</v>
      </c>
    </row>
    <row r="434" spans="1:10" x14ac:dyDescent="0.3">
      <c r="A434">
        <v>432</v>
      </c>
      <c r="B434">
        <v>7133</v>
      </c>
      <c r="C434" t="b">
        <v>1</v>
      </c>
      <c r="D434">
        <v>8064</v>
      </c>
      <c r="E434">
        <v>8128</v>
      </c>
      <c r="F434">
        <v>270.39999999999998</v>
      </c>
      <c r="G434">
        <v>255.66667000000001</v>
      </c>
      <c r="H434">
        <v>1.0576270999999999</v>
      </c>
      <c r="I434">
        <v>-5.7627074E-2</v>
      </c>
      <c r="J434">
        <v>0.48599671999999999</v>
      </c>
    </row>
    <row r="435" spans="1:10" x14ac:dyDescent="0.3">
      <c r="A435">
        <v>433</v>
      </c>
      <c r="B435">
        <v>7148</v>
      </c>
      <c r="C435" t="b">
        <v>1</v>
      </c>
      <c r="D435">
        <v>8120</v>
      </c>
      <c r="E435">
        <v>8144</v>
      </c>
      <c r="F435">
        <v>272.53332999999998</v>
      </c>
      <c r="G435">
        <v>254.06666999999999</v>
      </c>
      <c r="H435">
        <v>1.0726842999999999</v>
      </c>
      <c r="I435">
        <v>-7.2684310000000002E-2</v>
      </c>
      <c r="J435">
        <v>0.48246615999999998</v>
      </c>
    </row>
    <row r="436" spans="1:10" x14ac:dyDescent="0.3">
      <c r="A436">
        <v>434</v>
      </c>
      <c r="B436">
        <v>7164</v>
      </c>
      <c r="C436" t="b">
        <v>1</v>
      </c>
      <c r="D436">
        <v>8104</v>
      </c>
      <c r="E436">
        <v>8168</v>
      </c>
      <c r="F436">
        <v>274.66665999999998</v>
      </c>
      <c r="G436">
        <v>252.46665999999999</v>
      </c>
      <c r="H436">
        <v>1.0879323000000001</v>
      </c>
      <c r="I436">
        <v>-8.7932389999999999E-2</v>
      </c>
      <c r="J436">
        <v>0.47894271999999999</v>
      </c>
    </row>
    <row r="437" spans="1:10" x14ac:dyDescent="0.3">
      <c r="A437">
        <v>435</v>
      </c>
      <c r="B437">
        <v>7180</v>
      </c>
      <c r="C437" t="b">
        <v>1</v>
      </c>
      <c r="D437">
        <v>8104</v>
      </c>
      <c r="E437">
        <v>8176</v>
      </c>
      <c r="F437">
        <v>275.73334</v>
      </c>
      <c r="G437">
        <v>250.86667</v>
      </c>
      <c r="H437">
        <v>1.0991230000000001</v>
      </c>
      <c r="I437">
        <v>-9.9123046000000006E-2</v>
      </c>
      <c r="J437">
        <v>0.47638944</v>
      </c>
    </row>
    <row r="438" spans="1:10" x14ac:dyDescent="0.3">
      <c r="A438">
        <v>436</v>
      </c>
      <c r="B438">
        <v>7196</v>
      </c>
      <c r="C438" t="b">
        <v>1</v>
      </c>
      <c r="D438">
        <v>8104</v>
      </c>
      <c r="E438">
        <v>8200</v>
      </c>
      <c r="F438">
        <v>276.8</v>
      </c>
      <c r="G438">
        <v>249.26666</v>
      </c>
      <c r="H438">
        <v>1.1104573</v>
      </c>
      <c r="I438">
        <v>-0.11045731</v>
      </c>
      <c r="J438">
        <v>0.47383097000000002</v>
      </c>
    </row>
    <row r="439" spans="1:10" x14ac:dyDescent="0.3">
      <c r="A439">
        <v>437</v>
      </c>
      <c r="B439">
        <v>7212</v>
      </c>
      <c r="C439" t="b">
        <v>1</v>
      </c>
      <c r="D439">
        <v>8088</v>
      </c>
      <c r="E439">
        <v>8176</v>
      </c>
      <c r="F439">
        <v>276.8</v>
      </c>
      <c r="G439">
        <v>249.26666</v>
      </c>
      <c r="H439">
        <v>1.1104573</v>
      </c>
      <c r="I439">
        <v>-0.11045731</v>
      </c>
      <c r="J439">
        <v>0.47383097000000002</v>
      </c>
    </row>
    <row r="440" spans="1:10" x14ac:dyDescent="0.3">
      <c r="A440">
        <v>438</v>
      </c>
      <c r="B440">
        <v>7227</v>
      </c>
      <c r="C440" t="b">
        <v>1</v>
      </c>
      <c r="D440">
        <v>8120</v>
      </c>
      <c r="E440">
        <v>8168</v>
      </c>
      <c r="F440">
        <v>276.8</v>
      </c>
      <c r="G440">
        <v>250.86667</v>
      </c>
      <c r="H440">
        <v>1.103375</v>
      </c>
      <c r="I440">
        <v>-0.103374906</v>
      </c>
      <c r="J440">
        <v>0.47542644000000001</v>
      </c>
    </row>
    <row r="441" spans="1:10" x14ac:dyDescent="0.3">
      <c r="A441">
        <v>439</v>
      </c>
      <c r="B441">
        <v>7243</v>
      </c>
      <c r="C441" t="b">
        <v>1</v>
      </c>
      <c r="D441">
        <v>8152</v>
      </c>
      <c r="E441">
        <v>8152</v>
      </c>
      <c r="F441">
        <v>274.13333</v>
      </c>
      <c r="G441">
        <v>252.46665999999999</v>
      </c>
      <c r="H441">
        <v>1.08582</v>
      </c>
      <c r="I441">
        <v>-8.5819930000000003E-2</v>
      </c>
      <c r="J441">
        <v>0.47942778000000003</v>
      </c>
    </row>
    <row r="442" spans="1:10" x14ac:dyDescent="0.3">
      <c r="A442">
        <v>440</v>
      </c>
      <c r="B442">
        <v>7259</v>
      </c>
      <c r="C442" t="b">
        <v>1</v>
      </c>
      <c r="D442">
        <v>8168</v>
      </c>
      <c r="E442">
        <v>8200</v>
      </c>
      <c r="F442">
        <v>272.53332999999998</v>
      </c>
      <c r="G442">
        <v>254.06666999999999</v>
      </c>
      <c r="H442">
        <v>1.0726842999999999</v>
      </c>
      <c r="I442">
        <v>-7.2684310000000002E-2</v>
      </c>
      <c r="J442">
        <v>0.48246615999999998</v>
      </c>
    </row>
    <row r="443" spans="1:10" x14ac:dyDescent="0.3">
      <c r="A443">
        <v>441</v>
      </c>
      <c r="B443">
        <v>7275</v>
      </c>
      <c r="C443" t="b">
        <v>1</v>
      </c>
      <c r="D443">
        <v>8104</v>
      </c>
      <c r="E443">
        <v>8200</v>
      </c>
      <c r="F443">
        <v>272.53332999999998</v>
      </c>
      <c r="G443">
        <v>255.66667000000001</v>
      </c>
      <c r="H443">
        <v>1.0659713</v>
      </c>
      <c r="I443">
        <v>-6.5971260000000004E-2</v>
      </c>
      <c r="J443">
        <v>0.48403382</v>
      </c>
    </row>
    <row r="444" spans="1:10" x14ac:dyDescent="0.3">
      <c r="A444">
        <v>442</v>
      </c>
      <c r="B444">
        <v>7291</v>
      </c>
      <c r="C444" t="b">
        <v>1</v>
      </c>
      <c r="D444">
        <v>8064</v>
      </c>
      <c r="E444">
        <v>8168</v>
      </c>
      <c r="F444">
        <v>272.53332999999998</v>
      </c>
      <c r="G444">
        <v>256.2</v>
      </c>
      <c r="H444">
        <v>1.0637521999999999</v>
      </c>
      <c r="I444">
        <v>-6.3752199999999995E-2</v>
      </c>
      <c r="J444">
        <v>0.48455429999999999</v>
      </c>
    </row>
    <row r="445" spans="1:10" x14ac:dyDescent="0.3">
      <c r="A445">
        <v>443</v>
      </c>
      <c r="B445">
        <v>7307</v>
      </c>
      <c r="C445" t="b">
        <v>1</v>
      </c>
      <c r="D445">
        <v>8088</v>
      </c>
      <c r="E445">
        <v>8160</v>
      </c>
      <c r="F445">
        <v>271.46667000000002</v>
      </c>
      <c r="G445">
        <v>256.73334</v>
      </c>
      <c r="H445">
        <v>1.0573877</v>
      </c>
      <c r="I445">
        <v>-5.7387705999999997E-2</v>
      </c>
      <c r="J445">
        <v>0.48605325999999999</v>
      </c>
    </row>
    <row r="446" spans="1:10" x14ac:dyDescent="0.3">
      <c r="A446">
        <v>444</v>
      </c>
      <c r="B446">
        <v>7323</v>
      </c>
      <c r="C446" t="b">
        <v>1</v>
      </c>
      <c r="D446">
        <v>8128</v>
      </c>
      <c r="E446">
        <v>8128</v>
      </c>
      <c r="F446">
        <v>270.93331999999998</v>
      </c>
      <c r="G446">
        <v>255.13333</v>
      </c>
      <c r="H446">
        <v>1.0619284</v>
      </c>
      <c r="I446">
        <v>-6.1928358000000003E-2</v>
      </c>
      <c r="J446">
        <v>0.48498289999999999</v>
      </c>
    </row>
    <row r="447" spans="1:10" x14ac:dyDescent="0.3">
      <c r="A447">
        <v>445</v>
      </c>
      <c r="B447">
        <v>7338</v>
      </c>
      <c r="C447" t="b">
        <v>1</v>
      </c>
      <c r="D447">
        <v>8088</v>
      </c>
      <c r="E447">
        <v>8168</v>
      </c>
      <c r="F447">
        <v>269.33334000000002</v>
      </c>
      <c r="G447">
        <v>253.53334000000001</v>
      </c>
      <c r="H447">
        <v>1.0623193</v>
      </c>
      <c r="I447">
        <v>-6.2319230000000003E-2</v>
      </c>
      <c r="J447">
        <v>0.48489096999999998</v>
      </c>
    </row>
    <row r="448" spans="1:10" x14ac:dyDescent="0.3">
      <c r="A448">
        <v>446</v>
      </c>
      <c r="B448">
        <v>7355</v>
      </c>
      <c r="C448" t="b">
        <v>1</v>
      </c>
      <c r="D448">
        <v>8112</v>
      </c>
      <c r="E448">
        <v>8200</v>
      </c>
      <c r="F448">
        <v>266.13333</v>
      </c>
      <c r="G448">
        <v>253</v>
      </c>
      <c r="H448">
        <v>1.0519103999999999</v>
      </c>
      <c r="I448">
        <v>-5.1910400000000002E-2</v>
      </c>
      <c r="J448">
        <v>0.48735073000000001</v>
      </c>
    </row>
    <row r="449" spans="1:10" x14ac:dyDescent="0.3">
      <c r="A449">
        <v>447</v>
      </c>
      <c r="B449">
        <v>7370</v>
      </c>
      <c r="C449" t="b">
        <v>1</v>
      </c>
      <c r="D449">
        <v>8152</v>
      </c>
      <c r="E449">
        <v>8176</v>
      </c>
      <c r="F449">
        <v>267.73334</v>
      </c>
      <c r="G449">
        <v>252.46665999999999</v>
      </c>
      <c r="H449">
        <v>1.0604701000000001</v>
      </c>
      <c r="I449">
        <v>-6.0470073999999999E-2</v>
      </c>
      <c r="J449">
        <v>0.48532614000000002</v>
      </c>
    </row>
    <row r="450" spans="1:10" x14ac:dyDescent="0.3">
      <c r="A450">
        <v>448</v>
      </c>
      <c r="B450">
        <v>7386</v>
      </c>
      <c r="C450" t="b">
        <v>1</v>
      </c>
      <c r="D450">
        <v>8128</v>
      </c>
      <c r="E450">
        <v>8152</v>
      </c>
      <c r="F450">
        <v>268.26666</v>
      </c>
      <c r="G450">
        <v>253.53334000000001</v>
      </c>
      <c r="H450">
        <v>1.0581119999999999</v>
      </c>
      <c r="I450">
        <v>-5.8111969999999999E-2</v>
      </c>
      <c r="J450">
        <v>0.48588221999999998</v>
      </c>
    </row>
    <row r="451" spans="1:10" x14ac:dyDescent="0.3">
      <c r="A451">
        <v>449</v>
      </c>
      <c r="B451">
        <v>7402</v>
      </c>
      <c r="C451" t="b">
        <v>1</v>
      </c>
      <c r="D451">
        <v>8064</v>
      </c>
      <c r="E451">
        <v>8176</v>
      </c>
      <c r="F451">
        <v>267.73334</v>
      </c>
      <c r="G451">
        <v>255.13333</v>
      </c>
      <c r="H451">
        <v>1.0493859999999999</v>
      </c>
      <c r="I451">
        <v>-4.9385964999999997E-2</v>
      </c>
      <c r="J451">
        <v>0.48795100000000002</v>
      </c>
    </row>
    <row r="452" spans="1:10" x14ac:dyDescent="0.3">
      <c r="A452">
        <v>450</v>
      </c>
      <c r="B452">
        <v>7418</v>
      </c>
      <c r="C452" t="b">
        <v>1</v>
      </c>
      <c r="D452">
        <v>8104</v>
      </c>
      <c r="E452">
        <v>8176</v>
      </c>
      <c r="F452">
        <v>268.26666</v>
      </c>
      <c r="G452">
        <v>256.73334</v>
      </c>
      <c r="H452">
        <v>1.0449233</v>
      </c>
      <c r="I452">
        <v>-4.4923365E-2</v>
      </c>
      <c r="J452">
        <v>0.48901588000000001</v>
      </c>
    </row>
    <row r="453" spans="1:10" x14ac:dyDescent="0.3">
      <c r="A453">
        <v>451</v>
      </c>
      <c r="B453">
        <v>7434</v>
      </c>
      <c r="C453" t="b">
        <v>1</v>
      </c>
      <c r="D453">
        <v>8168</v>
      </c>
      <c r="E453">
        <v>8184</v>
      </c>
      <c r="F453">
        <v>269.86667</v>
      </c>
      <c r="G453">
        <v>257.26666</v>
      </c>
      <c r="H453">
        <v>1.0489763999999999</v>
      </c>
      <c r="I453">
        <v>-4.8976444000000001E-2</v>
      </c>
      <c r="J453">
        <v>0.48804858000000001</v>
      </c>
    </row>
    <row r="454" spans="1:10" x14ac:dyDescent="0.3">
      <c r="A454">
        <v>452</v>
      </c>
      <c r="B454">
        <v>7450</v>
      </c>
      <c r="C454" t="b">
        <v>1</v>
      </c>
      <c r="D454">
        <v>8152</v>
      </c>
      <c r="E454">
        <v>8168</v>
      </c>
      <c r="F454">
        <v>271.46667000000002</v>
      </c>
      <c r="G454">
        <v>257.26666</v>
      </c>
      <c r="H454">
        <v>1.0551957000000001</v>
      </c>
      <c r="I454">
        <v>-5.5195697000000002E-2</v>
      </c>
      <c r="J454">
        <v>0.48657167000000001</v>
      </c>
    </row>
    <row r="455" spans="1:10" x14ac:dyDescent="0.3">
      <c r="A455">
        <v>453</v>
      </c>
      <c r="B455">
        <v>7466</v>
      </c>
      <c r="C455" t="b">
        <v>1</v>
      </c>
      <c r="D455">
        <v>8120</v>
      </c>
      <c r="E455">
        <v>8168</v>
      </c>
      <c r="F455">
        <v>272.53332999999998</v>
      </c>
      <c r="G455">
        <v>257.26666</v>
      </c>
      <c r="H455">
        <v>1.0593417999999999</v>
      </c>
      <c r="I455">
        <v>-5.9341785000000001E-2</v>
      </c>
      <c r="J455">
        <v>0.48559204</v>
      </c>
    </row>
    <row r="456" spans="1:10" x14ac:dyDescent="0.3">
      <c r="A456">
        <v>454</v>
      </c>
      <c r="B456">
        <v>7482</v>
      </c>
      <c r="C456" t="b">
        <v>1</v>
      </c>
      <c r="D456">
        <v>8080</v>
      </c>
      <c r="E456">
        <v>8176</v>
      </c>
      <c r="F456">
        <v>273.60000000000002</v>
      </c>
      <c r="G456">
        <v>257.26666</v>
      </c>
      <c r="H456">
        <v>1.063488</v>
      </c>
      <c r="I456">
        <v>-6.3487989999999994E-2</v>
      </c>
      <c r="J456">
        <v>0.4846163</v>
      </c>
    </row>
    <row r="457" spans="1:10" x14ac:dyDescent="0.3">
      <c r="A457">
        <v>455</v>
      </c>
      <c r="B457">
        <v>7498</v>
      </c>
      <c r="C457" t="b">
        <v>1</v>
      </c>
      <c r="D457">
        <v>8104</v>
      </c>
      <c r="E457">
        <v>8192</v>
      </c>
      <c r="F457">
        <v>273.60000000000002</v>
      </c>
      <c r="G457">
        <v>257.26666</v>
      </c>
      <c r="H457">
        <v>1.063488</v>
      </c>
      <c r="I457">
        <v>-6.3487989999999994E-2</v>
      </c>
      <c r="J457">
        <v>0.4846163</v>
      </c>
    </row>
    <row r="458" spans="1:10" x14ac:dyDescent="0.3">
      <c r="A458">
        <v>456</v>
      </c>
      <c r="B458">
        <v>7513</v>
      </c>
      <c r="C458" t="b">
        <v>1</v>
      </c>
      <c r="D458">
        <v>8128</v>
      </c>
      <c r="E458">
        <v>8192</v>
      </c>
      <c r="F458">
        <v>273.60000000000002</v>
      </c>
      <c r="G458">
        <v>257.26666</v>
      </c>
      <c r="H458">
        <v>1.063488</v>
      </c>
      <c r="I458">
        <v>-6.3487989999999994E-2</v>
      </c>
      <c r="J458">
        <v>0.4846163</v>
      </c>
    </row>
    <row r="459" spans="1:10" x14ac:dyDescent="0.3">
      <c r="A459">
        <v>457</v>
      </c>
      <c r="B459">
        <v>7529</v>
      </c>
      <c r="C459" t="b">
        <v>1</v>
      </c>
      <c r="D459">
        <v>8136</v>
      </c>
      <c r="E459">
        <v>8192</v>
      </c>
      <c r="F459">
        <v>273.60000000000002</v>
      </c>
      <c r="G459">
        <v>258.86667</v>
      </c>
      <c r="H459">
        <v>1.0569147999999999</v>
      </c>
      <c r="I459">
        <v>-5.6914773000000002E-2</v>
      </c>
      <c r="J459">
        <v>0.48616502</v>
      </c>
    </row>
    <row r="460" spans="1:10" x14ac:dyDescent="0.3">
      <c r="A460">
        <v>458</v>
      </c>
      <c r="B460">
        <v>7545</v>
      </c>
      <c r="C460" t="b">
        <v>1</v>
      </c>
      <c r="D460">
        <v>8120</v>
      </c>
      <c r="E460">
        <v>8136</v>
      </c>
      <c r="F460">
        <v>274.66665999999998</v>
      </c>
      <c r="G460">
        <v>260.46667000000002</v>
      </c>
      <c r="H460">
        <v>1.0545175</v>
      </c>
      <c r="I460">
        <v>-5.4517459999999997E-2</v>
      </c>
      <c r="J460">
        <v>0.48673232999999999</v>
      </c>
    </row>
    <row r="461" spans="1:10" x14ac:dyDescent="0.3">
      <c r="A461">
        <v>459</v>
      </c>
      <c r="B461">
        <v>7560</v>
      </c>
      <c r="C461" t="b">
        <v>1</v>
      </c>
      <c r="D461">
        <v>8080</v>
      </c>
      <c r="E461">
        <v>8168</v>
      </c>
      <c r="F461">
        <v>275.73334</v>
      </c>
      <c r="G461">
        <v>262.06668000000002</v>
      </c>
      <c r="H461">
        <v>1.0521495000000001</v>
      </c>
      <c r="I461">
        <v>-5.2149538000000002E-2</v>
      </c>
      <c r="J461">
        <v>0.4872939</v>
      </c>
    </row>
    <row r="462" spans="1:10" x14ac:dyDescent="0.3">
      <c r="A462">
        <v>460</v>
      </c>
      <c r="B462">
        <v>7576</v>
      </c>
      <c r="C462" t="b">
        <v>1</v>
      </c>
      <c r="D462">
        <v>8152</v>
      </c>
      <c r="E462">
        <v>8200</v>
      </c>
      <c r="F462">
        <v>278.39999999999998</v>
      </c>
      <c r="G462">
        <v>263.66665999999998</v>
      </c>
      <c r="H462">
        <v>1.0558786</v>
      </c>
      <c r="I462">
        <v>-5.5878650000000002E-2</v>
      </c>
      <c r="J462">
        <v>0.48641002</v>
      </c>
    </row>
    <row r="463" spans="1:10" x14ac:dyDescent="0.3">
      <c r="A463">
        <v>461</v>
      </c>
      <c r="B463">
        <v>7592</v>
      </c>
      <c r="C463" t="b">
        <v>1</v>
      </c>
      <c r="D463">
        <v>8120</v>
      </c>
      <c r="E463">
        <v>8152</v>
      </c>
      <c r="F463">
        <v>280.53332999999998</v>
      </c>
      <c r="G463">
        <v>263.66665999999998</v>
      </c>
      <c r="H463">
        <v>1.0639696000000001</v>
      </c>
      <c r="I463">
        <v>-6.3969670000000006E-2</v>
      </c>
      <c r="J463">
        <v>0.48450326999999999</v>
      </c>
    </row>
    <row r="464" spans="1:10" x14ac:dyDescent="0.3">
      <c r="A464">
        <v>462</v>
      </c>
      <c r="B464">
        <v>7608</v>
      </c>
      <c r="C464" t="b">
        <v>1</v>
      </c>
      <c r="D464">
        <v>8128</v>
      </c>
      <c r="E464">
        <v>8168</v>
      </c>
      <c r="F464">
        <v>281.06668000000002</v>
      </c>
      <c r="G464">
        <v>263.66665999999998</v>
      </c>
      <c r="H464">
        <v>1.0659924999999999</v>
      </c>
      <c r="I464">
        <v>-6.5992510000000004E-2</v>
      </c>
      <c r="J464">
        <v>0.48402885000000001</v>
      </c>
    </row>
    <row r="465" spans="1:10" x14ac:dyDescent="0.3">
      <c r="A465">
        <v>463</v>
      </c>
      <c r="B465">
        <v>7625</v>
      </c>
      <c r="C465" t="b">
        <v>1</v>
      </c>
      <c r="D465">
        <v>8048</v>
      </c>
      <c r="E465">
        <v>8184</v>
      </c>
      <c r="F465">
        <v>280.53332999999998</v>
      </c>
      <c r="G465">
        <v>263.66665999999998</v>
      </c>
      <c r="H465">
        <v>1.0639696000000001</v>
      </c>
      <c r="I465">
        <v>-6.3969670000000006E-2</v>
      </c>
      <c r="J465">
        <v>0.48450326999999999</v>
      </c>
    </row>
    <row r="466" spans="1:10" x14ac:dyDescent="0.3">
      <c r="A466">
        <v>464</v>
      </c>
      <c r="B466">
        <v>7641</v>
      </c>
      <c r="C466" t="b">
        <v>1</v>
      </c>
      <c r="D466">
        <v>8152</v>
      </c>
      <c r="E466">
        <v>8160</v>
      </c>
      <c r="F466">
        <v>281.60000000000002</v>
      </c>
      <c r="G466">
        <v>263.13333</v>
      </c>
      <c r="H466">
        <v>1.0701799000000001</v>
      </c>
      <c r="I466">
        <v>-7.0179920000000007E-2</v>
      </c>
      <c r="J466">
        <v>0.48304979999999997</v>
      </c>
    </row>
    <row r="467" spans="1:10" x14ac:dyDescent="0.3">
      <c r="A467">
        <v>465</v>
      </c>
      <c r="B467">
        <v>7657</v>
      </c>
      <c r="C467" t="b">
        <v>1</v>
      </c>
      <c r="D467">
        <v>8096</v>
      </c>
      <c r="E467">
        <v>8168</v>
      </c>
      <c r="F467">
        <v>282.13333</v>
      </c>
      <c r="G467">
        <v>262.60000000000002</v>
      </c>
      <c r="H467">
        <v>1.0743843</v>
      </c>
      <c r="I467">
        <v>-7.4384329999999999E-2</v>
      </c>
      <c r="J467">
        <v>0.48207074</v>
      </c>
    </row>
    <row r="468" spans="1:10" x14ac:dyDescent="0.3">
      <c r="A468">
        <v>466</v>
      </c>
      <c r="B468">
        <v>7673</v>
      </c>
      <c r="C468" t="b">
        <v>1</v>
      </c>
      <c r="D468">
        <v>8152</v>
      </c>
      <c r="E468">
        <v>8176</v>
      </c>
      <c r="F468">
        <v>282.13333</v>
      </c>
      <c r="G468">
        <v>262.06668000000002</v>
      </c>
      <c r="H468">
        <v>1.0765707</v>
      </c>
      <c r="I468">
        <v>-7.6570780000000005E-2</v>
      </c>
      <c r="J468">
        <v>0.48156317999999998</v>
      </c>
    </row>
    <row r="469" spans="1:10" x14ac:dyDescent="0.3">
      <c r="A469">
        <v>467</v>
      </c>
      <c r="B469">
        <v>7688</v>
      </c>
      <c r="C469" t="b">
        <v>1</v>
      </c>
      <c r="D469">
        <v>8152</v>
      </c>
      <c r="E469">
        <v>8136</v>
      </c>
      <c r="F469">
        <v>283.73334</v>
      </c>
      <c r="G469">
        <v>261.53332999999998</v>
      </c>
      <c r="H469">
        <v>1.084884</v>
      </c>
      <c r="I469">
        <v>-8.4884070000000006E-2</v>
      </c>
      <c r="J469">
        <v>0.47964299999999999</v>
      </c>
    </row>
    <row r="470" spans="1:10" x14ac:dyDescent="0.3">
      <c r="A470">
        <v>468</v>
      </c>
      <c r="B470">
        <v>7704</v>
      </c>
      <c r="C470" t="b">
        <v>1</v>
      </c>
      <c r="D470">
        <v>8104</v>
      </c>
      <c r="E470">
        <v>8176</v>
      </c>
      <c r="F470">
        <v>285.86667</v>
      </c>
      <c r="G470">
        <v>261</v>
      </c>
      <c r="H470">
        <v>1.0952746</v>
      </c>
      <c r="I470">
        <v>-9.5274590000000006E-2</v>
      </c>
      <c r="J470">
        <v>0.47726436999999999</v>
      </c>
    </row>
    <row r="471" spans="1:10" x14ac:dyDescent="0.3">
      <c r="A471">
        <v>469</v>
      </c>
      <c r="B471">
        <v>7720</v>
      </c>
      <c r="C471" t="b">
        <v>1</v>
      </c>
      <c r="D471">
        <v>8128</v>
      </c>
      <c r="E471">
        <v>8200</v>
      </c>
      <c r="F471">
        <v>286.39999999999998</v>
      </c>
      <c r="G471">
        <v>261</v>
      </c>
      <c r="H471">
        <v>1.0973179</v>
      </c>
      <c r="I471">
        <v>-9.7317985999999995E-2</v>
      </c>
      <c r="J471">
        <v>0.47679939999999998</v>
      </c>
    </row>
    <row r="472" spans="1:10" x14ac:dyDescent="0.3">
      <c r="A472">
        <v>470</v>
      </c>
      <c r="B472">
        <v>7736</v>
      </c>
      <c r="C472" t="b">
        <v>1</v>
      </c>
      <c r="D472">
        <v>8160</v>
      </c>
      <c r="E472">
        <v>8184</v>
      </c>
      <c r="F472">
        <v>288.53332999999998</v>
      </c>
      <c r="G472">
        <v>261</v>
      </c>
      <c r="H472">
        <v>1.1054915999999999</v>
      </c>
      <c r="I472">
        <v>-0.10549167</v>
      </c>
      <c r="J472">
        <v>0.47494844000000003</v>
      </c>
    </row>
    <row r="473" spans="1:10" x14ac:dyDescent="0.3">
      <c r="A473">
        <v>471</v>
      </c>
      <c r="B473">
        <v>7752</v>
      </c>
      <c r="C473" t="b">
        <v>1</v>
      </c>
      <c r="D473">
        <v>8136</v>
      </c>
      <c r="E473">
        <v>8200</v>
      </c>
      <c r="F473">
        <v>289.60000000000002</v>
      </c>
      <c r="G473">
        <v>261.53332999999998</v>
      </c>
      <c r="H473">
        <v>1.1073158999999999</v>
      </c>
      <c r="I473">
        <v>-0.10731589</v>
      </c>
      <c r="J473">
        <v>0.47453733999999997</v>
      </c>
    </row>
    <row r="474" spans="1:10" x14ac:dyDescent="0.3">
      <c r="A474">
        <v>472</v>
      </c>
      <c r="B474">
        <v>7768</v>
      </c>
      <c r="C474" t="b">
        <v>1</v>
      </c>
      <c r="D474">
        <v>8120</v>
      </c>
      <c r="E474">
        <v>8168</v>
      </c>
      <c r="F474">
        <v>290.13333</v>
      </c>
      <c r="G474">
        <v>261</v>
      </c>
      <c r="H474">
        <v>1.1116220000000001</v>
      </c>
      <c r="I474">
        <v>-0.11162196000000001</v>
      </c>
      <c r="J474">
        <v>0.47356963000000002</v>
      </c>
    </row>
    <row r="475" spans="1:10" x14ac:dyDescent="0.3">
      <c r="A475">
        <v>473</v>
      </c>
      <c r="B475">
        <v>7784</v>
      </c>
      <c r="C475" t="b">
        <v>1</v>
      </c>
      <c r="D475">
        <v>8152</v>
      </c>
      <c r="E475">
        <v>8176</v>
      </c>
      <c r="F475">
        <v>291.2</v>
      </c>
      <c r="G475">
        <v>260.46667000000002</v>
      </c>
      <c r="H475">
        <v>1.1179934</v>
      </c>
      <c r="I475">
        <v>-0.11799335499999999</v>
      </c>
      <c r="J475">
        <v>0.47214502000000003</v>
      </c>
    </row>
    <row r="476" spans="1:10" x14ac:dyDescent="0.3">
      <c r="A476">
        <v>474</v>
      </c>
      <c r="B476">
        <v>7800</v>
      </c>
      <c r="C476" t="b">
        <v>1</v>
      </c>
      <c r="D476">
        <v>8144</v>
      </c>
      <c r="E476">
        <v>8200</v>
      </c>
      <c r="F476">
        <v>292.8</v>
      </c>
      <c r="G476">
        <v>259.93331999999998</v>
      </c>
      <c r="H476">
        <v>1.1264426999999999</v>
      </c>
      <c r="I476">
        <v>-0.12644269</v>
      </c>
      <c r="J476">
        <v>0.47026899999999999</v>
      </c>
    </row>
    <row r="477" spans="1:10" x14ac:dyDescent="0.3">
      <c r="A477">
        <v>475</v>
      </c>
      <c r="B477">
        <v>7816</v>
      </c>
      <c r="C477" t="b">
        <v>1</v>
      </c>
      <c r="D477">
        <v>8112</v>
      </c>
      <c r="E477">
        <v>8200</v>
      </c>
      <c r="F477">
        <v>293.33334000000002</v>
      </c>
      <c r="G477">
        <v>260.46667000000002</v>
      </c>
      <c r="H477">
        <v>1.1261836999999999</v>
      </c>
      <c r="I477">
        <v>-0.12618378</v>
      </c>
      <c r="J477">
        <v>0.47032622000000002</v>
      </c>
    </row>
    <row r="478" spans="1:10" x14ac:dyDescent="0.3">
      <c r="A478">
        <v>476</v>
      </c>
      <c r="B478">
        <v>7832</v>
      </c>
      <c r="C478" t="b">
        <v>1</v>
      </c>
      <c r="D478">
        <v>8152</v>
      </c>
      <c r="E478">
        <v>8120</v>
      </c>
      <c r="F478">
        <v>294.93331999999998</v>
      </c>
      <c r="G478">
        <v>261</v>
      </c>
      <c r="H478">
        <v>1.1300128</v>
      </c>
      <c r="I478">
        <v>-0.13001272</v>
      </c>
      <c r="J478">
        <v>0.46948075</v>
      </c>
    </row>
    <row r="479" spans="1:10" x14ac:dyDescent="0.3">
      <c r="A479">
        <v>477</v>
      </c>
      <c r="B479">
        <v>7847</v>
      </c>
      <c r="C479" t="b">
        <v>1</v>
      </c>
      <c r="D479">
        <v>8104</v>
      </c>
      <c r="E479">
        <v>8192</v>
      </c>
      <c r="F479">
        <v>296.53332999999998</v>
      </c>
      <c r="G479">
        <v>262.60000000000002</v>
      </c>
      <c r="H479">
        <v>1.1292206</v>
      </c>
      <c r="I479">
        <v>-0.12922056000000001</v>
      </c>
      <c r="J479">
        <v>0.46965544999999997</v>
      </c>
    </row>
    <row r="480" spans="1:10" x14ac:dyDescent="0.3">
      <c r="A480">
        <v>478</v>
      </c>
      <c r="B480">
        <v>7863</v>
      </c>
      <c r="C480" t="b">
        <v>1</v>
      </c>
      <c r="D480">
        <v>8128</v>
      </c>
      <c r="E480">
        <v>8168</v>
      </c>
      <c r="F480">
        <v>297.06668000000002</v>
      </c>
      <c r="G480">
        <v>264.2</v>
      </c>
      <c r="H480">
        <v>1.1244007</v>
      </c>
      <c r="I480">
        <v>-0.124400705</v>
      </c>
      <c r="J480">
        <v>0.47072098000000001</v>
      </c>
    </row>
    <row r="481" spans="1:10" x14ac:dyDescent="0.3">
      <c r="A481">
        <v>479</v>
      </c>
      <c r="B481">
        <v>7879</v>
      </c>
      <c r="C481" t="b">
        <v>1</v>
      </c>
      <c r="D481">
        <v>8168</v>
      </c>
      <c r="E481">
        <v>8200</v>
      </c>
      <c r="F481">
        <v>297.06668000000002</v>
      </c>
      <c r="G481">
        <v>265.8</v>
      </c>
      <c r="H481">
        <v>1.1176324</v>
      </c>
      <c r="I481">
        <v>-0.11763241000000001</v>
      </c>
      <c r="J481">
        <v>0.47222545999999999</v>
      </c>
    </row>
    <row r="482" spans="1:10" x14ac:dyDescent="0.3">
      <c r="A482">
        <v>480</v>
      </c>
      <c r="B482">
        <v>7895</v>
      </c>
      <c r="C482" t="b">
        <v>1</v>
      </c>
      <c r="D482">
        <v>8096</v>
      </c>
      <c r="E482">
        <v>8152</v>
      </c>
      <c r="F482">
        <v>297.60000000000002</v>
      </c>
      <c r="G482">
        <v>265.8</v>
      </c>
      <c r="H482">
        <v>1.1196389</v>
      </c>
      <c r="I482">
        <v>-0.11963890000000001</v>
      </c>
      <c r="J482">
        <v>0.47177845000000002</v>
      </c>
    </row>
    <row r="483" spans="1:10" x14ac:dyDescent="0.3">
      <c r="A483">
        <v>481</v>
      </c>
      <c r="B483">
        <v>7911</v>
      </c>
      <c r="C483" t="b">
        <v>1</v>
      </c>
      <c r="D483">
        <v>8072</v>
      </c>
      <c r="E483">
        <v>8168</v>
      </c>
      <c r="F483">
        <v>296</v>
      </c>
      <c r="G483">
        <v>265.8</v>
      </c>
      <c r="H483">
        <v>1.1136193000000001</v>
      </c>
      <c r="I483">
        <v>-0.11361931</v>
      </c>
      <c r="J483">
        <v>0.47312209999999999</v>
      </c>
    </row>
    <row r="484" spans="1:10" x14ac:dyDescent="0.3">
      <c r="A484">
        <v>482</v>
      </c>
      <c r="B484">
        <v>7927</v>
      </c>
      <c r="C484" t="b">
        <v>1</v>
      </c>
      <c r="D484">
        <v>8120</v>
      </c>
      <c r="E484">
        <v>8176</v>
      </c>
      <c r="F484">
        <v>293.86667</v>
      </c>
      <c r="G484">
        <v>265.8</v>
      </c>
      <c r="H484">
        <v>1.1055931999999999</v>
      </c>
      <c r="I484">
        <v>-0.10559323399999999</v>
      </c>
      <c r="J484">
        <v>0.47492558000000001</v>
      </c>
    </row>
    <row r="485" spans="1:10" x14ac:dyDescent="0.3">
      <c r="A485">
        <v>483</v>
      </c>
      <c r="B485">
        <v>7942</v>
      </c>
      <c r="C485" t="b">
        <v>1</v>
      </c>
      <c r="D485">
        <v>8152</v>
      </c>
      <c r="E485">
        <v>8192</v>
      </c>
      <c r="F485">
        <v>291.73334</v>
      </c>
      <c r="G485">
        <v>266.33334000000002</v>
      </c>
      <c r="H485">
        <v>1.0953691999999999</v>
      </c>
      <c r="I485">
        <v>-9.5369179999999998E-2</v>
      </c>
      <c r="J485">
        <v>0.47724290000000003</v>
      </c>
    </row>
    <row r="486" spans="1:10" x14ac:dyDescent="0.3">
      <c r="A486">
        <v>484</v>
      </c>
      <c r="B486">
        <v>7958</v>
      </c>
      <c r="C486" t="b">
        <v>1</v>
      </c>
      <c r="D486">
        <v>8072</v>
      </c>
      <c r="E486">
        <v>8168</v>
      </c>
      <c r="F486">
        <v>289.60000000000002</v>
      </c>
      <c r="G486">
        <v>265.8</v>
      </c>
      <c r="H486">
        <v>1.0895410999999999</v>
      </c>
      <c r="I486">
        <v>-8.9541079999999995E-2</v>
      </c>
      <c r="J486">
        <v>0.47857395000000003</v>
      </c>
    </row>
    <row r="487" spans="1:10" x14ac:dyDescent="0.3">
      <c r="A487">
        <v>485</v>
      </c>
      <c r="B487">
        <v>7974</v>
      </c>
      <c r="C487" t="b">
        <v>1</v>
      </c>
      <c r="D487">
        <v>8104</v>
      </c>
      <c r="E487">
        <v>8160</v>
      </c>
      <c r="F487">
        <v>286.39999999999998</v>
      </c>
      <c r="G487">
        <v>265.26666</v>
      </c>
      <c r="H487">
        <v>1.0796683</v>
      </c>
      <c r="I487">
        <v>-7.9668249999999996E-2</v>
      </c>
      <c r="J487">
        <v>0.48084596000000002</v>
      </c>
    </row>
    <row r="488" spans="1:10" x14ac:dyDescent="0.3">
      <c r="A488">
        <v>486</v>
      </c>
      <c r="B488">
        <v>7990</v>
      </c>
      <c r="C488" t="b">
        <v>1</v>
      </c>
      <c r="D488">
        <v>8120</v>
      </c>
      <c r="E488">
        <v>8184</v>
      </c>
      <c r="F488">
        <v>285.33334000000002</v>
      </c>
      <c r="G488">
        <v>264.73334</v>
      </c>
      <c r="H488">
        <v>1.0778141999999999</v>
      </c>
      <c r="I488">
        <v>-7.7814179999999997E-2</v>
      </c>
      <c r="J488">
        <v>0.48127502</v>
      </c>
    </row>
    <row r="489" spans="1:10" x14ac:dyDescent="0.3">
      <c r="A489">
        <v>487</v>
      </c>
      <c r="B489">
        <v>8006</v>
      </c>
      <c r="C489" t="b">
        <v>1</v>
      </c>
      <c r="D489">
        <v>8128</v>
      </c>
      <c r="E489">
        <v>8160</v>
      </c>
      <c r="F489">
        <v>284.8</v>
      </c>
      <c r="G489">
        <v>263.66665999999998</v>
      </c>
      <c r="H489">
        <v>1.0801517</v>
      </c>
      <c r="I489">
        <v>-8.0151700000000006E-2</v>
      </c>
      <c r="J489">
        <v>0.48073413999999998</v>
      </c>
    </row>
    <row r="490" spans="1:10" x14ac:dyDescent="0.3">
      <c r="A490">
        <v>488</v>
      </c>
      <c r="B490">
        <v>8021</v>
      </c>
      <c r="C490" t="b">
        <v>1</v>
      </c>
      <c r="D490">
        <v>8120</v>
      </c>
      <c r="E490">
        <v>8160</v>
      </c>
      <c r="F490">
        <v>283.73334</v>
      </c>
      <c r="G490">
        <v>262.06668000000002</v>
      </c>
      <c r="H490">
        <v>1.0826762000000001</v>
      </c>
      <c r="I490">
        <v>-8.2676120000000006E-2</v>
      </c>
      <c r="J490">
        <v>0.48015143999999998</v>
      </c>
    </row>
    <row r="491" spans="1:10" x14ac:dyDescent="0.3">
      <c r="A491">
        <v>489</v>
      </c>
      <c r="B491">
        <v>8037</v>
      </c>
      <c r="C491" t="b">
        <v>1</v>
      </c>
      <c r="D491">
        <v>8128</v>
      </c>
      <c r="E491">
        <v>8216</v>
      </c>
      <c r="F491">
        <v>282.13333</v>
      </c>
      <c r="G491">
        <v>260.46667000000002</v>
      </c>
      <c r="H491">
        <v>1.0831839999999999</v>
      </c>
      <c r="I491">
        <v>-8.3183989999999999E-2</v>
      </c>
      <c r="J491">
        <v>0.48003444000000001</v>
      </c>
    </row>
    <row r="492" spans="1:10" x14ac:dyDescent="0.3">
      <c r="A492">
        <v>490</v>
      </c>
      <c r="B492">
        <v>8053</v>
      </c>
      <c r="C492" t="b">
        <v>1</v>
      </c>
      <c r="D492">
        <v>8144</v>
      </c>
      <c r="E492">
        <v>8176</v>
      </c>
      <c r="F492">
        <v>281.60000000000002</v>
      </c>
      <c r="G492">
        <v>258.86667</v>
      </c>
      <c r="H492">
        <v>1.0878186999999999</v>
      </c>
      <c r="I492">
        <v>-8.7818709999999994E-2</v>
      </c>
      <c r="J492">
        <v>0.47896879999999997</v>
      </c>
    </row>
    <row r="493" spans="1:10" x14ac:dyDescent="0.3">
      <c r="A493">
        <v>491</v>
      </c>
      <c r="B493">
        <v>8085</v>
      </c>
      <c r="C493" t="b">
        <v>1</v>
      </c>
      <c r="D493">
        <v>8088</v>
      </c>
      <c r="E493">
        <v>8200</v>
      </c>
      <c r="F493">
        <v>280.53332999999998</v>
      </c>
      <c r="G493">
        <v>258.86667</v>
      </c>
      <c r="H493">
        <v>1.0836981999999999</v>
      </c>
      <c r="I493">
        <v>-8.3698129999999996E-2</v>
      </c>
      <c r="J493">
        <v>0.47991594999999998</v>
      </c>
    </row>
    <row r="494" spans="1:10" x14ac:dyDescent="0.3">
      <c r="A494">
        <v>492</v>
      </c>
      <c r="B494">
        <v>8117</v>
      </c>
      <c r="C494" t="b">
        <v>1</v>
      </c>
      <c r="D494">
        <v>8168</v>
      </c>
      <c r="E494">
        <v>8184</v>
      </c>
      <c r="F494">
        <v>279.46667000000002</v>
      </c>
      <c r="G494">
        <v>258.33334000000002</v>
      </c>
      <c r="H494">
        <v>1.0818064000000001</v>
      </c>
      <c r="I494">
        <v>-8.1806439999999994E-2</v>
      </c>
      <c r="J494">
        <v>0.480352</v>
      </c>
    </row>
    <row r="495" spans="1:10" x14ac:dyDescent="0.3">
      <c r="A495">
        <v>493</v>
      </c>
      <c r="B495">
        <v>8149</v>
      </c>
      <c r="C495" t="b">
        <v>1</v>
      </c>
      <c r="D495">
        <v>8120</v>
      </c>
      <c r="E495">
        <v>8160</v>
      </c>
      <c r="F495">
        <v>279.46667000000002</v>
      </c>
      <c r="G495">
        <v>257.8</v>
      </c>
      <c r="H495">
        <v>1.0840445999999999</v>
      </c>
      <c r="I495">
        <v>-8.4044560000000004E-2</v>
      </c>
      <c r="J495">
        <v>0.47983619999999999</v>
      </c>
    </row>
    <row r="496" spans="1:10" x14ac:dyDescent="0.3">
      <c r="A496">
        <v>494</v>
      </c>
      <c r="B496">
        <v>8164</v>
      </c>
      <c r="C496" t="b">
        <v>1</v>
      </c>
      <c r="D496">
        <v>8136</v>
      </c>
      <c r="E496">
        <v>8160</v>
      </c>
      <c r="F496">
        <v>280</v>
      </c>
      <c r="G496">
        <v>256.73334</v>
      </c>
      <c r="H496">
        <v>1.0906258</v>
      </c>
      <c r="I496">
        <v>-9.0625789999999998E-2</v>
      </c>
      <c r="J496">
        <v>0.47832565999999999</v>
      </c>
    </row>
    <row r="497" spans="1:10" x14ac:dyDescent="0.3">
      <c r="A497">
        <v>495</v>
      </c>
      <c r="B497">
        <v>8180</v>
      </c>
      <c r="C497" t="b">
        <v>1</v>
      </c>
      <c r="D497">
        <v>8128</v>
      </c>
      <c r="E497">
        <v>8160</v>
      </c>
      <c r="F497">
        <v>280</v>
      </c>
      <c r="G497">
        <v>256.2</v>
      </c>
      <c r="H497">
        <v>1.0928960999999999</v>
      </c>
      <c r="I497">
        <v>-9.2896125999999996E-2</v>
      </c>
      <c r="J497">
        <v>0.47780679999999998</v>
      </c>
    </row>
    <row r="498" spans="1:10" x14ac:dyDescent="0.3">
      <c r="A498">
        <v>496</v>
      </c>
      <c r="B498">
        <v>8196</v>
      </c>
      <c r="C498" t="b">
        <v>1</v>
      </c>
      <c r="D498">
        <v>8152</v>
      </c>
      <c r="E498">
        <v>8184</v>
      </c>
      <c r="F498">
        <v>282.13333</v>
      </c>
      <c r="G498">
        <v>255.66667000000001</v>
      </c>
      <c r="H498">
        <v>1.1035202</v>
      </c>
      <c r="I498">
        <v>-0.10352018</v>
      </c>
      <c r="J498">
        <v>0.47539360000000003</v>
      </c>
    </row>
    <row r="499" spans="1:10" x14ac:dyDescent="0.3">
      <c r="A499">
        <v>497</v>
      </c>
      <c r="B499">
        <v>8212</v>
      </c>
      <c r="C499" t="b">
        <v>1</v>
      </c>
      <c r="D499">
        <v>8128</v>
      </c>
      <c r="E499">
        <v>8192</v>
      </c>
      <c r="F499">
        <v>282.66665999999998</v>
      </c>
      <c r="G499">
        <v>255.13333</v>
      </c>
      <c r="H499">
        <v>1.1079174000000001</v>
      </c>
      <c r="I499">
        <v>-0.1079174</v>
      </c>
      <c r="J499">
        <v>0.47440189999999999</v>
      </c>
    </row>
    <row r="500" spans="1:10" x14ac:dyDescent="0.3">
      <c r="A500">
        <v>498</v>
      </c>
      <c r="B500">
        <v>8228</v>
      </c>
      <c r="C500" t="b">
        <v>1</v>
      </c>
      <c r="D500">
        <v>8120</v>
      </c>
      <c r="E500">
        <v>8176</v>
      </c>
      <c r="F500">
        <v>283.2</v>
      </c>
      <c r="G500">
        <v>255.13333</v>
      </c>
      <c r="H500">
        <v>1.1100079</v>
      </c>
      <c r="I500">
        <v>-0.11000790000000001</v>
      </c>
      <c r="J500">
        <v>0.47393184999999999</v>
      </c>
    </row>
    <row r="501" spans="1:10" x14ac:dyDescent="0.3">
      <c r="A501">
        <v>499</v>
      </c>
      <c r="B501">
        <v>8244</v>
      </c>
      <c r="C501" t="b">
        <v>1</v>
      </c>
      <c r="D501">
        <v>8064</v>
      </c>
      <c r="E501">
        <v>8192</v>
      </c>
      <c r="F501">
        <v>285.33334000000002</v>
      </c>
      <c r="G501">
        <v>256.2</v>
      </c>
      <c r="H501">
        <v>1.1137132999999999</v>
      </c>
      <c r="I501">
        <v>-0.113713235</v>
      </c>
      <c r="J501">
        <v>0.4731011</v>
      </c>
    </row>
    <row r="502" spans="1:10" x14ac:dyDescent="0.3">
      <c r="A502">
        <v>500</v>
      </c>
      <c r="B502">
        <v>8259</v>
      </c>
      <c r="C502" t="b">
        <v>1</v>
      </c>
      <c r="D502">
        <v>8152</v>
      </c>
      <c r="E502">
        <v>8192</v>
      </c>
      <c r="F502">
        <v>286.93331999999998</v>
      </c>
      <c r="G502">
        <v>257.8</v>
      </c>
      <c r="H502">
        <v>1.1130074999999999</v>
      </c>
      <c r="I502">
        <v>-0.11300749</v>
      </c>
      <c r="J502">
        <v>0.47325911999999998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6964A-5D4A-4FE1-96DC-AF42D53F769B}">
  <dimension ref="A1:J502"/>
  <sheetViews>
    <sheetView workbookViewId="0">
      <selection activeCell="A2" sqref="A2:J502"/>
    </sheetView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9.44140625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 t="b">
        <v>1</v>
      </c>
      <c r="D2">
        <v>8136</v>
      </c>
      <c r="E2">
        <v>8184</v>
      </c>
      <c r="F2">
        <v>296</v>
      </c>
      <c r="G2">
        <v>269</v>
      </c>
      <c r="H2">
        <v>1.1003717</v>
      </c>
      <c r="I2">
        <v>-0.10037175</v>
      </c>
      <c r="J2">
        <v>0.47610619999999998</v>
      </c>
    </row>
    <row r="3" spans="1:10" x14ac:dyDescent="0.3">
      <c r="A3">
        <v>1</v>
      </c>
      <c r="B3">
        <v>16</v>
      </c>
      <c r="C3" t="b">
        <v>1</v>
      </c>
      <c r="D3">
        <v>8128</v>
      </c>
      <c r="E3">
        <v>8208</v>
      </c>
      <c r="F3">
        <v>296</v>
      </c>
      <c r="G3">
        <v>281</v>
      </c>
      <c r="H3">
        <v>1.0533806999999999</v>
      </c>
      <c r="I3">
        <v>-5.3380784000000001E-2</v>
      </c>
      <c r="J3">
        <v>0.48700175000000001</v>
      </c>
    </row>
    <row r="4" spans="1:10" x14ac:dyDescent="0.3">
      <c r="A4">
        <v>2</v>
      </c>
      <c r="B4">
        <v>32</v>
      </c>
      <c r="C4" t="b">
        <v>1</v>
      </c>
      <c r="D4">
        <v>8112</v>
      </c>
      <c r="E4">
        <v>8160</v>
      </c>
      <c r="F4">
        <v>293.33334000000002</v>
      </c>
      <c r="G4">
        <v>277</v>
      </c>
      <c r="H4">
        <v>1.0589651</v>
      </c>
      <c r="I4">
        <v>-5.8965139999999999E-2</v>
      </c>
      <c r="J4">
        <v>0.48568085</v>
      </c>
    </row>
    <row r="5" spans="1:10" x14ac:dyDescent="0.3">
      <c r="A5">
        <v>3</v>
      </c>
      <c r="B5">
        <v>48</v>
      </c>
      <c r="C5" t="b">
        <v>1</v>
      </c>
      <c r="D5">
        <v>8128</v>
      </c>
      <c r="E5">
        <v>8216</v>
      </c>
      <c r="F5">
        <v>292</v>
      </c>
      <c r="G5">
        <v>281</v>
      </c>
      <c r="H5">
        <v>1.0391459999999999</v>
      </c>
      <c r="I5">
        <v>-3.9145909999999999E-2</v>
      </c>
      <c r="J5">
        <v>0.49040139999999999</v>
      </c>
    </row>
    <row r="6" spans="1:10" x14ac:dyDescent="0.3">
      <c r="A6">
        <v>4</v>
      </c>
      <c r="B6">
        <v>79</v>
      </c>
      <c r="C6" t="b">
        <v>1</v>
      </c>
      <c r="D6">
        <v>8136</v>
      </c>
      <c r="E6">
        <v>8168</v>
      </c>
      <c r="F6">
        <v>291.2</v>
      </c>
      <c r="G6">
        <v>278.60000000000002</v>
      </c>
      <c r="H6">
        <v>1.0452261</v>
      </c>
      <c r="I6">
        <v>-4.5226152999999998E-2</v>
      </c>
      <c r="J6">
        <v>0.48894346</v>
      </c>
    </row>
    <row r="7" spans="1:10" x14ac:dyDescent="0.3">
      <c r="A7">
        <v>5</v>
      </c>
      <c r="B7">
        <v>95</v>
      </c>
      <c r="C7" t="b">
        <v>1</v>
      </c>
      <c r="D7">
        <v>8112</v>
      </c>
      <c r="E7">
        <v>8192</v>
      </c>
      <c r="F7">
        <v>290.66665999999998</v>
      </c>
      <c r="G7">
        <v>278.33334000000002</v>
      </c>
      <c r="H7">
        <v>1.0443112999999999</v>
      </c>
      <c r="I7">
        <v>-4.4311304000000003E-2</v>
      </c>
      <c r="J7">
        <v>0.48916229999999999</v>
      </c>
    </row>
    <row r="8" spans="1:10" x14ac:dyDescent="0.3">
      <c r="A8">
        <v>6</v>
      </c>
      <c r="B8">
        <v>111</v>
      </c>
      <c r="C8" t="b">
        <v>1</v>
      </c>
      <c r="D8">
        <v>8112</v>
      </c>
      <c r="E8">
        <v>8176</v>
      </c>
      <c r="F8">
        <v>288</v>
      </c>
      <c r="G8">
        <v>275.85714999999999</v>
      </c>
      <c r="H8">
        <v>1.0440186</v>
      </c>
      <c r="I8">
        <v>-4.4018625999999998E-2</v>
      </c>
      <c r="J8">
        <v>0.48923230000000001</v>
      </c>
    </row>
    <row r="9" spans="1:10" x14ac:dyDescent="0.3">
      <c r="A9">
        <v>7</v>
      </c>
      <c r="B9">
        <v>127</v>
      </c>
      <c r="C9" t="b">
        <v>1</v>
      </c>
      <c r="D9">
        <v>8128</v>
      </c>
      <c r="E9">
        <v>8216</v>
      </c>
      <c r="F9">
        <v>288</v>
      </c>
      <c r="G9">
        <v>276</v>
      </c>
      <c r="H9">
        <v>1.0434783000000001</v>
      </c>
      <c r="I9">
        <v>-4.3478259999999998E-2</v>
      </c>
      <c r="J9">
        <v>0.48936170000000001</v>
      </c>
    </row>
    <row r="10" spans="1:10" x14ac:dyDescent="0.3">
      <c r="A10">
        <v>8</v>
      </c>
      <c r="B10">
        <v>142</v>
      </c>
      <c r="C10" t="b">
        <v>1</v>
      </c>
      <c r="D10">
        <v>8096</v>
      </c>
      <c r="E10">
        <v>8216</v>
      </c>
      <c r="F10">
        <v>286.22223000000002</v>
      </c>
      <c r="G10">
        <v>276.11110000000002</v>
      </c>
      <c r="H10">
        <v>1.0366198</v>
      </c>
      <c r="I10">
        <v>-3.6619730000000003E-2</v>
      </c>
      <c r="J10">
        <v>0.49100965000000002</v>
      </c>
    </row>
    <row r="11" spans="1:10" x14ac:dyDescent="0.3">
      <c r="A11">
        <v>9</v>
      </c>
      <c r="B11">
        <v>158</v>
      </c>
      <c r="C11" t="b">
        <v>1</v>
      </c>
      <c r="D11">
        <v>8112</v>
      </c>
      <c r="E11">
        <v>8176</v>
      </c>
      <c r="F11">
        <v>284.8</v>
      </c>
      <c r="G11">
        <v>276.2</v>
      </c>
      <c r="H11">
        <v>1.0311368000000001</v>
      </c>
      <c r="I11">
        <v>-3.1136767999999999E-2</v>
      </c>
      <c r="J11">
        <v>0.49233514</v>
      </c>
    </row>
    <row r="12" spans="1:10" x14ac:dyDescent="0.3">
      <c r="A12">
        <v>10</v>
      </c>
      <c r="B12">
        <v>174</v>
      </c>
      <c r="C12" t="b">
        <v>1</v>
      </c>
      <c r="D12">
        <v>8152</v>
      </c>
      <c r="E12">
        <v>8176</v>
      </c>
      <c r="F12">
        <v>283.63634999999999</v>
      </c>
      <c r="G12">
        <v>274.81817999999998</v>
      </c>
      <c r="H12">
        <v>1.0320872999999999</v>
      </c>
      <c r="I12">
        <v>-3.2087310000000001E-2</v>
      </c>
      <c r="J12">
        <v>0.49210482999999999</v>
      </c>
    </row>
    <row r="13" spans="1:10" x14ac:dyDescent="0.3">
      <c r="A13">
        <v>11</v>
      </c>
      <c r="B13">
        <v>190</v>
      </c>
      <c r="C13" t="b">
        <v>1</v>
      </c>
      <c r="D13">
        <v>8120</v>
      </c>
      <c r="E13">
        <v>8224</v>
      </c>
      <c r="F13">
        <v>283.33334000000002</v>
      </c>
      <c r="G13">
        <v>277</v>
      </c>
      <c r="H13">
        <v>1.0228641000000001</v>
      </c>
      <c r="I13">
        <v>-2.2864057E-2</v>
      </c>
      <c r="J13">
        <v>0.49434855999999999</v>
      </c>
    </row>
    <row r="14" spans="1:10" x14ac:dyDescent="0.3">
      <c r="A14">
        <v>12</v>
      </c>
      <c r="B14">
        <v>206</v>
      </c>
      <c r="C14" t="b">
        <v>1</v>
      </c>
      <c r="D14">
        <v>8096</v>
      </c>
      <c r="E14">
        <v>8200</v>
      </c>
      <c r="F14">
        <v>282.46154999999999</v>
      </c>
      <c r="G14">
        <v>277.61540000000002</v>
      </c>
      <c r="H14">
        <v>1.0174563999999999</v>
      </c>
      <c r="I14">
        <v>-1.7456383999999998E-2</v>
      </c>
      <c r="J14">
        <v>0.49567369999999999</v>
      </c>
    </row>
    <row r="15" spans="1:10" x14ac:dyDescent="0.3">
      <c r="A15">
        <v>13</v>
      </c>
      <c r="B15">
        <v>221</v>
      </c>
      <c r="C15" t="b">
        <v>1</v>
      </c>
      <c r="D15">
        <v>8096</v>
      </c>
      <c r="E15">
        <v>8208</v>
      </c>
      <c r="F15">
        <v>281.71429999999998</v>
      </c>
      <c r="G15">
        <v>278.14285000000001</v>
      </c>
      <c r="H15">
        <v>1.0128402999999999</v>
      </c>
      <c r="I15">
        <v>-1.2840314E-2</v>
      </c>
      <c r="J15">
        <v>0.49681038</v>
      </c>
    </row>
    <row r="16" spans="1:10" x14ac:dyDescent="0.3">
      <c r="A16">
        <v>14</v>
      </c>
      <c r="B16">
        <v>253</v>
      </c>
      <c r="C16" t="b">
        <v>1</v>
      </c>
      <c r="D16">
        <v>8128</v>
      </c>
      <c r="E16">
        <v>8192</v>
      </c>
      <c r="F16">
        <v>281.60000000000002</v>
      </c>
      <c r="G16">
        <v>278.60000000000002</v>
      </c>
      <c r="H16">
        <v>1.0107682</v>
      </c>
      <c r="I16">
        <v>-1.0768125999999999E-2</v>
      </c>
      <c r="J16">
        <v>0.49732238000000001</v>
      </c>
    </row>
    <row r="17" spans="1:10" x14ac:dyDescent="0.3">
      <c r="A17">
        <v>15</v>
      </c>
      <c r="B17">
        <v>269</v>
      </c>
      <c r="C17" t="b">
        <v>1</v>
      </c>
      <c r="D17">
        <v>8104</v>
      </c>
      <c r="E17">
        <v>8184</v>
      </c>
      <c r="F17">
        <v>279.46667000000002</v>
      </c>
      <c r="G17">
        <v>279.66665999999998</v>
      </c>
      <c r="H17">
        <v>0.99928490000000003</v>
      </c>
      <c r="I17">
        <v>7.1507160000000005E-4</v>
      </c>
      <c r="J17">
        <v>0.50017889999999998</v>
      </c>
    </row>
    <row r="18" spans="1:10" x14ac:dyDescent="0.3">
      <c r="A18">
        <v>16</v>
      </c>
      <c r="B18">
        <v>285</v>
      </c>
      <c r="C18" t="b">
        <v>1</v>
      </c>
      <c r="D18">
        <v>8152</v>
      </c>
      <c r="E18">
        <v>8176</v>
      </c>
      <c r="F18">
        <v>277.33334000000002</v>
      </c>
      <c r="G18">
        <v>278.60000000000002</v>
      </c>
      <c r="H18">
        <v>0.99545349999999999</v>
      </c>
      <c r="I18">
        <v>4.5465278000000001E-3</v>
      </c>
      <c r="J18">
        <v>0.50113920000000001</v>
      </c>
    </row>
    <row r="19" spans="1:10" x14ac:dyDescent="0.3">
      <c r="A19">
        <v>17</v>
      </c>
      <c r="B19">
        <v>301</v>
      </c>
      <c r="C19" t="b">
        <v>1</v>
      </c>
      <c r="D19">
        <v>8112</v>
      </c>
      <c r="E19">
        <v>8200</v>
      </c>
      <c r="F19">
        <v>276.26666</v>
      </c>
      <c r="G19">
        <v>279.13333</v>
      </c>
      <c r="H19">
        <v>0.98973009999999995</v>
      </c>
      <c r="I19">
        <v>1.0269891E-2</v>
      </c>
      <c r="J19">
        <v>0.50258069999999999</v>
      </c>
    </row>
    <row r="20" spans="1:10" x14ac:dyDescent="0.3">
      <c r="A20">
        <v>18</v>
      </c>
      <c r="B20">
        <v>317</v>
      </c>
      <c r="C20" t="b">
        <v>1</v>
      </c>
      <c r="D20">
        <v>8144</v>
      </c>
      <c r="E20">
        <v>8176</v>
      </c>
      <c r="F20">
        <v>276.26666</v>
      </c>
      <c r="G20">
        <v>277.53332999999998</v>
      </c>
      <c r="H20">
        <v>0.99543599999999999</v>
      </c>
      <c r="I20">
        <v>4.5640016999999996E-3</v>
      </c>
      <c r="J20">
        <v>0.50114362999999995</v>
      </c>
    </row>
    <row r="21" spans="1:10" x14ac:dyDescent="0.3">
      <c r="A21">
        <v>19</v>
      </c>
      <c r="B21">
        <v>332</v>
      </c>
      <c r="C21" t="b">
        <v>1</v>
      </c>
      <c r="D21">
        <v>8128</v>
      </c>
      <c r="E21">
        <v>8152</v>
      </c>
      <c r="F21">
        <v>276.26666</v>
      </c>
      <c r="G21">
        <v>277</v>
      </c>
      <c r="H21">
        <v>0.99735260000000003</v>
      </c>
      <c r="I21">
        <v>2.6474274000000001E-3</v>
      </c>
      <c r="J21">
        <v>0.50066273999999999</v>
      </c>
    </row>
    <row r="22" spans="1:10" x14ac:dyDescent="0.3">
      <c r="A22">
        <v>20</v>
      </c>
      <c r="B22">
        <v>348</v>
      </c>
      <c r="C22" t="b">
        <v>1</v>
      </c>
      <c r="D22">
        <v>8112</v>
      </c>
      <c r="E22">
        <v>8208</v>
      </c>
      <c r="F22">
        <v>276.26666</v>
      </c>
      <c r="G22">
        <v>275.93331999999998</v>
      </c>
      <c r="H22">
        <v>1.0012080999999999</v>
      </c>
      <c r="I22">
        <v>-1.2080582E-3</v>
      </c>
      <c r="J22">
        <v>0.49969819999999998</v>
      </c>
    </row>
    <row r="23" spans="1:10" x14ac:dyDescent="0.3">
      <c r="A23">
        <v>21</v>
      </c>
      <c r="B23">
        <v>364</v>
      </c>
      <c r="C23" t="b">
        <v>1</v>
      </c>
      <c r="D23">
        <v>8144</v>
      </c>
      <c r="E23">
        <v>8232</v>
      </c>
      <c r="F23">
        <v>277.33334000000002</v>
      </c>
      <c r="G23">
        <v>277.53332999999998</v>
      </c>
      <c r="H23">
        <v>0.99927944000000002</v>
      </c>
      <c r="I23">
        <v>7.2056819999999995E-4</v>
      </c>
      <c r="J23">
        <v>0.50018019999999996</v>
      </c>
    </row>
    <row r="24" spans="1:10" x14ac:dyDescent="0.3">
      <c r="A24">
        <v>22</v>
      </c>
      <c r="B24">
        <v>380</v>
      </c>
      <c r="C24" t="b">
        <v>1</v>
      </c>
      <c r="D24">
        <v>8152</v>
      </c>
      <c r="E24">
        <v>8176</v>
      </c>
      <c r="F24">
        <v>278.39999999999998</v>
      </c>
      <c r="G24">
        <v>276.46667000000002</v>
      </c>
      <c r="H24">
        <v>1.0069929</v>
      </c>
      <c r="I24">
        <v>-6.9929550000000004E-3</v>
      </c>
      <c r="J24">
        <v>0.49825782000000002</v>
      </c>
    </row>
    <row r="25" spans="1:10" x14ac:dyDescent="0.3">
      <c r="A25">
        <v>23</v>
      </c>
      <c r="B25">
        <v>396</v>
      </c>
      <c r="C25" t="b">
        <v>1</v>
      </c>
      <c r="D25">
        <v>8104</v>
      </c>
      <c r="E25">
        <v>8192</v>
      </c>
      <c r="F25">
        <v>279.46667000000002</v>
      </c>
      <c r="G25">
        <v>276.46667000000002</v>
      </c>
      <c r="H25">
        <v>1.0108512999999999</v>
      </c>
      <c r="I25">
        <v>-1.0851217E-2</v>
      </c>
      <c r="J25">
        <v>0.49730184999999999</v>
      </c>
    </row>
    <row r="26" spans="1:10" x14ac:dyDescent="0.3">
      <c r="A26">
        <v>24</v>
      </c>
      <c r="B26">
        <v>412</v>
      </c>
      <c r="C26" t="b">
        <v>1</v>
      </c>
      <c r="D26">
        <v>8104</v>
      </c>
      <c r="E26">
        <v>8192</v>
      </c>
      <c r="F26">
        <v>279.46667000000002</v>
      </c>
      <c r="G26">
        <v>276.46667000000002</v>
      </c>
      <c r="H26">
        <v>1.0108512999999999</v>
      </c>
      <c r="I26">
        <v>-1.0851217E-2</v>
      </c>
      <c r="J26">
        <v>0.49730184999999999</v>
      </c>
    </row>
    <row r="27" spans="1:10" x14ac:dyDescent="0.3">
      <c r="A27">
        <v>25</v>
      </c>
      <c r="B27">
        <v>427</v>
      </c>
      <c r="C27" t="b">
        <v>1</v>
      </c>
      <c r="D27">
        <v>8144</v>
      </c>
      <c r="E27">
        <v>8192</v>
      </c>
      <c r="F27">
        <v>281.60000000000002</v>
      </c>
      <c r="G27">
        <v>277.53332999999998</v>
      </c>
      <c r="H27">
        <v>1.014653</v>
      </c>
      <c r="I27">
        <v>-1.4652946E-2</v>
      </c>
      <c r="J27">
        <v>0.49636342999999999</v>
      </c>
    </row>
    <row r="28" spans="1:10" x14ac:dyDescent="0.3">
      <c r="A28">
        <v>26</v>
      </c>
      <c r="B28">
        <v>443</v>
      </c>
      <c r="C28" t="b">
        <v>1</v>
      </c>
      <c r="D28">
        <v>8112</v>
      </c>
      <c r="E28">
        <v>8200</v>
      </c>
      <c r="F28">
        <v>281.06668000000002</v>
      </c>
      <c r="G28">
        <v>275.93331999999998</v>
      </c>
      <c r="H28">
        <v>1.0186036999999999</v>
      </c>
      <c r="I28">
        <v>-1.8603631999999998E-2</v>
      </c>
      <c r="J28">
        <v>0.49539196000000002</v>
      </c>
    </row>
    <row r="29" spans="1:10" x14ac:dyDescent="0.3">
      <c r="A29">
        <v>27</v>
      </c>
      <c r="B29">
        <v>459</v>
      </c>
      <c r="C29" t="b">
        <v>1</v>
      </c>
      <c r="D29">
        <v>8136</v>
      </c>
      <c r="E29">
        <v>8224</v>
      </c>
      <c r="F29">
        <v>281.06668000000002</v>
      </c>
      <c r="G29">
        <v>275.39999999999998</v>
      </c>
      <c r="H29">
        <v>1.0205762</v>
      </c>
      <c r="I29">
        <v>-2.0576205E-2</v>
      </c>
      <c r="J29">
        <v>0.49490833000000001</v>
      </c>
    </row>
    <row r="30" spans="1:10" x14ac:dyDescent="0.3">
      <c r="A30">
        <v>28</v>
      </c>
      <c r="B30">
        <v>475</v>
      </c>
      <c r="C30" t="b">
        <v>1</v>
      </c>
      <c r="D30">
        <v>8128</v>
      </c>
      <c r="E30">
        <v>8232</v>
      </c>
      <c r="F30">
        <v>282.13333</v>
      </c>
      <c r="G30">
        <v>275.39999999999998</v>
      </c>
      <c r="H30">
        <v>1.0244492999999999</v>
      </c>
      <c r="I30">
        <v>-2.4449301999999999E-2</v>
      </c>
      <c r="J30">
        <v>0.49396148000000001</v>
      </c>
    </row>
    <row r="31" spans="1:10" x14ac:dyDescent="0.3">
      <c r="A31">
        <v>29</v>
      </c>
      <c r="B31">
        <v>491</v>
      </c>
      <c r="C31" t="b">
        <v>1</v>
      </c>
      <c r="D31">
        <v>8152</v>
      </c>
      <c r="E31">
        <v>8160</v>
      </c>
      <c r="F31">
        <v>283.2</v>
      </c>
      <c r="G31">
        <v>275.39999999999998</v>
      </c>
      <c r="H31">
        <v>1.0283225</v>
      </c>
      <c r="I31">
        <v>-2.8322507E-2</v>
      </c>
      <c r="J31">
        <v>0.49301826999999998</v>
      </c>
    </row>
    <row r="32" spans="1:10" x14ac:dyDescent="0.3">
      <c r="A32">
        <v>30</v>
      </c>
      <c r="B32">
        <v>507</v>
      </c>
      <c r="C32" t="b">
        <v>1</v>
      </c>
      <c r="D32">
        <v>8120</v>
      </c>
      <c r="E32">
        <v>8184</v>
      </c>
      <c r="F32">
        <v>284.8</v>
      </c>
      <c r="G32">
        <v>275.39999999999998</v>
      </c>
      <c r="H32">
        <v>1.0341321000000001</v>
      </c>
      <c r="I32">
        <v>-3.413215E-2</v>
      </c>
      <c r="J32">
        <v>0.49161017000000001</v>
      </c>
    </row>
    <row r="33" spans="1:10" x14ac:dyDescent="0.3">
      <c r="A33">
        <v>31</v>
      </c>
      <c r="B33">
        <v>523</v>
      </c>
      <c r="C33" t="b">
        <v>1</v>
      </c>
      <c r="D33">
        <v>8144</v>
      </c>
      <c r="E33">
        <v>8192</v>
      </c>
      <c r="F33">
        <v>286.93331999999998</v>
      </c>
      <c r="G33">
        <v>275.39999999999998</v>
      </c>
      <c r="H33">
        <v>1.0418784999999999</v>
      </c>
      <c r="I33">
        <v>-4.1878449999999998E-2</v>
      </c>
      <c r="J33">
        <v>0.48974509999999999</v>
      </c>
    </row>
    <row r="34" spans="1:10" x14ac:dyDescent="0.3">
      <c r="A34">
        <v>32</v>
      </c>
      <c r="B34">
        <v>539</v>
      </c>
      <c r="C34" t="b">
        <v>1</v>
      </c>
      <c r="D34">
        <v>8184</v>
      </c>
      <c r="E34">
        <v>8224</v>
      </c>
      <c r="F34">
        <v>289.06668000000002</v>
      </c>
      <c r="G34">
        <v>275.39999999999998</v>
      </c>
      <c r="H34">
        <v>1.0496249</v>
      </c>
      <c r="I34">
        <v>-4.9624863999999998E-2</v>
      </c>
      <c r="J34">
        <v>0.48789415000000003</v>
      </c>
    </row>
    <row r="35" spans="1:10" x14ac:dyDescent="0.3">
      <c r="A35">
        <v>33</v>
      </c>
      <c r="B35">
        <v>556</v>
      </c>
      <c r="C35" t="b">
        <v>1</v>
      </c>
      <c r="D35">
        <v>8120</v>
      </c>
      <c r="E35">
        <v>8208</v>
      </c>
      <c r="F35">
        <v>290.13333</v>
      </c>
      <c r="G35">
        <v>275.93331999999998</v>
      </c>
      <c r="H35">
        <v>1.0514616999999999</v>
      </c>
      <c r="I35">
        <v>-5.1461752999999999E-2</v>
      </c>
      <c r="J35">
        <v>0.48745729999999998</v>
      </c>
    </row>
    <row r="36" spans="1:10" x14ac:dyDescent="0.3">
      <c r="A36">
        <v>34</v>
      </c>
      <c r="B36">
        <v>571</v>
      </c>
      <c r="C36" t="b">
        <v>1</v>
      </c>
      <c r="D36">
        <v>8080</v>
      </c>
      <c r="E36">
        <v>8224</v>
      </c>
      <c r="F36">
        <v>289.60000000000002</v>
      </c>
      <c r="G36">
        <v>278.06668000000002</v>
      </c>
      <c r="H36">
        <v>1.0414768000000001</v>
      </c>
      <c r="I36">
        <v>-4.1476829999999999E-2</v>
      </c>
      <c r="J36">
        <v>0.48984146000000001</v>
      </c>
    </row>
    <row r="37" spans="1:10" x14ac:dyDescent="0.3">
      <c r="A37">
        <v>35</v>
      </c>
      <c r="B37">
        <v>587</v>
      </c>
      <c r="C37" t="b">
        <v>1</v>
      </c>
      <c r="D37">
        <v>8096</v>
      </c>
      <c r="E37">
        <v>8176</v>
      </c>
      <c r="F37">
        <v>289.06668000000002</v>
      </c>
      <c r="G37">
        <v>280.2</v>
      </c>
      <c r="H37">
        <v>1.0316441000000001</v>
      </c>
      <c r="I37">
        <v>-3.1644070000000003E-2</v>
      </c>
      <c r="J37">
        <v>0.49221218</v>
      </c>
    </row>
    <row r="38" spans="1:10" x14ac:dyDescent="0.3">
      <c r="A38">
        <v>36</v>
      </c>
      <c r="B38">
        <v>619</v>
      </c>
      <c r="C38" t="b">
        <v>1</v>
      </c>
      <c r="D38">
        <v>8104</v>
      </c>
      <c r="E38">
        <v>8168</v>
      </c>
      <c r="F38">
        <v>287.46667000000002</v>
      </c>
      <c r="G38">
        <v>280.73334</v>
      </c>
      <c r="H38">
        <v>1.0239848</v>
      </c>
      <c r="I38">
        <v>-2.3984815999999999E-2</v>
      </c>
      <c r="J38">
        <v>0.49407485000000001</v>
      </c>
    </row>
    <row r="39" spans="1:10" x14ac:dyDescent="0.3">
      <c r="A39">
        <v>37</v>
      </c>
      <c r="B39">
        <v>634</v>
      </c>
      <c r="C39" t="b">
        <v>1</v>
      </c>
      <c r="D39">
        <v>8104</v>
      </c>
      <c r="E39">
        <v>8208</v>
      </c>
      <c r="F39">
        <v>284.8</v>
      </c>
      <c r="G39">
        <v>282.86667</v>
      </c>
      <c r="H39">
        <v>1.0068347</v>
      </c>
      <c r="I39">
        <v>-6.8347360000000001E-3</v>
      </c>
      <c r="J39">
        <v>0.49829715000000002</v>
      </c>
    </row>
    <row r="40" spans="1:10" x14ac:dyDescent="0.3">
      <c r="A40">
        <v>38</v>
      </c>
      <c r="B40">
        <v>650</v>
      </c>
      <c r="C40" t="b">
        <v>1</v>
      </c>
      <c r="D40">
        <v>8120</v>
      </c>
      <c r="E40">
        <v>8152</v>
      </c>
      <c r="F40">
        <v>283.2</v>
      </c>
      <c r="G40">
        <v>281.8</v>
      </c>
      <c r="H40">
        <v>1.0049682</v>
      </c>
      <c r="I40">
        <v>-4.9681489999999998E-3</v>
      </c>
      <c r="J40">
        <v>0.49876102999999999</v>
      </c>
    </row>
    <row r="41" spans="1:10" x14ac:dyDescent="0.3">
      <c r="A41">
        <v>39</v>
      </c>
      <c r="B41">
        <v>666</v>
      </c>
      <c r="C41" t="b">
        <v>1</v>
      </c>
      <c r="D41">
        <v>8104</v>
      </c>
      <c r="E41">
        <v>8160</v>
      </c>
      <c r="F41">
        <v>282.66665999999998</v>
      </c>
      <c r="G41">
        <v>280.2</v>
      </c>
      <c r="H41">
        <v>1.0088031</v>
      </c>
      <c r="I41">
        <v>-8.803155E-3</v>
      </c>
      <c r="J41">
        <v>0.4978088</v>
      </c>
    </row>
    <row r="42" spans="1:10" x14ac:dyDescent="0.3">
      <c r="A42">
        <v>40</v>
      </c>
      <c r="B42">
        <v>682</v>
      </c>
      <c r="C42" t="b">
        <v>1</v>
      </c>
      <c r="D42">
        <v>8128</v>
      </c>
      <c r="E42">
        <v>8168</v>
      </c>
      <c r="F42">
        <v>280</v>
      </c>
      <c r="G42">
        <v>278.60000000000002</v>
      </c>
      <c r="H42">
        <v>1.0050250999999999</v>
      </c>
      <c r="I42">
        <v>-5.0251037000000002E-3</v>
      </c>
      <c r="J42">
        <v>0.49874689999999999</v>
      </c>
    </row>
    <row r="43" spans="1:10" x14ac:dyDescent="0.3">
      <c r="A43">
        <v>41</v>
      </c>
      <c r="B43">
        <v>698</v>
      </c>
      <c r="C43" t="b">
        <v>1</v>
      </c>
      <c r="D43">
        <v>8152</v>
      </c>
      <c r="E43">
        <v>8200</v>
      </c>
      <c r="F43">
        <v>280.53332999999998</v>
      </c>
      <c r="G43">
        <v>277</v>
      </c>
      <c r="H43">
        <v>1.0127556</v>
      </c>
      <c r="I43">
        <v>-1.2755686E-2</v>
      </c>
      <c r="J43">
        <v>0.49683129999999998</v>
      </c>
    </row>
    <row r="44" spans="1:10" x14ac:dyDescent="0.3">
      <c r="A44">
        <v>42</v>
      </c>
      <c r="B44">
        <v>714</v>
      </c>
      <c r="C44" t="b">
        <v>1</v>
      </c>
      <c r="D44">
        <v>8104</v>
      </c>
      <c r="E44">
        <v>8200</v>
      </c>
      <c r="F44">
        <v>281.06668000000002</v>
      </c>
      <c r="G44">
        <v>275.39999999999998</v>
      </c>
      <c r="H44">
        <v>1.0205762</v>
      </c>
      <c r="I44">
        <v>-2.0576205E-2</v>
      </c>
      <c r="J44">
        <v>0.49490833000000001</v>
      </c>
    </row>
    <row r="45" spans="1:10" x14ac:dyDescent="0.3">
      <c r="A45">
        <v>43</v>
      </c>
      <c r="B45">
        <v>730</v>
      </c>
      <c r="C45" t="b">
        <v>1</v>
      </c>
      <c r="D45">
        <v>8128</v>
      </c>
      <c r="E45">
        <v>8224</v>
      </c>
      <c r="F45">
        <v>281.06668000000002</v>
      </c>
      <c r="G45">
        <v>275.39999999999998</v>
      </c>
      <c r="H45">
        <v>1.0205762</v>
      </c>
      <c r="I45">
        <v>-2.0576205E-2</v>
      </c>
      <c r="J45">
        <v>0.49490833000000001</v>
      </c>
    </row>
    <row r="46" spans="1:10" x14ac:dyDescent="0.3">
      <c r="A46">
        <v>44</v>
      </c>
      <c r="B46">
        <v>746</v>
      </c>
      <c r="C46" t="b">
        <v>1</v>
      </c>
      <c r="D46">
        <v>8112</v>
      </c>
      <c r="E46">
        <v>8176</v>
      </c>
      <c r="F46">
        <v>280.53332999999998</v>
      </c>
      <c r="G46">
        <v>275.39999999999998</v>
      </c>
      <c r="H46">
        <v>1.0186396</v>
      </c>
      <c r="I46">
        <v>-1.8639547999999999E-2</v>
      </c>
      <c r="J46">
        <v>0.49538310000000002</v>
      </c>
    </row>
    <row r="47" spans="1:10" x14ac:dyDescent="0.3">
      <c r="A47">
        <v>45</v>
      </c>
      <c r="B47">
        <v>762</v>
      </c>
      <c r="C47" t="b">
        <v>1</v>
      </c>
      <c r="D47">
        <v>8136</v>
      </c>
      <c r="E47">
        <v>8200</v>
      </c>
      <c r="F47">
        <v>280.53332999999998</v>
      </c>
      <c r="G47">
        <v>275.39999999999998</v>
      </c>
      <c r="H47">
        <v>1.0186396</v>
      </c>
      <c r="I47">
        <v>-1.8639547999999999E-2</v>
      </c>
      <c r="J47">
        <v>0.49538310000000002</v>
      </c>
    </row>
    <row r="48" spans="1:10" x14ac:dyDescent="0.3">
      <c r="A48">
        <v>46</v>
      </c>
      <c r="B48">
        <v>778</v>
      </c>
      <c r="C48" t="b">
        <v>1</v>
      </c>
      <c r="D48">
        <v>8088</v>
      </c>
      <c r="E48">
        <v>8200</v>
      </c>
      <c r="F48">
        <v>278.93331999999998</v>
      </c>
      <c r="G48">
        <v>275.93331999999998</v>
      </c>
      <c r="H48">
        <v>1.0108722000000001</v>
      </c>
      <c r="I48">
        <v>-1.0872191999999999E-2</v>
      </c>
      <c r="J48">
        <v>0.49729666</v>
      </c>
    </row>
    <row r="49" spans="1:10" x14ac:dyDescent="0.3">
      <c r="A49">
        <v>47</v>
      </c>
      <c r="B49">
        <v>794</v>
      </c>
      <c r="C49" t="b">
        <v>1</v>
      </c>
      <c r="D49">
        <v>8104</v>
      </c>
      <c r="E49">
        <v>8184</v>
      </c>
      <c r="F49">
        <v>276.8</v>
      </c>
      <c r="G49">
        <v>276.46667000000002</v>
      </c>
      <c r="H49">
        <v>1.0012056</v>
      </c>
      <c r="I49">
        <v>-1.2056172E-3</v>
      </c>
      <c r="J49">
        <v>0.4996988</v>
      </c>
    </row>
    <row r="50" spans="1:10" x14ac:dyDescent="0.3">
      <c r="A50">
        <v>48</v>
      </c>
      <c r="B50">
        <v>810</v>
      </c>
      <c r="C50" t="b">
        <v>1</v>
      </c>
      <c r="D50">
        <v>8112</v>
      </c>
      <c r="E50">
        <v>8152</v>
      </c>
      <c r="F50">
        <v>274.66665999999998</v>
      </c>
      <c r="G50">
        <v>275.93331999999998</v>
      </c>
      <c r="H50">
        <v>0.99540954999999998</v>
      </c>
      <c r="I50">
        <v>4.5904659999999996E-3</v>
      </c>
      <c r="J50">
        <v>0.50115025000000002</v>
      </c>
    </row>
    <row r="51" spans="1:10" x14ac:dyDescent="0.3">
      <c r="A51">
        <v>49</v>
      </c>
      <c r="B51">
        <v>825</v>
      </c>
      <c r="C51" t="b">
        <v>1</v>
      </c>
      <c r="D51">
        <v>8112</v>
      </c>
      <c r="E51">
        <v>8200</v>
      </c>
      <c r="F51">
        <v>274.13333</v>
      </c>
      <c r="G51">
        <v>275.39999999999998</v>
      </c>
      <c r="H51">
        <v>0.99540066999999999</v>
      </c>
      <c r="I51">
        <v>4.5993559999999998E-3</v>
      </c>
      <c r="J51">
        <v>0.5011525</v>
      </c>
    </row>
    <row r="52" spans="1:10" x14ac:dyDescent="0.3">
      <c r="A52">
        <v>50</v>
      </c>
      <c r="B52">
        <v>841</v>
      </c>
      <c r="C52" t="b">
        <v>1</v>
      </c>
      <c r="D52">
        <v>8128</v>
      </c>
      <c r="E52">
        <v>8192</v>
      </c>
      <c r="F52">
        <v>273.60000000000002</v>
      </c>
      <c r="G52">
        <v>274.33334000000002</v>
      </c>
      <c r="H52">
        <v>0.99732684999999999</v>
      </c>
      <c r="I52">
        <v>2.6731617000000001E-3</v>
      </c>
      <c r="J52">
        <v>0.50066920000000004</v>
      </c>
    </row>
    <row r="53" spans="1:10" x14ac:dyDescent="0.3">
      <c r="A53">
        <v>51</v>
      </c>
      <c r="B53">
        <v>857</v>
      </c>
      <c r="C53" t="b">
        <v>1</v>
      </c>
      <c r="D53">
        <v>8104</v>
      </c>
      <c r="E53">
        <v>8176</v>
      </c>
      <c r="F53">
        <v>274.13333</v>
      </c>
      <c r="G53">
        <v>272.73334</v>
      </c>
      <c r="H53">
        <v>1.0051331999999999</v>
      </c>
      <c r="I53">
        <v>-5.1331967000000003E-3</v>
      </c>
      <c r="J53">
        <v>0.49871996000000002</v>
      </c>
    </row>
    <row r="54" spans="1:10" x14ac:dyDescent="0.3">
      <c r="A54">
        <v>52</v>
      </c>
      <c r="B54">
        <v>873</v>
      </c>
      <c r="C54" t="b">
        <v>1</v>
      </c>
      <c r="D54">
        <v>8160</v>
      </c>
      <c r="E54">
        <v>8208</v>
      </c>
      <c r="F54">
        <v>274.66665999999998</v>
      </c>
      <c r="G54">
        <v>271.66665999999998</v>
      </c>
      <c r="H54">
        <v>1.0110429999999999</v>
      </c>
      <c r="I54">
        <v>-1.1042945E-2</v>
      </c>
      <c r="J54">
        <v>0.49725443000000003</v>
      </c>
    </row>
    <row r="55" spans="1:10" x14ac:dyDescent="0.3">
      <c r="A55">
        <v>53</v>
      </c>
      <c r="B55">
        <v>888</v>
      </c>
      <c r="C55" t="b">
        <v>1</v>
      </c>
      <c r="D55">
        <v>8104</v>
      </c>
      <c r="E55">
        <v>8200</v>
      </c>
      <c r="F55">
        <v>275.2</v>
      </c>
      <c r="G55">
        <v>273.26666</v>
      </c>
      <c r="H55">
        <v>1.0070749999999999</v>
      </c>
      <c r="I55">
        <v>-7.0749560000000003E-3</v>
      </c>
      <c r="J55">
        <v>0.4982375</v>
      </c>
    </row>
    <row r="56" spans="1:10" x14ac:dyDescent="0.3">
      <c r="A56">
        <v>54</v>
      </c>
      <c r="B56">
        <v>904</v>
      </c>
      <c r="C56" t="b">
        <v>1</v>
      </c>
      <c r="D56">
        <v>8112</v>
      </c>
      <c r="E56">
        <v>8176</v>
      </c>
      <c r="F56">
        <v>275.73334</v>
      </c>
      <c r="G56">
        <v>274.86667</v>
      </c>
      <c r="H56">
        <v>1.0031531</v>
      </c>
      <c r="I56">
        <v>-3.1530512000000001E-3</v>
      </c>
      <c r="J56">
        <v>0.49921300000000002</v>
      </c>
    </row>
    <row r="57" spans="1:10" x14ac:dyDescent="0.3">
      <c r="A57">
        <v>55</v>
      </c>
      <c r="B57">
        <v>920</v>
      </c>
      <c r="C57" t="b">
        <v>1</v>
      </c>
      <c r="D57">
        <v>8136</v>
      </c>
      <c r="E57">
        <v>8200</v>
      </c>
      <c r="F57">
        <v>276.26666</v>
      </c>
      <c r="G57">
        <v>277</v>
      </c>
      <c r="H57">
        <v>0.99735260000000003</v>
      </c>
      <c r="I57">
        <v>2.6474274000000001E-3</v>
      </c>
      <c r="J57">
        <v>0.50066273999999999</v>
      </c>
    </row>
    <row r="58" spans="1:10" x14ac:dyDescent="0.3">
      <c r="A58">
        <v>56</v>
      </c>
      <c r="B58">
        <v>936</v>
      </c>
      <c r="C58" t="b">
        <v>1</v>
      </c>
      <c r="D58">
        <v>8128</v>
      </c>
      <c r="E58">
        <v>8128</v>
      </c>
      <c r="F58">
        <v>276.8</v>
      </c>
      <c r="G58">
        <v>279.13333</v>
      </c>
      <c r="H58">
        <v>0.99164074999999996</v>
      </c>
      <c r="I58">
        <v>8.3592430000000006E-3</v>
      </c>
      <c r="J58">
        <v>0.50209855999999997</v>
      </c>
    </row>
    <row r="59" spans="1:10" x14ac:dyDescent="0.3">
      <c r="A59">
        <v>57</v>
      </c>
      <c r="B59">
        <v>968</v>
      </c>
      <c r="C59" t="b">
        <v>1</v>
      </c>
      <c r="D59">
        <v>8128</v>
      </c>
      <c r="E59">
        <v>8216</v>
      </c>
      <c r="F59">
        <v>277.33334000000002</v>
      </c>
      <c r="G59">
        <v>281.26666</v>
      </c>
      <c r="H59">
        <v>0.98601570000000005</v>
      </c>
      <c r="I59">
        <v>1.3984306E-2</v>
      </c>
      <c r="J59">
        <v>0.50352070000000004</v>
      </c>
    </row>
    <row r="60" spans="1:10" x14ac:dyDescent="0.3">
      <c r="A60">
        <v>58</v>
      </c>
      <c r="B60">
        <v>984</v>
      </c>
      <c r="C60" t="b">
        <v>1</v>
      </c>
      <c r="D60">
        <v>8104</v>
      </c>
      <c r="E60">
        <v>8176</v>
      </c>
      <c r="F60">
        <v>277.33334000000002</v>
      </c>
      <c r="G60">
        <v>279.66665999999998</v>
      </c>
      <c r="H60">
        <v>0.9916568</v>
      </c>
      <c r="I60">
        <v>8.343194E-3</v>
      </c>
      <c r="J60">
        <v>0.5020945</v>
      </c>
    </row>
    <row r="61" spans="1:10" x14ac:dyDescent="0.3">
      <c r="A61">
        <v>59</v>
      </c>
      <c r="B61">
        <v>999</v>
      </c>
      <c r="C61" t="b">
        <v>1</v>
      </c>
      <c r="D61">
        <v>8128</v>
      </c>
      <c r="E61">
        <v>8192</v>
      </c>
      <c r="F61">
        <v>277.33334000000002</v>
      </c>
      <c r="G61">
        <v>279.13333</v>
      </c>
      <c r="H61">
        <v>0.99355150000000003</v>
      </c>
      <c r="I61">
        <v>6.4484872999999998E-3</v>
      </c>
      <c r="J61">
        <v>0.50161730000000004</v>
      </c>
    </row>
    <row r="62" spans="1:10" x14ac:dyDescent="0.3">
      <c r="A62">
        <v>60</v>
      </c>
      <c r="B62">
        <v>1015</v>
      </c>
      <c r="C62" t="b">
        <v>1</v>
      </c>
      <c r="D62">
        <v>8128</v>
      </c>
      <c r="E62">
        <v>8176</v>
      </c>
      <c r="F62">
        <v>277.33334000000002</v>
      </c>
      <c r="G62">
        <v>277.53332999999998</v>
      </c>
      <c r="H62">
        <v>0.99927944000000002</v>
      </c>
      <c r="I62">
        <v>7.2056819999999995E-4</v>
      </c>
      <c r="J62">
        <v>0.50018019999999996</v>
      </c>
    </row>
    <row r="63" spans="1:10" x14ac:dyDescent="0.3">
      <c r="A63">
        <v>61</v>
      </c>
      <c r="B63">
        <v>1031</v>
      </c>
      <c r="C63" t="b">
        <v>1</v>
      </c>
      <c r="D63">
        <v>8128</v>
      </c>
      <c r="E63">
        <v>8184</v>
      </c>
      <c r="F63">
        <v>278.39999999999998</v>
      </c>
      <c r="G63">
        <v>276.46667000000002</v>
      </c>
      <c r="H63">
        <v>1.0069929</v>
      </c>
      <c r="I63">
        <v>-6.9929550000000004E-3</v>
      </c>
      <c r="J63">
        <v>0.49825782000000002</v>
      </c>
    </row>
    <row r="64" spans="1:10" x14ac:dyDescent="0.3">
      <c r="A64">
        <v>62</v>
      </c>
      <c r="B64">
        <v>1047</v>
      </c>
      <c r="C64" t="b">
        <v>1</v>
      </c>
      <c r="D64">
        <v>8112</v>
      </c>
      <c r="E64">
        <v>8208</v>
      </c>
      <c r="F64">
        <v>279.46667000000002</v>
      </c>
      <c r="G64">
        <v>275.39999999999998</v>
      </c>
      <c r="H64">
        <v>1.0147664999999999</v>
      </c>
      <c r="I64">
        <v>-1.4766453000000001E-2</v>
      </c>
      <c r="J64">
        <v>0.49633542000000003</v>
      </c>
    </row>
    <row r="65" spans="1:10" x14ac:dyDescent="0.3">
      <c r="A65">
        <v>63</v>
      </c>
      <c r="B65">
        <v>1063</v>
      </c>
      <c r="C65" t="b">
        <v>1</v>
      </c>
      <c r="D65">
        <v>8096</v>
      </c>
      <c r="E65">
        <v>8192</v>
      </c>
      <c r="F65">
        <v>280.53332999999998</v>
      </c>
      <c r="G65">
        <v>275.93331999999998</v>
      </c>
      <c r="H65">
        <v>1.0166706999999999</v>
      </c>
      <c r="I65">
        <v>-1.6670717000000002E-2</v>
      </c>
      <c r="J65">
        <v>0.49586675000000002</v>
      </c>
    </row>
    <row r="66" spans="1:10" x14ac:dyDescent="0.3">
      <c r="A66">
        <v>64</v>
      </c>
      <c r="B66">
        <v>1079</v>
      </c>
      <c r="C66" t="b">
        <v>1</v>
      </c>
      <c r="D66">
        <v>8128</v>
      </c>
      <c r="E66">
        <v>8192</v>
      </c>
      <c r="F66">
        <v>281.60000000000002</v>
      </c>
      <c r="G66">
        <v>275.39999999999998</v>
      </c>
      <c r="H66">
        <v>1.0225128000000001</v>
      </c>
      <c r="I66">
        <v>-2.2512753999999999E-2</v>
      </c>
      <c r="J66">
        <v>0.49443445000000003</v>
      </c>
    </row>
    <row r="67" spans="1:10" x14ac:dyDescent="0.3">
      <c r="A67">
        <v>65</v>
      </c>
      <c r="B67">
        <v>1094</v>
      </c>
      <c r="C67" t="b">
        <v>1</v>
      </c>
      <c r="D67">
        <v>8128</v>
      </c>
      <c r="E67">
        <v>8192</v>
      </c>
      <c r="F67">
        <v>282.66665999999998</v>
      </c>
      <c r="G67">
        <v>275.39999999999998</v>
      </c>
      <c r="H67">
        <v>1.0263859</v>
      </c>
      <c r="I67">
        <v>-2.6385849999999999E-2</v>
      </c>
      <c r="J67">
        <v>0.49348944</v>
      </c>
    </row>
    <row r="68" spans="1:10" x14ac:dyDescent="0.3">
      <c r="A68">
        <v>66</v>
      </c>
      <c r="B68">
        <v>1110</v>
      </c>
      <c r="C68" t="b">
        <v>1</v>
      </c>
      <c r="D68">
        <v>8096</v>
      </c>
      <c r="E68">
        <v>8168</v>
      </c>
      <c r="F68">
        <v>282.66665999999998</v>
      </c>
      <c r="G68">
        <v>275.93331999999998</v>
      </c>
      <c r="H68">
        <v>1.024402</v>
      </c>
      <c r="I68">
        <v>-2.4402045000000001E-2</v>
      </c>
      <c r="J68">
        <v>0.49397301999999998</v>
      </c>
    </row>
    <row r="69" spans="1:10" x14ac:dyDescent="0.3">
      <c r="A69">
        <v>67</v>
      </c>
      <c r="B69">
        <v>1126</v>
      </c>
      <c r="C69" t="b">
        <v>1</v>
      </c>
      <c r="D69">
        <v>8128</v>
      </c>
      <c r="E69">
        <v>8224</v>
      </c>
      <c r="F69">
        <v>283.73334</v>
      </c>
      <c r="G69">
        <v>275.93331999999998</v>
      </c>
      <c r="H69">
        <v>1.0282677</v>
      </c>
      <c r="I69">
        <v>-2.8267765E-2</v>
      </c>
      <c r="J69">
        <v>0.49303160000000001</v>
      </c>
    </row>
    <row r="70" spans="1:10" x14ac:dyDescent="0.3">
      <c r="A70">
        <v>68</v>
      </c>
      <c r="B70">
        <v>1142</v>
      </c>
      <c r="C70" t="b">
        <v>1</v>
      </c>
      <c r="D70">
        <v>8104</v>
      </c>
      <c r="E70">
        <v>8176</v>
      </c>
      <c r="F70">
        <v>284.8</v>
      </c>
      <c r="G70">
        <v>275.39999999999998</v>
      </c>
      <c r="H70">
        <v>1.0341321000000001</v>
      </c>
      <c r="I70">
        <v>-3.413215E-2</v>
      </c>
      <c r="J70">
        <v>0.49161017000000001</v>
      </c>
    </row>
    <row r="71" spans="1:10" x14ac:dyDescent="0.3">
      <c r="A71">
        <v>69</v>
      </c>
      <c r="B71">
        <v>1158</v>
      </c>
      <c r="C71" t="b">
        <v>1</v>
      </c>
      <c r="D71">
        <v>8096</v>
      </c>
      <c r="E71">
        <v>8160</v>
      </c>
      <c r="F71">
        <v>284.26666</v>
      </c>
      <c r="G71">
        <v>274.33334000000002</v>
      </c>
      <c r="H71">
        <v>1.0362089999999999</v>
      </c>
      <c r="I71">
        <v>-3.6208940000000002E-2</v>
      </c>
      <c r="J71">
        <v>0.49110878000000002</v>
      </c>
    </row>
    <row r="72" spans="1:10" x14ac:dyDescent="0.3">
      <c r="A72">
        <v>70</v>
      </c>
      <c r="B72">
        <v>1174</v>
      </c>
      <c r="C72" t="b">
        <v>1</v>
      </c>
      <c r="D72">
        <v>8080</v>
      </c>
      <c r="E72">
        <v>8176</v>
      </c>
      <c r="F72">
        <v>283.2</v>
      </c>
      <c r="G72">
        <v>272.73334</v>
      </c>
      <c r="H72">
        <v>1.0383769</v>
      </c>
      <c r="I72">
        <v>-3.8376952999999998E-2</v>
      </c>
      <c r="J72">
        <v>0.49058639999999998</v>
      </c>
    </row>
    <row r="73" spans="1:10" x14ac:dyDescent="0.3">
      <c r="A73">
        <v>71</v>
      </c>
      <c r="B73">
        <v>1190</v>
      </c>
      <c r="C73" t="b">
        <v>1</v>
      </c>
      <c r="D73">
        <v>8128</v>
      </c>
      <c r="E73">
        <v>8208</v>
      </c>
      <c r="F73">
        <v>281.60000000000002</v>
      </c>
      <c r="G73">
        <v>271.13333</v>
      </c>
      <c r="H73">
        <v>1.0386034</v>
      </c>
      <c r="I73">
        <v>-3.8603424999999997E-2</v>
      </c>
      <c r="J73">
        <v>0.49053190000000002</v>
      </c>
    </row>
    <row r="74" spans="1:10" x14ac:dyDescent="0.3">
      <c r="A74">
        <v>72</v>
      </c>
      <c r="B74">
        <v>1206</v>
      </c>
      <c r="C74" t="b">
        <v>1</v>
      </c>
      <c r="D74">
        <v>8096</v>
      </c>
      <c r="E74">
        <v>8184</v>
      </c>
      <c r="F74">
        <v>279.46667000000002</v>
      </c>
      <c r="G74">
        <v>269.53332999999998</v>
      </c>
      <c r="H74">
        <v>1.0368539000000001</v>
      </c>
      <c r="I74">
        <v>-3.6853882999999997E-2</v>
      </c>
      <c r="J74">
        <v>0.49095324000000001</v>
      </c>
    </row>
    <row r="75" spans="1:10" x14ac:dyDescent="0.3">
      <c r="A75">
        <v>73</v>
      </c>
      <c r="B75">
        <v>1221</v>
      </c>
      <c r="C75" t="b">
        <v>1</v>
      </c>
      <c r="D75">
        <v>8104</v>
      </c>
      <c r="E75">
        <v>8200</v>
      </c>
      <c r="F75">
        <v>277.33334000000002</v>
      </c>
      <c r="G75">
        <v>270.06668000000002</v>
      </c>
      <c r="H75">
        <v>1.026907</v>
      </c>
      <c r="I75">
        <v>-2.6906920000000001E-2</v>
      </c>
      <c r="J75">
        <v>0.49336258</v>
      </c>
    </row>
    <row r="76" spans="1:10" x14ac:dyDescent="0.3">
      <c r="A76">
        <v>74</v>
      </c>
      <c r="B76">
        <v>1237</v>
      </c>
      <c r="C76" t="b">
        <v>1</v>
      </c>
      <c r="D76">
        <v>8144</v>
      </c>
      <c r="E76">
        <v>8192</v>
      </c>
      <c r="F76">
        <v>275.73334</v>
      </c>
      <c r="G76">
        <v>270.06668000000002</v>
      </c>
      <c r="H76">
        <v>1.0209824000000001</v>
      </c>
      <c r="I76">
        <v>-2.0982435000000001E-2</v>
      </c>
      <c r="J76">
        <v>0.49480881999999998</v>
      </c>
    </row>
    <row r="77" spans="1:10" x14ac:dyDescent="0.3">
      <c r="A77">
        <v>75</v>
      </c>
      <c r="B77">
        <v>1253</v>
      </c>
      <c r="C77" t="b">
        <v>1</v>
      </c>
      <c r="D77">
        <v>8152</v>
      </c>
      <c r="E77">
        <v>8200</v>
      </c>
      <c r="F77">
        <v>275.73334</v>
      </c>
      <c r="G77">
        <v>271.66665999999998</v>
      </c>
      <c r="H77">
        <v>1.0149693</v>
      </c>
      <c r="I77">
        <v>-1.4969378E-2</v>
      </c>
      <c r="J77">
        <v>0.49628544000000002</v>
      </c>
    </row>
    <row r="78" spans="1:10" x14ac:dyDescent="0.3">
      <c r="A78">
        <v>76</v>
      </c>
      <c r="B78">
        <v>1269</v>
      </c>
      <c r="C78" t="b">
        <v>1</v>
      </c>
      <c r="D78">
        <v>8136</v>
      </c>
      <c r="E78">
        <v>8192</v>
      </c>
      <c r="F78">
        <v>276.26666</v>
      </c>
      <c r="G78">
        <v>272.2</v>
      </c>
      <c r="H78">
        <v>1.0149398999999999</v>
      </c>
      <c r="I78">
        <v>-1.4939935E-2</v>
      </c>
      <c r="J78">
        <v>0.49629269999999998</v>
      </c>
    </row>
    <row r="79" spans="1:10" x14ac:dyDescent="0.3">
      <c r="A79">
        <v>77</v>
      </c>
      <c r="B79">
        <v>1285</v>
      </c>
      <c r="C79" t="b">
        <v>1</v>
      </c>
      <c r="D79">
        <v>8128</v>
      </c>
      <c r="E79">
        <v>8168</v>
      </c>
      <c r="F79">
        <v>276.8</v>
      </c>
      <c r="G79">
        <v>272.73334</v>
      </c>
      <c r="H79">
        <v>1.0149106999999999</v>
      </c>
      <c r="I79">
        <v>-1.4910720000000001E-2</v>
      </c>
      <c r="J79">
        <v>0.49629990000000002</v>
      </c>
    </row>
    <row r="80" spans="1:10" x14ac:dyDescent="0.3">
      <c r="A80">
        <v>78</v>
      </c>
      <c r="B80">
        <v>1301</v>
      </c>
      <c r="C80" t="b">
        <v>1</v>
      </c>
      <c r="D80">
        <v>8136</v>
      </c>
      <c r="E80">
        <v>8224</v>
      </c>
      <c r="F80">
        <v>277.33334000000002</v>
      </c>
      <c r="G80">
        <v>272.73334</v>
      </c>
      <c r="H80">
        <v>1.0168663</v>
      </c>
      <c r="I80">
        <v>-1.6866313000000001E-2</v>
      </c>
      <c r="J80">
        <v>0.4958187</v>
      </c>
    </row>
    <row r="81" spans="1:10" x14ac:dyDescent="0.3">
      <c r="A81">
        <v>79</v>
      </c>
      <c r="B81">
        <v>1317</v>
      </c>
      <c r="C81" t="b">
        <v>1</v>
      </c>
      <c r="D81">
        <v>8128</v>
      </c>
      <c r="E81">
        <v>8224</v>
      </c>
      <c r="F81">
        <v>277.86667</v>
      </c>
      <c r="G81">
        <v>273.26666</v>
      </c>
      <c r="H81">
        <v>1.0168334000000001</v>
      </c>
      <c r="I81">
        <v>-1.6833397E-2</v>
      </c>
      <c r="J81">
        <v>0.49582680000000001</v>
      </c>
    </row>
    <row r="82" spans="1:10" x14ac:dyDescent="0.3">
      <c r="A82">
        <v>80</v>
      </c>
      <c r="B82">
        <v>1333</v>
      </c>
      <c r="C82" t="b">
        <v>1</v>
      </c>
      <c r="D82">
        <v>8080</v>
      </c>
      <c r="E82">
        <v>8160</v>
      </c>
      <c r="F82">
        <v>277.86667</v>
      </c>
      <c r="G82">
        <v>273.26666</v>
      </c>
      <c r="H82">
        <v>1.0168334000000001</v>
      </c>
      <c r="I82">
        <v>-1.6833397E-2</v>
      </c>
      <c r="J82">
        <v>0.49582680000000001</v>
      </c>
    </row>
    <row r="83" spans="1:10" x14ac:dyDescent="0.3">
      <c r="A83">
        <v>81</v>
      </c>
      <c r="B83">
        <v>1349</v>
      </c>
      <c r="C83" t="b">
        <v>1</v>
      </c>
      <c r="D83">
        <v>8152</v>
      </c>
      <c r="E83">
        <v>8192</v>
      </c>
      <c r="F83">
        <v>278.93331999999998</v>
      </c>
      <c r="G83">
        <v>273.26666</v>
      </c>
      <c r="H83">
        <v>1.0207367000000001</v>
      </c>
      <c r="I83">
        <v>-2.0736727999999999E-2</v>
      </c>
      <c r="J83">
        <v>0.49486904999999998</v>
      </c>
    </row>
    <row r="84" spans="1:10" x14ac:dyDescent="0.3">
      <c r="A84">
        <v>82</v>
      </c>
      <c r="B84">
        <v>1364</v>
      </c>
      <c r="C84" t="b">
        <v>1</v>
      </c>
      <c r="D84">
        <v>8152</v>
      </c>
      <c r="E84">
        <v>8224</v>
      </c>
      <c r="F84">
        <v>279.46667000000002</v>
      </c>
      <c r="G84">
        <v>275.39999999999998</v>
      </c>
      <c r="H84">
        <v>1.0147664999999999</v>
      </c>
      <c r="I84">
        <v>-1.4766453000000001E-2</v>
      </c>
      <c r="J84">
        <v>0.49633542000000003</v>
      </c>
    </row>
    <row r="85" spans="1:10" x14ac:dyDescent="0.3">
      <c r="A85">
        <v>83</v>
      </c>
      <c r="B85">
        <v>1380</v>
      </c>
      <c r="C85" t="b">
        <v>1</v>
      </c>
      <c r="D85">
        <v>8112</v>
      </c>
      <c r="E85">
        <v>8200</v>
      </c>
      <c r="F85">
        <v>279.46667000000002</v>
      </c>
      <c r="G85">
        <v>275.93331999999998</v>
      </c>
      <c r="H85">
        <v>1.0128051</v>
      </c>
      <c r="I85">
        <v>-1.2805107E-2</v>
      </c>
      <c r="J85">
        <v>0.49681904999999998</v>
      </c>
    </row>
    <row r="86" spans="1:10" x14ac:dyDescent="0.3">
      <c r="A86">
        <v>84</v>
      </c>
      <c r="B86">
        <v>1396</v>
      </c>
      <c r="C86" t="b">
        <v>1</v>
      </c>
      <c r="D86">
        <v>8080</v>
      </c>
      <c r="E86">
        <v>8192</v>
      </c>
      <c r="F86">
        <v>280</v>
      </c>
      <c r="G86">
        <v>277</v>
      </c>
      <c r="H86">
        <v>1.0108303000000001</v>
      </c>
      <c r="I86">
        <v>-1.0830325E-2</v>
      </c>
      <c r="J86">
        <v>0.497307</v>
      </c>
    </row>
    <row r="87" spans="1:10" x14ac:dyDescent="0.3">
      <c r="A87">
        <v>85</v>
      </c>
      <c r="B87">
        <v>1412</v>
      </c>
      <c r="C87" t="b">
        <v>1</v>
      </c>
      <c r="D87">
        <v>8136</v>
      </c>
      <c r="E87">
        <v>8192</v>
      </c>
      <c r="F87">
        <v>282.66665999999998</v>
      </c>
      <c r="G87">
        <v>278.06668000000002</v>
      </c>
      <c r="H87">
        <v>1.0165427</v>
      </c>
      <c r="I87">
        <v>-1.6542707E-2</v>
      </c>
      <c r="J87">
        <v>0.49589824999999998</v>
      </c>
    </row>
    <row r="88" spans="1:10" x14ac:dyDescent="0.3">
      <c r="A88">
        <v>86</v>
      </c>
      <c r="B88">
        <v>1428</v>
      </c>
      <c r="C88" t="b">
        <v>1</v>
      </c>
      <c r="D88">
        <v>8112</v>
      </c>
      <c r="E88">
        <v>8176</v>
      </c>
      <c r="F88">
        <v>283.2</v>
      </c>
      <c r="G88">
        <v>279.13333</v>
      </c>
      <c r="H88">
        <v>1.0145689</v>
      </c>
      <c r="I88">
        <v>-1.4568955E-2</v>
      </c>
      <c r="J88">
        <v>0.49638408000000001</v>
      </c>
    </row>
    <row r="89" spans="1:10" x14ac:dyDescent="0.3">
      <c r="A89">
        <v>87</v>
      </c>
      <c r="B89">
        <v>1444</v>
      </c>
      <c r="C89" t="b">
        <v>1</v>
      </c>
      <c r="D89">
        <v>8144</v>
      </c>
      <c r="E89">
        <v>8200</v>
      </c>
      <c r="F89">
        <v>284.26666</v>
      </c>
      <c r="G89">
        <v>280.2</v>
      </c>
      <c r="H89">
        <v>1.0145134</v>
      </c>
      <c r="I89">
        <v>-1.4513384000000001E-2</v>
      </c>
      <c r="J89">
        <v>0.4963978</v>
      </c>
    </row>
    <row r="90" spans="1:10" x14ac:dyDescent="0.3">
      <c r="A90">
        <v>88</v>
      </c>
      <c r="B90">
        <v>1460</v>
      </c>
      <c r="C90" t="b">
        <v>1</v>
      </c>
      <c r="D90">
        <v>8120</v>
      </c>
      <c r="E90">
        <v>8224</v>
      </c>
      <c r="F90">
        <v>285.86667</v>
      </c>
      <c r="G90">
        <v>280.73334</v>
      </c>
      <c r="H90">
        <v>1.0182853999999999</v>
      </c>
      <c r="I90">
        <v>-1.8285434999999999E-2</v>
      </c>
      <c r="J90">
        <v>0.49547007999999998</v>
      </c>
    </row>
    <row r="91" spans="1:10" x14ac:dyDescent="0.3">
      <c r="A91">
        <v>89</v>
      </c>
      <c r="B91">
        <v>1476</v>
      </c>
      <c r="C91" t="b">
        <v>1</v>
      </c>
      <c r="D91">
        <v>8120</v>
      </c>
      <c r="E91">
        <v>8208</v>
      </c>
      <c r="F91">
        <v>286.93331999999998</v>
      </c>
      <c r="G91">
        <v>281.26666</v>
      </c>
      <c r="H91">
        <v>1.0201469999999999</v>
      </c>
      <c r="I91">
        <v>-2.0146918E-2</v>
      </c>
      <c r="J91">
        <v>0.49501353999999997</v>
      </c>
    </row>
    <row r="92" spans="1:10" x14ac:dyDescent="0.3">
      <c r="A92">
        <v>90</v>
      </c>
      <c r="B92">
        <v>1492</v>
      </c>
      <c r="C92" t="b">
        <v>1</v>
      </c>
      <c r="D92">
        <v>8120</v>
      </c>
      <c r="E92">
        <v>8184</v>
      </c>
      <c r="F92">
        <v>286.39999999999998</v>
      </c>
      <c r="G92">
        <v>281.26666</v>
      </c>
      <c r="H92">
        <v>1.0182507000000001</v>
      </c>
      <c r="I92">
        <v>-1.8250763E-2</v>
      </c>
      <c r="J92">
        <v>0.49547859999999999</v>
      </c>
    </row>
    <row r="93" spans="1:10" x14ac:dyDescent="0.3">
      <c r="A93">
        <v>91</v>
      </c>
      <c r="B93">
        <v>1507</v>
      </c>
      <c r="C93" t="b">
        <v>1</v>
      </c>
      <c r="D93">
        <v>8152</v>
      </c>
      <c r="E93">
        <v>8176</v>
      </c>
      <c r="F93">
        <v>285.33334000000002</v>
      </c>
      <c r="G93">
        <v>281.8</v>
      </c>
      <c r="H93">
        <v>1.0125386000000001</v>
      </c>
      <c r="I93">
        <v>-1.2538522999999999E-2</v>
      </c>
      <c r="J93">
        <v>0.49688490000000002</v>
      </c>
    </row>
    <row r="94" spans="1:10" x14ac:dyDescent="0.3">
      <c r="A94">
        <v>92</v>
      </c>
      <c r="B94">
        <v>1524</v>
      </c>
      <c r="C94" t="b">
        <v>1</v>
      </c>
      <c r="D94">
        <v>8104</v>
      </c>
      <c r="E94">
        <v>8200</v>
      </c>
      <c r="F94">
        <v>284.26666</v>
      </c>
      <c r="G94">
        <v>282.33334000000002</v>
      </c>
      <c r="H94">
        <v>1.0068476</v>
      </c>
      <c r="I94">
        <v>-6.8476470000000001E-3</v>
      </c>
      <c r="J94">
        <v>0.49829396999999997</v>
      </c>
    </row>
    <row r="95" spans="1:10" x14ac:dyDescent="0.3">
      <c r="A95">
        <v>93</v>
      </c>
      <c r="B95">
        <v>1540</v>
      </c>
      <c r="C95" t="b">
        <v>1</v>
      </c>
      <c r="D95">
        <v>8128</v>
      </c>
      <c r="E95">
        <v>8224</v>
      </c>
      <c r="F95">
        <v>283.2</v>
      </c>
      <c r="G95">
        <v>282.86667</v>
      </c>
      <c r="H95">
        <v>1.0011785</v>
      </c>
      <c r="I95">
        <v>-1.1784475E-3</v>
      </c>
      <c r="J95">
        <v>0.49970557999999998</v>
      </c>
    </row>
    <row r="96" spans="1:10" x14ac:dyDescent="0.3">
      <c r="A96">
        <v>94</v>
      </c>
      <c r="B96">
        <v>1556</v>
      </c>
      <c r="C96" t="b">
        <v>1</v>
      </c>
      <c r="D96">
        <v>8128</v>
      </c>
      <c r="E96">
        <v>8176</v>
      </c>
      <c r="F96">
        <v>282.66665999999998</v>
      </c>
      <c r="G96">
        <v>281.8</v>
      </c>
      <c r="H96">
        <v>1.0030755</v>
      </c>
      <c r="I96">
        <v>-3.0754746000000001E-3</v>
      </c>
      <c r="J96">
        <v>0.49923230000000002</v>
      </c>
    </row>
    <row r="97" spans="1:10" x14ac:dyDescent="0.3">
      <c r="A97">
        <v>95</v>
      </c>
      <c r="B97">
        <v>1572</v>
      </c>
      <c r="C97" t="b">
        <v>1</v>
      </c>
      <c r="D97">
        <v>8072</v>
      </c>
      <c r="E97">
        <v>8176</v>
      </c>
      <c r="F97">
        <v>282.66665999999998</v>
      </c>
      <c r="G97">
        <v>280.73334</v>
      </c>
      <c r="H97">
        <v>1.0068866999999999</v>
      </c>
      <c r="I97">
        <v>-6.8866746E-3</v>
      </c>
      <c r="J97">
        <v>0.49828422</v>
      </c>
    </row>
    <row r="98" spans="1:10" x14ac:dyDescent="0.3">
      <c r="A98">
        <v>96</v>
      </c>
      <c r="B98">
        <v>1588</v>
      </c>
      <c r="C98" t="b">
        <v>1</v>
      </c>
      <c r="D98">
        <v>8128</v>
      </c>
      <c r="E98">
        <v>8184</v>
      </c>
      <c r="F98">
        <v>282.66665999999998</v>
      </c>
      <c r="G98">
        <v>280.2</v>
      </c>
      <c r="H98">
        <v>1.0088031</v>
      </c>
      <c r="I98">
        <v>-8.803155E-3</v>
      </c>
      <c r="J98">
        <v>0.4978088</v>
      </c>
    </row>
    <row r="99" spans="1:10" x14ac:dyDescent="0.3">
      <c r="A99">
        <v>97</v>
      </c>
      <c r="B99">
        <v>1604</v>
      </c>
      <c r="C99" t="b">
        <v>1</v>
      </c>
      <c r="D99">
        <v>8144</v>
      </c>
      <c r="E99">
        <v>8176</v>
      </c>
      <c r="F99">
        <v>282.13333</v>
      </c>
      <c r="G99">
        <v>277</v>
      </c>
      <c r="H99">
        <v>1.0185318999999999</v>
      </c>
      <c r="I99">
        <v>-1.8531881E-2</v>
      </c>
      <c r="J99">
        <v>0.49540958000000002</v>
      </c>
    </row>
    <row r="100" spans="1:10" x14ac:dyDescent="0.3">
      <c r="A100">
        <v>98</v>
      </c>
      <c r="B100">
        <v>1620</v>
      </c>
      <c r="C100" t="b">
        <v>1</v>
      </c>
      <c r="D100">
        <v>8128</v>
      </c>
      <c r="E100">
        <v>8200</v>
      </c>
      <c r="F100">
        <v>282.13333</v>
      </c>
      <c r="G100">
        <v>275.39999999999998</v>
      </c>
      <c r="H100">
        <v>1.0244492999999999</v>
      </c>
      <c r="I100">
        <v>-2.4449301999999999E-2</v>
      </c>
      <c r="J100">
        <v>0.49396148000000001</v>
      </c>
    </row>
    <row r="101" spans="1:10" x14ac:dyDescent="0.3">
      <c r="A101">
        <v>99</v>
      </c>
      <c r="B101">
        <v>1651</v>
      </c>
      <c r="C101" t="b">
        <v>1</v>
      </c>
      <c r="D101">
        <v>8144</v>
      </c>
      <c r="E101">
        <v>8176</v>
      </c>
      <c r="F101">
        <v>283.2</v>
      </c>
      <c r="G101">
        <v>274.33334000000002</v>
      </c>
      <c r="H101">
        <v>1.0323207000000001</v>
      </c>
      <c r="I101">
        <v>-3.2320782999999999E-2</v>
      </c>
      <c r="J101">
        <v>0.49204831999999998</v>
      </c>
    </row>
    <row r="102" spans="1:10" x14ac:dyDescent="0.3">
      <c r="A102">
        <v>100</v>
      </c>
      <c r="B102">
        <v>1667</v>
      </c>
      <c r="C102" t="b">
        <v>1</v>
      </c>
      <c r="D102">
        <v>8104</v>
      </c>
      <c r="E102">
        <v>8232</v>
      </c>
      <c r="F102">
        <v>282.66665999999998</v>
      </c>
      <c r="G102">
        <v>273.8</v>
      </c>
      <c r="H102">
        <v>1.0323838000000001</v>
      </c>
      <c r="I102">
        <v>-3.2383743999999999E-2</v>
      </c>
      <c r="J102">
        <v>0.49203302999999998</v>
      </c>
    </row>
    <row r="103" spans="1:10" x14ac:dyDescent="0.3">
      <c r="A103">
        <v>101</v>
      </c>
      <c r="B103">
        <v>1683</v>
      </c>
      <c r="C103" t="b">
        <v>1</v>
      </c>
      <c r="D103">
        <v>8128</v>
      </c>
      <c r="E103">
        <v>8200</v>
      </c>
      <c r="F103">
        <v>283.73334</v>
      </c>
      <c r="G103">
        <v>274.33334000000002</v>
      </c>
      <c r="H103">
        <v>1.0342648000000001</v>
      </c>
      <c r="I103">
        <v>-3.4264863E-2</v>
      </c>
      <c r="J103">
        <v>0.49157810000000002</v>
      </c>
    </row>
    <row r="104" spans="1:10" x14ac:dyDescent="0.3">
      <c r="A104">
        <v>102</v>
      </c>
      <c r="B104">
        <v>1699</v>
      </c>
      <c r="C104" t="b">
        <v>1</v>
      </c>
      <c r="D104">
        <v>8128</v>
      </c>
      <c r="E104">
        <v>8152</v>
      </c>
      <c r="F104">
        <v>284.8</v>
      </c>
      <c r="G104">
        <v>274.86667</v>
      </c>
      <c r="H104">
        <v>1.0361387</v>
      </c>
      <c r="I104">
        <v>-3.6138683999999997E-2</v>
      </c>
      <c r="J104">
        <v>0.4911257</v>
      </c>
    </row>
    <row r="105" spans="1:10" x14ac:dyDescent="0.3">
      <c r="A105">
        <v>103</v>
      </c>
      <c r="B105">
        <v>1715</v>
      </c>
      <c r="C105" t="b">
        <v>1</v>
      </c>
      <c r="D105">
        <v>8096</v>
      </c>
      <c r="E105">
        <v>8224</v>
      </c>
      <c r="F105">
        <v>285.33334000000002</v>
      </c>
      <c r="G105">
        <v>275.39999999999998</v>
      </c>
      <c r="H105">
        <v>1.0360688</v>
      </c>
      <c r="I105">
        <v>-3.606881E-2</v>
      </c>
      <c r="J105">
        <v>0.49114254000000002</v>
      </c>
    </row>
    <row r="106" spans="1:10" x14ac:dyDescent="0.3">
      <c r="A106">
        <v>104</v>
      </c>
      <c r="B106">
        <v>1732</v>
      </c>
      <c r="C106" t="b">
        <v>1</v>
      </c>
      <c r="D106">
        <v>8152</v>
      </c>
      <c r="E106">
        <v>8224</v>
      </c>
      <c r="F106">
        <v>285.86667</v>
      </c>
      <c r="G106">
        <v>277</v>
      </c>
      <c r="H106">
        <v>1.0320096000000001</v>
      </c>
      <c r="I106">
        <v>-3.2009635000000002E-2</v>
      </c>
      <c r="J106">
        <v>0.49212362999999998</v>
      </c>
    </row>
    <row r="107" spans="1:10" x14ac:dyDescent="0.3">
      <c r="A107">
        <v>105</v>
      </c>
      <c r="B107">
        <v>1747</v>
      </c>
      <c r="C107" t="b">
        <v>1</v>
      </c>
      <c r="D107">
        <v>8112</v>
      </c>
      <c r="E107">
        <v>8160</v>
      </c>
      <c r="F107">
        <v>286.39999999999998</v>
      </c>
      <c r="G107">
        <v>277</v>
      </c>
      <c r="H107">
        <v>1.033935</v>
      </c>
      <c r="I107">
        <v>-3.3934996000000002E-2</v>
      </c>
      <c r="J107">
        <v>0.49165776</v>
      </c>
    </row>
    <row r="108" spans="1:10" x14ac:dyDescent="0.3">
      <c r="A108">
        <v>106</v>
      </c>
      <c r="B108">
        <v>1763</v>
      </c>
      <c r="C108" t="b">
        <v>1</v>
      </c>
      <c r="D108">
        <v>8128</v>
      </c>
      <c r="E108">
        <v>8176</v>
      </c>
      <c r="F108">
        <v>286.93331999999998</v>
      </c>
      <c r="G108">
        <v>275.39999999999998</v>
      </c>
      <c r="H108">
        <v>1.0418784999999999</v>
      </c>
      <c r="I108">
        <v>-4.1878449999999998E-2</v>
      </c>
      <c r="J108">
        <v>0.48974509999999999</v>
      </c>
    </row>
    <row r="109" spans="1:10" x14ac:dyDescent="0.3">
      <c r="A109">
        <v>107</v>
      </c>
      <c r="B109">
        <v>1779</v>
      </c>
      <c r="C109" t="b">
        <v>1</v>
      </c>
      <c r="D109">
        <v>8152</v>
      </c>
      <c r="E109">
        <v>8192</v>
      </c>
      <c r="F109">
        <v>287.46667000000002</v>
      </c>
      <c r="G109">
        <v>274.86667</v>
      </c>
      <c r="H109">
        <v>1.0458403999999999</v>
      </c>
      <c r="I109">
        <v>-4.5840430000000001E-2</v>
      </c>
      <c r="J109">
        <v>0.48879665</v>
      </c>
    </row>
    <row r="110" spans="1:10" x14ac:dyDescent="0.3">
      <c r="A110">
        <v>108</v>
      </c>
      <c r="B110">
        <v>1795</v>
      </c>
      <c r="C110" t="b">
        <v>1</v>
      </c>
      <c r="D110">
        <v>8152</v>
      </c>
      <c r="E110">
        <v>8200</v>
      </c>
      <c r="F110">
        <v>289.60000000000002</v>
      </c>
      <c r="G110">
        <v>274.33334000000002</v>
      </c>
      <c r="H110">
        <v>1.05565</v>
      </c>
      <c r="I110">
        <v>-5.5650044000000003E-2</v>
      </c>
      <c r="J110">
        <v>0.48646410000000001</v>
      </c>
    </row>
    <row r="111" spans="1:10" x14ac:dyDescent="0.3">
      <c r="A111">
        <v>109</v>
      </c>
      <c r="B111">
        <v>1811</v>
      </c>
      <c r="C111" t="b">
        <v>1</v>
      </c>
      <c r="D111">
        <v>8104</v>
      </c>
      <c r="E111">
        <v>8208</v>
      </c>
      <c r="F111">
        <v>289.60000000000002</v>
      </c>
      <c r="G111">
        <v>274.86667</v>
      </c>
      <c r="H111">
        <v>1.0536017</v>
      </c>
      <c r="I111">
        <v>-5.3601759999999998E-2</v>
      </c>
      <c r="J111">
        <v>0.48694932000000002</v>
      </c>
    </row>
    <row r="112" spans="1:10" x14ac:dyDescent="0.3">
      <c r="A112">
        <v>110</v>
      </c>
      <c r="B112">
        <v>1827</v>
      </c>
      <c r="C112" t="b">
        <v>1</v>
      </c>
      <c r="D112">
        <v>8120</v>
      </c>
      <c r="E112">
        <v>8224</v>
      </c>
      <c r="F112">
        <v>289.60000000000002</v>
      </c>
      <c r="G112">
        <v>276.46667000000002</v>
      </c>
      <c r="H112">
        <v>1.0475042000000001</v>
      </c>
      <c r="I112">
        <v>-4.7504213000000003E-2</v>
      </c>
      <c r="J112">
        <v>0.48839949999999999</v>
      </c>
    </row>
    <row r="113" spans="1:10" x14ac:dyDescent="0.3">
      <c r="A113">
        <v>111</v>
      </c>
      <c r="B113">
        <v>1843</v>
      </c>
      <c r="C113" t="b">
        <v>1</v>
      </c>
      <c r="D113">
        <v>8120</v>
      </c>
      <c r="E113">
        <v>8200</v>
      </c>
      <c r="F113">
        <v>289.06668000000002</v>
      </c>
      <c r="G113">
        <v>277.53332999999998</v>
      </c>
      <c r="H113">
        <v>1.0415566000000001</v>
      </c>
      <c r="I113">
        <v>-4.1556652999999999E-2</v>
      </c>
      <c r="J113">
        <v>0.48982232999999997</v>
      </c>
    </row>
    <row r="114" spans="1:10" x14ac:dyDescent="0.3">
      <c r="A114">
        <v>112</v>
      </c>
      <c r="B114">
        <v>1859</v>
      </c>
      <c r="C114" t="b">
        <v>1</v>
      </c>
      <c r="D114">
        <v>8104</v>
      </c>
      <c r="E114">
        <v>8176</v>
      </c>
      <c r="F114">
        <v>288.53332999999998</v>
      </c>
      <c r="G114">
        <v>279.13333</v>
      </c>
      <c r="H114">
        <v>1.0336757000000001</v>
      </c>
      <c r="I114">
        <v>-3.367564E-2</v>
      </c>
      <c r="J114">
        <v>0.49172052999999999</v>
      </c>
    </row>
    <row r="115" spans="1:10" x14ac:dyDescent="0.3">
      <c r="A115">
        <v>113</v>
      </c>
      <c r="B115">
        <v>1875</v>
      </c>
      <c r="C115" t="b">
        <v>1</v>
      </c>
      <c r="D115">
        <v>8128</v>
      </c>
      <c r="E115">
        <v>8200</v>
      </c>
      <c r="F115">
        <v>288</v>
      </c>
      <c r="G115">
        <v>280.73334</v>
      </c>
      <c r="H115">
        <v>1.0258845999999999</v>
      </c>
      <c r="I115">
        <v>-2.5884572000000002E-2</v>
      </c>
      <c r="J115">
        <v>0.49361154000000002</v>
      </c>
    </row>
    <row r="116" spans="1:10" x14ac:dyDescent="0.3">
      <c r="A116">
        <v>114</v>
      </c>
      <c r="B116">
        <v>1890</v>
      </c>
      <c r="C116" t="b">
        <v>1</v>
      </c>
      <c r="D116">
        <v>8136</v>
      </c>
      <c r="E116">
        <v>8224</v>
      </c>
      <c r="F116">
        <v>287.46667000000002</v>
      </c>
      <c r="G116">
        <v>282.33334000000002</v>
      </c>
      <c r="H116">
        <v>1.0181818</v>
      </c>
      <c r="I116">
        <v>-1.818181E-2</v>
      </c>
      <c r="J116">
        <v>0.49549546999999999</v>
      </c>
    </row>
    <row r="117" spans="1:10" x14ac:dyDescent="0.3">
      <c r="A117">
        <v>115</v>
      </c>
      <c r="B117">
        <v>1906</v>
      </c>
      <c r="C117" t="b">
        <v>1</v>
      </c>
      <c r="D117">
        <v>8104</v>
      </c>
      <c r="E117">
        <v>8176</v>
      </c>
      <c r="F117">
        <v>286.93331999999998</v>
      </c>
      <c r="G117">
        <v>283.39999999999998</v>
      </c>
      <c r="H117">
        <v>1.0124675999999999</v>
      </c>
      <c r="I117">
        <v>-1.24676265E-2</v>
      </c>
      <c r="J117">
        <v>0.49690240000000002</v>
      </c>
    </row>
    <row r="118" spans="1:10" x14ac:dyDescent="0.3">
      <c r="A118">
        <v>116</v>
      </c>
      <c r="B118">
        <v>1922</v>
      </c>
      <c r="C118" t="b">
        <v>1</v>
      </c>
      <c r="D118">
        <v>8096</v>
      </c>
      <c r="E118">
        <v>8200</v>
      </c>
      <c r="F118">
        <v>285.33334000000002</v>
      </c>
      <c r="G118">
        <v>283.39999999999998</v>
      </c>
      <c r="H118">
        <v>1.0068220000000001</v>
      </c>
      <c r="I118">
        <v>-6.8219815999999997E-3</v>
      </c>
      <c r="J118">
        <v>0.49830029999999997</v>
      </c>
    </row>
    <row r="119" spans="1:10" x14ac:dyDescent="0.3">
      <c r="A119">
        <v>117</v>
      </c>
      <c r="B119">
        <v>1938</v>
      </c>
      <c r="C119" t="b">
        <v>1</v>
      </c>
      <c r="D119">
        <v>8104</v>
      </c>
      <c r="E119">
        <v>8168</v>
      </c>
      <c r="F119">
        <v>283.73334</v>
      </c>
      <c r="G119">
        <v>283.39999999999998</v>
      </c>
      <c r="H119">
        <v>1.0011762</v>
      </c>
      <c r="I119">
        <v>-1.1762298E-3</v>
      </c>
      <c r="J119">
        <v>0.49970615000000002</v>
      </c>
    </row>
    <row r="120" spans="1:10" x14ac:dyDescent="0.3">
      <c r="A120">
        <v>118</v>
      </c>
      <c r="B120">
        <v>1954</v>
      </c>
      <c r="C120" t="b">
        <v>1</v>
      </c>
      <c r="D120">
        <v>8144</v>
      </c>
      <c r="E120">
        <v>8224</v>
      </c>
      <c r="F120">
        <v>282.13333</v>
      </c>
      <c r="G120">
        <v>283.39999999999998</v>
      </c>
      <c r="H120">
        <v>0.99553049999999998</v>
      </c>
      <c r="I120">
        <v>4.4695222999999997E-3</v>
      </c>
      <c r="J120">
        <v>0.50111989999999995</v>
      </c>
    </row>
    <row r="121" spans="1:10" x14ac:dyDescent="0.3">
      <c r="A121">
        <v>119</v>
      </c>
      <c r="B121">
        <v>1971</v>
      </c>
      <c r="C121" t="b">
        <v>1</v>
      </c>
      <c r="D121">
        <v>8128</v>
      </c>
      <c r="E121">
        <v>8216</v>
      </c>
      <c r="F121">
        <v>280.53332999999998</v>
      </c>
      <c r="G121">
        <v>281.8</v>
      </c>
      <c r="H121">
        <v>0.99550510000000003</v>
      </c>
      <c r="I121">
        <v>4.4948994000000003E-3</v>
      </c>
      <c r="J121">
        <v>0.50112619999999997</v>
      </c>
    </row>
    <row r="122" spans="1:10" x14ac:dyDescent="0.3">
      <c r="A122">
        <v>120</v>
      </c>
      <c r="B122">
        <v>2002</v>
      </c>
      <c r="C122" t="b">
        <v>1</v>
      </c>
      <c r="D122">
        <v>8144</v>
      </c>
      <c r="E122">
        <v>8224</v>
      </c>
      <c r="F122">
        <v>280.53332999999998</v>
      </c>
      <c r="G122">
        <v>282.86667</v>
      </c>
      <c r="H122">
        <v>0.9917511</v>
      </c>
      <c r="I122">
        <v>8.2489169999999997E-3</v>
      </c>
      <c r="J122">
        <v>0.50207069999999998</v>
      </c>
    </row>
    <row r="123" spans="1:10" x14ac:dyDescent="0.3">
      <c r="A123">
        <v>121</v>
      </c>
      <c r="B123">
        <v>2018</v>
      </c>
      <c r="C123" t="b">
        <v>1</v>
      </c>
      <c r="D123">
        <v>8112</v>
      </c>
      <c r="E123">
        <v>8224</v>
      </c>
      <c r="F123">
        <v>280.53332999999998</v>
      </c>
      <c r="G123">
        <v>286.06668000000002</v>
      </c>
      <c r="H123">
        <v>0.98065709999999995</v>
      </c>
      <c r="I123">
        <v>1.9342887999999999E-2</v>
      </c>
      <c r="J123">
        <v>0.50488299999999997</v>
      </c>
    </row>
    <row r="124" spans="1:10" x14ac:dyDescent="0.3">
      <c r="A124">
        <v>122</v>
      </c>
      <c r="B124">
        <v>2034</v>
      </c>
      <c r="C124" t="b">
        <v>1</v>
      </c>
      <c r="D124">
        <v>8104</v>
      </c>
      <c r="E124">
        <v>8208</v>
      </c>
      <c r="F124">
        <v>280.53332999999998</v>
      </c>
      <c r="G124">
        <v>288.2</v>
      </c>
      <c r="H124">
        <v>0.97339803000000003</v>
      </c>
      <c r="I124">
        <v>2.6601966000000001E-2</v>
      </c>
      <c r="J124">
        <v>0.50674014999999994</v>
      </c>
    </row>
    <row r="125" spans="1:10" x14ac:dyDescent="0.3">
      <c r="A125">
        <v>123</v>
      </c>
      <c r="B125">
        <v>2050</v>
      </c>
      <c r="C125" t="b">
        <v>1</v>
      </c>
      <c r="D125">
        <v>8160</v>
      </c>
      <c r="E125">
        <v>8184</v>
      </c>
      <c r="F125">
        <v>278.93331999999998</v>
      </c>
      <c r="G125">
        <v>289.8</v>
      </c>
      <c r="H125">
        <v>0.96250283999999997</v>
      </c>
      <c r="I125">
        <v>3.7497133000000002E-2</v>
      </c>
      <c r="J125">
        <v>0.50955342999999997</v>
      </c>
    </row>
    <row r="126" spans="1:10" x14ac:dyDescent="0.3">
      <c r="A126">
        <v>124</v>
      </c>
      <c r="B126">
        <v>2065</v>
      </c>
      <c r="C126" t="b">
        <v>1</v>
      </c>
      <c r="D126">
        <v>8136</v>
      </c>
      <c r="E126">
        <v>8224</v>
      </c>
      <c r="F126">
        <v>279.46667000000002</v>
      </c>
      <c r="G126">
        <v>291.93331999999998</v>
      </c>
      <c r="H126">
        <v>0.95729624999999996</v>
      </c>
      <c r="I126">
        <v>4.2703739999999997E-2</v>
      </c>
      <c r="J126">
        <v>0.51090884000000003</v>
      </c>
    </row>
    <row r="127" spans="1:10" x14ac:dyDescent="0.3">
      <c r="A127">
        <v>125</v>
      </c>
      <c r="B127">
        <v>2097</v>
      </c>
      <c r="C127" t="b">
        <v>1</v>
      </c>
      <c r="D127">
        <v>8136</v>
      </c>
      <c r="E127">
        <v>8200</v>
      </c>
      <c r="F127">
        <v>280</v>
      </c>
      <c r="G127">
        <v>292.46667000000002</v>
      </c>
      <c r="H127">
        <v>0.95737404000000004</v>
      </c>
      <c r="I127">
        <v>4.2625967000000001E-2</v>
      </c>
      <c r="J127">
        <v>0.51088860000000003</v>
      </c>
    </row>
    <row r="128" spans="1:10" x14ac:dyDescent="0.3">
      <c r="A128">
        <v>126</v>
      </c>
      <c r="B128">
        <v>2113</v>
      </c>
      <c r="C128" t="b">
        <v>1</v>
      </c>
      <c r="D128">
        <v>8144</v>
      </c>
      <c r="E128">
        <v>8200</v>
      </c>
      <c r="F128">
        <v>281.06668000000002</v>
      </c>
      <c r="G128">
        <v>292.46667000000002</v>
      </c>
      <c r="H128">
        <v>0.96102124</v>
      </c>
      <c r="I128">
        <v>3.8978777999999999E-2</v>
      </c>
      <c r="J128">
        <v>0.50993840000000001</v>
      </c>
    </row>
    <row r="129" spans="1:10" x14ac:dyDescent="0.3">
      <c r="A129">
        <v>127</v>
      </c>
      <c r="B129">
        <v>2129</v>
      </c>
      <c r="C129" t="b">
        <v>1</v>
      </c>
      <c r="D129">
        <v>8136</v>
      </c>
      <c r="E129">
        <v>8200</v>
      </c>
      <c r="F129">
        <v>282.13333</v>
      </c>
      <c r="G129">
        <v>292.46667000000002</v>
      </c>
      <c r="H129">
        <v>0.96466832999999996</v>
      </c>
      <c r="I129">
        <v>3.5331696000000003E-2</v>
      </c>
      <c r="J129">
        <v>0.50899179999999999</v>
      </c>
    </row>
    <row r="130" spans="1:10" x14ac:dyDescent="0.3">
      <c r="A130">
        <v>128</v>
      </c>
      <c r="B130">
        <v>2145</v>
      </c>
      <c r="C130" t="b">
        <v>1</v>
      </c>
      <c r="D130">
        <v>8144</v>
      </c>
      <c r="E130">
        <v>8208</v>
      </c>
      <c r="F130">
        <v>283.2</v>
      </c>
      <c r="G130">
        <v>292.46667000000002</v>
      </c>
      <c r="H130">
        <v>0.9683155</v>
      </c>
      <c r="I130">
        <v>3.1684507000000001E-2</v>
      </c>
      <c r="J130">
        <v>0.50804864999999999</v>
      </c>
    </row>
    <row r="131" spans="1:10" x14ac:dyDescent="0.3">
      <c r="A131">
        <v>129</v>
      </c>
      <c r="B131">
        <v>2161</v>
      </c>
      <c r="C131" t="b">
        <v>1</v>
      </c>
      <c r="D131">
        <v>8128</v>
      </c>
      <c r="E131">
        <v>8192</v>
      </c>
      <c r="F131">
        <v>284.26666</v>
      </c>
      <c r="G131">
        <v>292.46667000000002</v>
      </c>
      <c r="H131">
        <v>0.97196260000000001</v>
      </c>
      <c r="I131">
        <v>2.8037422999999999E-2</v>
      </c>
      <c r="J131">
        <v>0.50710900000000003</v>
      </c>
    </row>
    <row r="132" spans="1:10" x14ac:dyDescent="0.3">
      <c r="A132">
        <v>130</v>
      </c>
      <c r="B132">
        <v>2177</v>
      </c>
      <c r="C132" t="b">
        <v>1</v>
      </c>
      <c r="D132">
        <v>8128</v>
      </c>
      <c r="E132">
        <v>8224</v>
      </c>
      <c r="F132">
        <v>285.33334000000002</v>
      </c>
      <c r="G132">
        <v>292.46667000000002</v>
      </c>
      <c r="H132">
        <v>0.97560979999999997</v>
      </c>
      <c r="I132">
        <v>2.4390235999999999E-2</v>
      </c>
      <c r="J132">
        <v>0.50617283999999996</v>
      </c>
    </row>
    <row r="133" spans="1:10" x14ac:dyDescent="0.3">
      <c r="A133">
        <v>131</v>
      </c>
      <c r="B133">
        <v>2193</v>
      </c>
      <c r="C133" t="b">
        <v>1</v>
      </c>
      <c r="D133">
        <v>8112</v>
      </c>
      <c r="E133">
        <v>8200</v>
      </c>
      <c r="F133">
        <v>286.93331999999998</v>
      </c>
      <c r="G133">
        <v>292.46667000000002</v>
      </c>
      <c r="H133">
        <v>0.98108039999999996</v>
      </c>
      <c r="I133">
        <v>1.8919610999999999E-2</v>
      </c>
      <c r="J133">
        <v>0.50477505</v>
      </c>
    </row>
    <row r="134" spans="1:10" x14ac:dyDescent="0.3">
      <c r="A134">
        <v>132</v>
      </c>
      <c r="B134">
        <v>2208</v>
      </c>
      <c r="C134" t="b">
        <v>1</v>
      </c>
      <c r="D134">
        <v>8128</v>
      </c>
      <c r="E134">
        <v>8192</v>
      </c>
      <c r="F134">
        <v>288.53332999999998</v>
      </c>
      <c r="G134">
        <v>292.46667000000002</v>
      </c>
      <c r="H134">
        <v>0.98655110000000001</v>
      </c>
      <c r="I134">
        <v>1.3448880999999999E-2</v>
      </c>
      <c r="J134">
        <v>0.50338499999999997</v>
      </c>
    </row>
    <row r="135" spans="1:10" x14ac:dyDescent="0.3">
      <c r="A135">
        <v>133</v>
      </c>
      <c r="B135">
        <v>2224</v>
      </c>
      <c r="C135" t="b">
        <v>1</v>
      </c>
      <c r="D135">
        <v>8136</v>
      </c>
      <c r="E135">
        <v>8232</v>
      </c>
      <c r="F135">
        <v>290.13333</v>
      </c>
      <c r="G135">
        <v>292.46667000000002</v>
      </c>
      <c r="H135">
        <v>0.99202186000000003</v>
      </c>
      <c r="I135">
        <v>7.9781520000000005E-3</v>
      </c>
      <c r="J135">
        <v>0.50200254</v>
      </c>
    </row>
    <row r="136" spans="1:10" x14ac:dyDescent="0.3">
      <c r="A136">
        <v>134</v>
      </c>
      <c r="B136">
        <v>2240</v>
      </c>
      <c r="C136" t="b">
        <v>1</v>
      </c>
      <c r="D136">
        <v>8128</v>
      </c>
      <c r="E136">
        <v>8160</v>
      </c>
      <c r="F136">
        <v>291.73334</v>
      </c>
      <c r="G136">
        <v>292.46667000000002</v>
      </c>
      <c r="H136">
        <v>0.99749255000000003</v>
      </c>
      <c r="I136">
        <v>2.5074221000000001E-3</v>
      </c>
      <c r="J136">
        <v>0.50062764000000004</v>
      </c>
    </row>
    <row r="137" spans="1:10" x14ac:dyDescent="0.3">
      <c r="A137">
        <v>135</v>
      </c>
      <c r="B137">
        <v>2256</v>
      </c>
      <c r="C137" t="b">
        <v>1</v>
      </c>
      <c r="D137">
        <v>8088</v>
      </c>
      <c r="E137">
        <v>8184</v>
      </c>
      <c r="F137">
        <v>291.73334</v>
      </c>
      <c r="G137">
        <v>290.86667</v>
      </c>
      <c r="H137">
        <v>1.0029796</v>
      </c>
      <c r="I137">
        <v>-2.9796083E-3</v>
      </c>
      <c r="J137">
        <v>0.49925621999999997</v>
      </c>
    </row>
    <row r="138" spans="1:10" x14ac:dyDescent="0.3">
      <c r="A138">
        <v>136</v>
      </c>
      <c r="B138">
        <v>2272</v>
      </c>
      <c r="C138" t="b">
        <v>1</v>
      </c>
      <c r="D138">
        <v>8120</v>
      </c>
      <c r="E138">
        <v>8224</v>
      </c>
      <c r="F138">
        <v>291.73334</v>
      </c>
      <c r="G138">
        <v>288.73334</v>
      </c>
      <c r="H138">
        <v>1.0103902</v>
      </c>
      <c r="I138">
        <v>-1.039021E-2</v>
      </c>
      <c r="J138">
        <v>0.49741586999999998</v>
      </c>
    </row>
    <row r="139" spans="1:10" x14ac:dyDescent="0.3">
      <c r="A139">
        <v>137</v>
      </c>
      <c r="B139">
        <v>2288</v>
      </c>
      <c r="C139" t="b">
        <v>1</v>
      </c>
      <c r="D139">
        <v>8128</v>
      </c>
      <c r="E139">
        <v>8224</v>
      </c>
      <c r="F139">
        <v>291.73334</v>
      </c>
      <c r="G139">
        <v>288.73334</v>
      </c>
      <c r="H139">
        <v>1.0103902</v>
      </c>
      <c r="I139">
        <v>-1.039021E-2</v>
      </c>
      <c r="J139">
        <v>0.49741586999999998</v>
      </c>
    </row>
    <row r="140" spans="1:10" x14ac:dyDescent="0.3">
      <c r="A140">
        <v>138</v>
      </c>
      <c r="B140">
        <v>2304</v>
      </c>
      <c r="C140" t="b">
        <v>1</v>
      </c>
      <c r="D140">
        <v>8128</v>
      </c>
      <c r="E140">
        <v>8200</v>
      </c>
      <c r="F140">
        <v>291.73334</v>
      </c>
      <c r="G140">
        <v>287.66665999999998</v>
      </c>
      <c r="H140">
        <v>1.0141367999999999</v>
      </c>
      <c r="I140">
        <v>-1.4136782000000001E-2</v>
      </c>
      <c r="J140">
        <v>0.4964906</v>
      </c>
    </row>
    <row r="141" spans="1:10" x14ac:dyDescent="0.3">
      <c r="A141">
        <v>139</v>
      </c>
      <c r="B141">
        <v>2320</v>
      </c>
      <c r="C141" t="b">
        <v>1</v>
      </c>
      <c r="D141">
        <v>8128</v>
      </c>
      <c r="E141">
        <v>8200</v>
      </c>
      <c r="F141">
        <v>291.2</v>
      </c>
      <c r="G141">
        <v>286.06668000000002</v>
      </c>
      <c r="H141">
        <v>1.0179446000000001</v>
      </c>
      <c r="I141">
        <v>-1.7944528000000001E-2</v>
      </c>
      <c r="J141">
        <v>0.49555373000000003</v>
      </c>
    </row>
    <row r="142" spans="1:10" x14ac:dyDescent="0.3">
      <c r="A142">
        <v>140</v>
      </c>
      <c r="B142">
        <v>2336</v>
      </c>
      <c r="C142" t="b">
        <v>1</v>
      </c>
      <c r="D142">
        <v>8128</v>
      </c>
      <c r="E142">
        <v>8200</v>
      </c>
      <c r="F142">
        <v>290.66665999999998</v>
      </c>
      <c r="G142">
        <v>285.53332999999998</v>
      </c>
      <c r="H142">
        <v>1.0179781000000001</v>
      </c>
      <c r="I142">
        <v>-1.7978046000000001E-2</v>
      </c>
      <c r="J142">
        <v>0.49554556999999999</v>
      </c>
    </row>
    <row r="143" spans="1:10" x14ac:dyDescent="0.3">
      <c r="A143">
        <v>141</v>
      </c>
      <c r="B143">
        <v>2352</v>
      </c>
      <c r="C143" t="b">
        <v>1</v>
      </c>
      <c r="D143">
        <v>8096</v>
      </c>
      <c r="E143">
        <v>8192</v>
      </c>
      <c r="F143">
        <v>290.13333</v>
      </c>
      <c r="G143">
        <v>285.53332999999998</v>
      </c>
      <c r="H143">
        <v>1.0161102</v>
      </c>
      <c r="I143">
        <v>-1.6110224999999999E-2</v>
      </c>
      <c r="J143">
        <v>0.49600464</v>
      </c>
    </row>
    <row r="144" spans="1:10" x14ac:dyDescent="0.3">
      <c r="A144">
        <v>142</v>
      </c>
      <c r="B144">
        <v>2383</v>
      </c>
      <c r="C144" t="b">
        <v>1</v>
      </c>
      <c r="D144">
        <v>8144</v>
      </c>
      <c r="E144">
        <v>8184</v>
      </c>
      <c r="F144">
        <v>289.60000000000002</v>
      </c>
      <c r="G144">
        <v>285.53332999999998</v>
      </c>
      <c r="H144">
        <v>1.0142424000000001</v>
      </c>
      <c r="I144">
        <v>-1.4242404E-2</v>
      </c>
      <c r="J144">
        <v>0.49646459999999998</v>
      </c>
    </row>
    <row r="145" spans="1:10" x14ac:dyDescent="0.3">
      <c r="A145">
        <v>143</v>
      </c>
      <c r="B145">
        <v>2415</v>
      </c>
      <c r="C145" t="b">
        <v>1</v>
      </c>
      <c r="D145">
        <v>8096</v>
      </c>
      <c r="E145">
        <v>8216</v>
      </c>
      <c r="F145">
        <v>289.06668000000002</v>
      </c>
      <c r="G145">
        <v>285.53332999999998</v>
      </c>
      <c r="H145">
        <v>1.0123746</v>
      </c>
      <c r="I145">
        <v>-1.2374583E-2</v>
      </c>
      <c r="J145">
        <v>0.49692540000000002</v>
      </c>
    </row>
    <row r="146" spans="1:10" x14ac:dyDescent="0.3">
      <c r="A146">
        <v>144</v>
      </c>
      <c r="B146">
        <v>2431</v>
      </c>
      <c r="C146" t="b">
        <v>1</v>
      </c>
      <c r="D146">
        <v>8128</v>
      </c>
      <c r="E146">
        <v>8200</v>
      </c>
      <c r="F146">
        <v>288.53332999999998</v>
      </c>
      <c r="G146">
        <v>285.53332999999998</v>
      </c>
      <c r="H146">
        <v>1.0105066</v>
      </c>
      <c r="I146">
        <v>-1.0506654000000001E-2</v>
      </c>
      <c r="J146">
        <v>0.49738705</v>
      </c>
    </row>
    <row r="147" spans="1:10" x14ac:dyDescent="0.3">
      <c r="A147">
        <v>145</v>
      </c>
      <c r="B147">
        <v>2447</v>
      </c>
      <c r="C147" t="b">
        <v>1</v>
      </c>
      <c r="D147">
        <v>8144</v>
      </c>
      <c r="E147">
        <v>8184</v>
      </c>
      <c r="F147">
        <v>288</v>
      </c>
      <c r="G147">
        <v>285</v>
      </c>
      <c r="H147">
        <v>1.0105263</v>
      </c>
      <c r="I147">
        <v>-1.0526316000000001E-2</v>
      </c>
      <c r="J147">
        <v>0.4973822</v>
      </c>
    </row>
    <row r="148" spans="1:10" x14ac:dyDescent="0.3">
      <c r="A148">
        <v>146</v>
      </c>
      <c r="B148">
        <v>2463</v>
      </c>
      <c r="C148" t="b">
        <v>1</v>
      </c>
      <c r="D148">
        <v>8112</v>
      </c>
      <c r="E148">
        <v>8176</v>
      </c>
      <c r="F148">
        <v>288</v>
      </c>
      <c r="G148">
        <v>283.93331999999998</v>
      </c>
      <c r="H148">
        <v>1.0143226000000001</v>
      </c>
      <c r="I148">
        <v>-1.4322662E-2</v>
      </c>
      <c r="J148">
        <v>0.49644475999999998</v>
      </c>
    </row>
    <row r="149" spans="1:10" x14ac:dyDescent="0.3">
      <c r="A149">
        <v>147</v>
      </c>
      <c r="B149">
        <v>2479</v>
      </c>
      <c r="C149" t="b">
        <v>1</v>
      </c>
      <c r="D149">
        <v>8144</v>
      </c>
      <c r="E149">
        <v>8192</v>
      </c>
      <c r="F149">
        <v>288</v>
      </c>
      <c r="G149">
        <v>283.39999999999998</v>
      </c>
      <c r="H149">
        <v>1.0162315</v>
      </c>
      <c r="I149">
        <v>-1.6231498E-2</v>
      </c>
      <c r="J149">
        <v>0.49597478</v>
      </c>
    </row>
    <row r="150" spans="1:10" x14ac:dyDescent="0.3">
      <c r="A150">
        <v>148</v>
      </c>
      <c r="B150">
        <v>2495</v>
      </c>
      <c r="C150" t="b">
        <v>1</v>
      </c>
      <c r="D150">
        <v>8128</v>
      </c>
      <c r="E150">
        <v>8208</v>
      </c>
      <c r="F150">
        <v>288</v>
      </c>
      <c r="G150">
        <v>282.86667</v>
      </c>
      <c r="H150">
        <v>1.0181476</v>
      </c>
      <c r="I150">
        <v>-1.8147529999999999E-2</v>
      </c>
      <c r="J150">
        <v>0.49550387000000001</v>
      </c>
    </row>
    <row r="151" spans="1:10" x14ac:dyDescent="0.3">
      <c r="A151">
        <v>149</v>
      </c>
      <c r="B151">
        <v>2511</v>
      </c>
      <c r="C151" t="b">
        <v>1</v>
      </c>
      <c r="D151">
        <v>8096</v>
      </c>
      <c r="E151">
        <v>8168</v>
      </c>
      <c r="F151">
        <v>288</v>
      </c>
      <c r="G151">
        <v>281.8</v>
      </c>
      <c r="H151">
        <v>1.0220015</v>
      </c>
      <c r="I151">
        <v>-2.2001463999999998E-2</v>
      </c>
      <c r="J151">
        <v>0.49455949999999999</v>
      </c>
    </row>
    <row r="152" spans="1:10" x14ac:dyDescent="0.3">
      <c r="A152">
        <v>150</v>
      </c>
      <c r="B152">
        <v>2526</v>
      </c>
      <c r="C152" t="b">
        <v>1</v>
      </c>
      <c r="D152">
        <v>8112</v>
      </c>
      <c r="E152">
        <v>8200</v>
      </c>
      <c r="F152">
        <v>286.93331999999998</v>
      </c>
      <c r="G152">
        <v>281.8</v>
      </c>
      <c r="H152">
        <v>1.0182163</v>
      </c>
      <c r="I152">
        <v>-1.8216223E-2</v>
      </c>
      <c r="J152">
        <v>0.49548705999999998</v>
      </c>
    </row>
    <row r="153" spans="1:10" x14ac:dyDescent="0.3">
      <c r="A153">
        <v>151</v>
      </c>
      <c r="B153">
        <v>2543</v>
      </c>
      <c r="C153" t="b">
        <v>1</v>
      </c>
      <c r="D153">
        <v>8120</v>
      </c>
      <c r="E153">
        <v>8192</v>
      </c>
      <c r="F153">
        <v>286.39999999999998</v>
      </c>
      <c r="G153">
        <v>281.8</v>
      </c>
      <c r="H153">
        <v>1.0163237000000001</v>
      </c>
      <c r="I153">
        <v>-1.6323655999999999E-2</v>
      </c>
      <c r="J153">
        <v>0.49595215999999998</v>
      </c>
    </row>
    <row r="154" spans="1:10" x14ac:dyDescent="0.3">
      <c r="A154">
        <v>152</v>
      </c>
      <c r="B154">
        <v>2559</v>
      </c>
      <c r="C154" t="b">
        <v>1</v>
      </c>
      <c r="D154">
        <v>8152</v>
      </c>
      <c r="E154">
        <v>8192</v>
      </c>
      <c r="F154">
        <v>285.86667</v>
      </c>
      <c r="G154">
        <v>279.66665999999998</v>
      </c>
      <c r="H154">
        <v>1.0221693999999999</v>
      </c>
      <c r="I154">
        <v>-2.2169293999999999E-2</v>
      </c>
      <c r="J154">
        <v>0.49451843000000001</v>
      </c>
    </row>
    <row r="155" spans="1:10" x14ac:dyDescent="0.3">
      <c r="A155">
        <v>153</v>
      </c>
      <c r="B155">
        <v>2575</v>
      </c>
      <c r="C155" t="b">
        <v>1</v>
      </c>
      <c r="D155">
        <v>8128</v>
      </c>
      <c r="E155">
        <v>8152</v>
      </c>
      <c r="F155">
        <v>285.33334000000002</v>
      </c>
      <c r="G155">
        <v>279.13333</v>
      </c>
      <c r="H155">
        <v>1.0222116999999999</v>
      </c>
      <c r="I155">
        <v>-2.2211649999999999E-2</v>
      </c>
      <c r="J155">
        <v>0.49450810000000001</v>
      </c>
    </row>
    <row r="156" spans="1:10" x14ac:dyDescent="0.3">
      <c r="A156">
        <v>154</v>
      </c>
      <c r="B156">
        <v>2591</v>
      </c>
      <c r="C156" t="b">
        <v>1</v>
      </c>
      <c r="D156">
        <v>8152</v>
      </c>
      <c r="E156">
        <v>8208</v>
      </c>
      <c r="F156">
        <v>285.33334000000002</v>
      </c>
      <c r="G156">
        <v>278.60000000000002</v>
      </c>
      <c r="H156">
        <v>1.0241685</v>
      </c>
      <c r="I156">
        <v>-2.4168474999999998E-2</v>
      </c>
      <c r="J156">
        <v>0.49403003000000001</v>
      </c>
    </row>
    <row r="157" spans="1:10" x14ac:dyDescent="0.3">
      <c r="A157">
        <v>155</v>
      </c>
      <c r="B157">
        <v>2607</v>
      </c>
      <c r="C157" t="b">
        <v>1</v>
      </c>
      <c r="D157">
        <v>8128</v>
      </c>
      <c r="E157">
        <v>8208</v>
      </c>
      <c r="F157">
        <v>285.33334000000002</v>
      </c>
      <c r="G157">
        <v>278.06668000000002</v>
      </c>
      <c r="H157">
        <v>1.0261328000000001</v>
      </c>
      <c r="I157">
        <v>-2.6132804999999999E-2</v>
      </c>
      <c r="J157">
        <v>0.49355107999999998</v>
      </c>
    </row>
    <row r="158" spans="1:10" x14ac:dyDescent="0.3">
      <c r="A158">
        <v>156</v>
      </c>
      <c r="B158">
        <v>2622</v>
      </c>
      <c r="C158" t="b">
        <v>1</v>
      </c>
      <c r="D158">
        <v>8120</v>
      </c>
      <c r="E158">
        <v>8200</v>
      </c>
      <c r="F158">
        <v>285.33334000000002</v>
      </c>
      <c r="G158">
        <v>278.06668000000002</v>
      </c>
      <c r="H158">
        <v>1.0261328000000001</v>
      </c>
      <c r="I158">
        <v>-2.6132804999999999E-2</v>
      </c>
      <c r="J158">
        <v>0.49355107999999998</v>
      </c>
    </row>
    <row r="159" spans="1:10" x14ac:dyDescent="0.3">
      <c r="A159">
        <v>157</v>
      </c>
      <c r="B159">
        <v>2639</v>
      </c>
      <c r="C159" t="b">
        <v>1</v>
      </c>
      <c r="D159">
        <v>8136</v>
      </c>
      <c r="E159">
        <v>8176</v>
      </c>
      <c r="F159">
        <v>285.33334000000002</v>
      </c>
      <c r="G159">
        <v>278.06668000000002</v>
      </c>
      <c r="H159">
        <v>1.0261328000000001</v>
      </c>
      <c r="I159">
        <v>-2.6132804999999999E-2</v>
      </c>
      <c r="J159">
        <v>0.49355107999999998</v>
      </c>
    </row>
    <row r="160" spans="1:10" x14ac:dyDescent="0.3">
      <c r="A160">
        <v>158</v>
      </c>
      <c r="B160">
        <v>2655</v>
      </c>
      <c r="C160" t="b">
        <v>1</v>
      </c>
      <c r="D160">
        <v>8096</v>
      </c>
      <c r="E160">
        <v>8216</v>
      </c>
      <c r="F160">
        <v>285.33334000000002</v>
      </c>
      <c r="G160">
        <v>278.60000000000002</v>
      </c>
      <c r="H160">
        <v>1.0241685</v>
      </c>
      <c r="I160">
        <v>-2.4168474999999998E-2</v>
      </c>
      <c r="J160">
        <v>0.49403003000000001</v>
      </c>
    </row>
    <row r="161" spans="1:10" x14ac:dyDescent="0.3">
      <c r="A161">
        <v>159</v>
      </c>
      <c r="B161">
        <v>2671</v>
      </c>
      <c r="C161" t="b">
        <v>1</v>
      </c>
      <c r="D161">
        <v>8128</v>
      </c>
      <c r="E161">
        <v>8224</v>
      </c>
      <c r="F161">
        <v>285.33334000000002</v>
      </c>
      <c r="G161">
        <v>279.13333</v>
      </c>
      <c r="H161">
        <v>1.0222116999999999</v>
      </c>
      <c r="I161">
        <v>-2.2211649999999999E-2</v>
      </c>
      <c r="J161">
        <v>0.49450810000000001</v>
      </c>
    </row>
    <row r="162" spans="1:10" x14ac:dyDescent="0.3">
      <c r="A162">
        <v>160</v>
      </c>
      <c r="B162">
        <v>2686</v>
      </c>
      <c r="C162" t="b">
        <v>1</v>
      </c>
      <c r="D162">
        <v>8144</v>
      </c>
      <c r="E162">
        <v>8184</v>
      </c>
      <c r="F162">
        <v>285.33334000000002</v>
      </c>
      <c r="G162">
        <v>279.66665999999998</v>
      </c>
      <c r="H162">
        <v>1.0202621999999999</v>
      </c>
      <c r="I162">
        <v>-2.0262289999999999E-2</v>
      </c>
      <c r="J162">
        <v>0.49498522</v>
      </c>
    </row>
    <row r="163" spans="1:10" x14ac:dyDescent="0.3">
      <c r="A163">
        <v>161</v>
      </c>
      <c r="B163">
        <v>2703</v>
      </c>
      <c r="C163" t="b">
        <v>1</v>
      </c>
      <c r="D163">
        <v>8112</v>
      </c>
      <c r="E163">
        <v>8200</v>
      </c>
      <c r="F163">
        <v>285.33334000000002</v>
      </c>
      <c r="G163">
        <v>280.73334</v>
      </c>
      <c r="H163">
        <v>1.0163857000000001</v>
      </c>
      <c r="I163">
        <v>-1.6385678000000001E-2</v>
      </c>
      <c r="J163">
        <v>0.49593690000000001</v>
      </c>
    </row>
    <row r="164" spans="1:10" x14ac:dyDescent="0.3">
      <c r="A164">
        <v>162</v>
      </c>
      <c r="B164">
        <v>2719</v>
      </c>
      <c r="C164" t="b">
        <v>1</v>
      </c>
      <c r="D164">
        <v>8120</v>
      </c>
      <c r="E164">
        <v>8136</v>
      </c>
      <c r="F164">
        <v>284.8</v>
      </c>
      <c r="G164">
        <v>281.26666</v>
      </c>
      <c r="H164">
        <v>1.0125622000000001</v>
      </c>
      <c r="I164">
        <v>-1.2562190000000001E-2</v>
      </c>
      <c r="J164">
        <v>0.49687903999999999</v>
      </c>
    </row>
    <row r="165" spans="1:10" x14ac:dyDescent="0.3">
      <c r="A165">
        <v>163</v>
      </c>
      <c r="B165">
        <v>2735</v>
      </c>
      <c r="C165" t="b">
        <v>1</v>
      </c>
      <c r="D165">
        <v>8112</v>
      </c>
      <c r="E165">
        <v>8184</v>
      </c>
      <c r="F165">
        <v>284.26666</v>
      </c>
      <c r="G165">
        <v>280.73334</v>
      </c>
      <c r="H165">
        <v>1.012586</v>
      </c>
      <c r="I165">
        <v>-1.2586055000000001E-2</v>
      </c>
      <c r="J165">
        <v>0.49687316999999998</v>
      </c>
    </row>
    <row r="166" spans="1:10" x14ac:dyDescent="0.3">
      <c r="A166">
        <v>164</v>
      </c>
      <c r="B166">
        <v>2751</v>
      </c>
      <c r="C166" t="b">
        <v>1</v>
      </c>
      <c r="D166">
        <v>8128</v>
      </c>
      <c r="E166">
        <v>8200</v>
      </c>
      <c r="F166">
        <v>283.73334</v>
      </c>
      <c r="G166">
        <v>280.73334</v>
      </c>
      <c r="H166">
        <v>1.0106862999999999</v>
      </c>
      <c r="I166">
        <v>-1.0686298E-2</v>
      </c>
      <c r="J166">
        <v>0.49734262000000001</v>
      </c>
    </row>
    <row r="167" spans="1:10" x14ac:dyDescent="0.3">
      <c r="A167">
        <v>165</v>
      </c>
      <c r="B167">
        <v>2766</v>
      </c>
      <c r="C167" t="b">
        <v>1</v>
      </c>
      <c r="D167">
        <v>8128</v>
      </c>
      <c r="E167">
        <v>8184</v>
      </c>
      <c r="F167">
        <v>284.26666</v>
      </c>
      <c r="G167">
        <v>280.2</v>
      </c>
      <c r="H167">
        <v>1.0145134</v>
      </c>
      <c r="I167">
        <v>-1.4513384000000001E-2</v>
      </c>
      <c r="J167">
        <v>0.4963978</v>
      </c>
    </row>
    <row r="168" spans="1:10" x14ac:dyDescent="0.3">
      <c r="A168">
        <v>166</v>
      </c>
      <c r="B168">
        <v>2782</v>
      </c>
      <c r="C168" t="b">
        <v>1</v>
      </c>
      <c r="D168">
        <v>8128</v>
      </c>
      <c r="E168">
        <v>8200</v>
      </c>
      <c r="F168">
        <v>284.8</v>
      </c>
      <c r="G168">
        <v>279.66665999999998</v>
      </c>
      <c r="H168">
        <v>1.0183551</v>
      </c>
      <c r="I168">
        <v>-1.8355178E-2</v>
      </c>
      <c r="J168">
        <v>0.49545289999999997</v>
      </c>
    </row>
    <row r="169" spans="1:10" x14ac:dyDescent="0.3">
      <c r="A169">
        <v>167</v>
      </c>
      <c r="B169">
        <v>2798</v>
      </c>
      <c r="C169" t="b">
        <v>1</v>
      </c>
      <c r="D169">
        <v>8096</v>
      </c>
      <c r="E169">
        <v>8216</v>
      </c>
      <c r="F169">
        <v>285.33334000000002</v>
      </c>
      <c r="G169">
        <v>280.2</v>
      </c>
      <c r="H169">
        <v>1.0183202</v>
      </c>
      <c r="I169">
        <v>-1.8320240000000002E-2</v>
      </c>
      <c r="J169">
        <v>0.49546154999999997</v>
      </c>
    </row>
    <row r="170" spans="1:10" x14ac:dyDescent="0.3">
      <c r="A170">
        <v>168</v>
      </c>
      <c r="B170">
        <v>2814</v>
      </c>
      <c r="C170" t="b">
        <v>1</v>
      </c>
      <c r="D170">
        <v>8104</v>
      </c>
      <c r="E170">
        <v>8224</v>
      </c>
      <c r="F170">
        <v>285.86667</v>
      </c>
      <c r="G170">
        <v>280.73334</v>
      </c>
      <c r="H170">
        <v>1.0182853999999999</v>
      </c>
      <c r="I170">
        <v>-1.8285434999999999E-2</v>
      </c>
      <c r="J170">
        <v>0.49547007999999998</v>
      </c>
    </row>
    <row r="171" spans="1:10" x14ac:dyDescent="0.3">
      <c r="A171">
        <v>169</v>
      </c>
      <c r="B171">
        <v>2830</v>
      </c>
      <c r="C171" t="b">
        <v>1</v>
      </c>
      <c r="D171">
        <v>8104</v>
      </c>
      <c r="E171">
        <v>8224</v>
      </c>
      <c r="F171">
        <v>284.26666</v>
      </c>
      <c r="G171">
        <v>282.33334000000002</v>
      </c>
      <c r="H171">
        <v>1.0068476</v>
      </c>
      <c r="I171">
        <v>-6.8476470000000001E-3</v>
      </c>
      <c r="J171">
        <v>0.49829396999999997</v>
      </c>
    </row>
    <row r="172" spans="1:10" x14ac:dyDescent="0.3">
      <c r="A172">
        <v>170</v>
      </c>
      <c r="B172">
        <v>2846</v>
      </c>
      <c r="C172" t="b">
        <v>1</v>
      </c>
      <c r="D172">
        <v>8088</v>
      </c>
      <c r="E172">
        <v>8184</v>
      </c>
      <c r="F172">
        <v>282.66665999999998</v>
      </c>
      <c r="G172">
        <v>283.93331999999998</v>
      </c>
      <c r="H172">
        <v>0.9955389</v>
      </c>
      <c r="I172">
        <v>4.4611269999999996E-3</v>
      </c>
      <c r="J172">
        <v>0.50111777000000002</v>
      </c>
    </row>
    <row r="173" spans="1:10" x14ac:dyDescent="0.3">
      <c r="A173">
        <v>171</v>
      </c>
      <c r="B173">
        <v>2862</v>
      </c>
      <c r="C173" t="b">
        <v>1</v>
      </c>
      <c r="D173">
        <v>8136</v>
      </c>
      <c r="E173">
        <v>8216</v>
      </c>
      <c r="F173">
        <v>281.06668000000002</v>
      </c>
      <c r="G173">
        <v>285</v>
      </c>
      <c r="H173">
        <v>0.98619889999999999</v>
      </c>
      <c r="I173">
        <v>1.3801119000000001E-2</v>
      </c>
      <c r="J173">
        <v>0.50347430000000004</v>
      </c>
    </row>
    <row r="174" spans="1:10" x14ac:dyDescent="0.3">
      <c r="A174">
        <v>172</v>
      </c>
      <c r="B174">
        <v>2878</v>
      </c>
      <c r="C174" t="b">
        <v>1</v>
      </c>
      <c r="D174">
        <v>8088</v>
      </c>
      <c r="E174">
        <v>8200</v>
      </c>
      <c r="F174">
        <v>279.46667000000002</v>
      </c>
      <c r="G174">
        <v>286.06668000000002</v>
      </c>
      <c r="H174">
        <v>0.97692840000000003</v>
      </c>
      <c r="I174">
        <v>2.3071564999999999E-2</v>
      </c>
      <c r="J174">
        <v>0.50583524000000002</v>
      </c>
    </row>
    <row r="175" spans="1:10" x14ac:dyDescent="0.3">
      <c r="A175">
        <v>173</v>
      </c>
      <c r="B175">
        <v>2893</v>
      </c>
      <c r="C175" t="b">
        <v>1</v>
      </c>
      <c r="D175">
        <v>8104</v>
      </c>
      <c r="E175">
        <v>8176</v>
      </c>
      <c r="F175">
        <v>277.86667</v>
      </c>
      <c r="G175">
        <v>285.53332999999998</v>
      </c>
      <c r="H175">
        <v>0.97314970000000001</v>
      </c>
      <c r="I175">
        <v>2.6850303999999998E-2</v>
      </c>
      <c r="J175">
        <v>0.50680389999999997</v>
      </c>
    </row>
    <row r="176" spans="1:10" x14ac:dyDescent="0.3">
      <c r="A176">
        <v>174</v>
      </c>
      <c r="B176">
        <v>2909</v>
      </c>
      <c r="C176" t="b">
        <v>1</v>
      </c>
      <c r="D176">
        <v>8144</v>
      </c>
      <c r="E176">
        <v>8200</v>
      </c>
      <c r="F176">
        <v>276.26666</v>
      </c>
      <c r="G176">
        <v>285</v>
      </c>
      <c r="H176">
        <v>0.96935669999999996</v>
      </c>
      <c r="I176">
        <v>3.064329E-2</v>
      </c>
      <c r="J176">
        <v>0.50778000000000001</v>
      </c>
    </row>
    <row r="177" spans="1:10" x14ac:dyDescent="0.3">
      <c r="A177">
        <v>175</v>
      </c>
      <c r="B177">
        <v>2925</v>
      </c>
      <c r="C177" t="b">
        <v>1</v>
      </c>
      <c r="D177">
        <v>8128</v>
      </c>
      <c r="E177">
        <v>8168</v>
      </c>
      <c r="F177">
        <v>276.26666</v>
      </c>
      <c r="G177">
        <v>285</v>
      </c>
      <c r="H177">
        <v>0.96935669999999996</v>
      </c>
      <c r="I177">
        <v>3.064329E-2</v>
      </c>
      <c r="J177">
        <v>0.50778000000000001</v>
      </c>
    </row>
    <row r="178" spans="1:10" x14ac:dyDescent="0.3">
      <c r="A178">
        <v>176</v>
      </c>
      <c r="B178">
        <v>2941</v>
      </c>
      <c r="C178" t="b">
        <v>1</v>
      </c>
      <c r="D178">
        <v>8120</v>
      </c>
      <c r="E178">
        <v>8224</v>
      </c>
      <c r="F178">
        <v>275.73334</v>
      </c>
      <c r="G178">
        <v>285</v>
      </c>
      <c r="H178">
        <v>0.96748537000000001</v>
      </c>
      <c r="I178">
        <v>3.2514606000000001E-2</v>
      </c>
      <c r="J178">
        <v>0.50826300000000002</v>
      </c>
    </row>
    <row r="179" spans="1:10" x14ac:dyDescent="0.3">
      <c r="A179">
        <v>177</v>
      </c>
      <c r="B179">
        <v>2957</v>
      </c>
      <c r="C179" t="b">
        <v>1</v>
      </c>
      <c r="D179">
        <v>8120</v>
      </c>
      <c r="E179">
        <v>8176</v>
      </c>
      <c r="F179">
        <v>275.73334</v>
      </c>
      <c r="G179">
        <v>283.39999999999998</v>
      </c>
      <c r="H179">
        <v>0.97294760000000002</v>
      </c>
      <c r="I179">
        <v>2.7052422999999999E-2</v>
      </c>
      <c r="J179">
        <v>0.50685585</v>
      </c>
    </row>
    <row r="180" spans="1:10" x14ac:dyDescent="0.3">
      <c r="A180">
        <v>178</v>
      </c>
      <c r="B180">
        <v>2989</v>
      </c>
      <c r="C180" t="b">
        <v>1</v>
      </c>
      <c r="D180">
        <v>8144</v>
      </c>
      <c r="E180">
        <v>8136</v>
      </c>
      <c r="F180">
        <v>276.26666</v>
      </c>
      <c r="G180">
        <v>282.86667</v>
      </c>
      <c r="H180">
        <v>0.97666739999999996</v>
      </c>
      <c r="I180">
        <v>2.333257E-2</v>
      </c>
      <c r="J180">
        <v>0.50590204999999999</v>
      </c>
    </row>
    <row r="181" spans="1:10" x14ac:dyDescent="0.3">
      <c r="A181">
        <v>179</v>
      </c>
      <c r="B181">
        <v>3020</v>
      </c>
      <c r="C181" t="b">
        <v>1</v>
      </c>
      <c r="D181">
        <v>8128</v>
      </c>
      <c r="E181">
        <v>8208</v>
      </c>
      <c r="F181">
        <v>276.8</v>
      </c>
      <c r="G181">
        <v>282.33334000000002</v>
      </c>
      <c r="H181">
        <v>0.98040134000000001</v>
      </c>
      <c r="I181">
        <v>1.9598661E-2</v>
      </c>
      <c r="J181">
        <v>0.50494819999999996</v>
      </c>
    </row>
    <row r="182" spans="1:10" x14ac:dyDescent="0.3">
      <c r="A182">
        <v>180</v>
      </c>
      <c r="B182">
        <v>3036</v>
      </c>
      <c r="C182" t="b">
        <v>1</v>
      </c>
      <c r="D182">
        <v>8128</v>
      </c>
      <c r="E182">
        <v>8176</v>
      </c>
      <c r="F182">
        <v>277.33334000000002</v>
      </c>
      <c r="G182">
        <v>281.8</v>
      </c>
      <c r="H182">
        <v>0.98414959999999996</v>
      </c>
      <c r="I182">
        <v>1.5850406000000001E-2</v>
      </c>
      <c r="J182">
        <v>0.50399430000000001</v>
      </c>
    </row>
    <row r="183" spans="1:10" x14ac:dyDescent="0.3">
      <c r="A183">
        <v>181</v>
      </c>
      <c r="B183">
        <v>3052</v>
      </c>
      <c r="C183" t="b">
        <v>1</v>
      </c>
      <c r="D183">
        <v>8096</v>
      </c>
      <c r="E183">
        <v>8152</v>
      </c>
      <c r="F183">
        <v>277.33334000000002</v>
      </c>
      <c r="G183">
        <v>281.26666</v>
      </c>
      <c r="H183">
        <v>0.98601570000000005</v>
      </c>
      <c r="I183">
        <v>1.3984306E-2</v>
      </c>
      <c r="J183">
        <v>0.50352070000000004</v>
      </c>
    </row>
    <row r="184" spans="1:10" x14ac:dyDescent="0.3">
      <c r="A184">
        <v>182</v>
      </c>
      <c r="B184">
        <v>3068</v>
      </c>
      <c r="C184" t="b">
        <v>1</v>
      </c>
      <c r="D184">
        <v>8104</v>
      </c>
      <c r="E184">
        <v>8200</v>
      </c>
      <c r="F184">
        <v>277.33334000000002</v>
      </c>
      <c r="G184">
        <v>279.66665999999998</v>
      </c>
      <c r="H184">
        <v>0.9916568</v>
      </c>
      <c r="I184">
        <v>8.343194E-3</v>
      </c>
      <c r="J184">
        <v>0.5020945</v>
      </c>
    </row>
    <row r="185" spans="1:10" x14ac:dyDescent="0.3">
      <c r="A185">
        <v>183</v>
      </c>
      <c r="B185">
        <v>3100</v>
      </c>
      <c r="C185" t="b">
        <v>1</v>
      </c>
      <c r="D185">
        <v>8104</v>
      </c>
      <c r="E185">
        <v>8176</v>
      </c>
      <c r="F185">
        <v>275.73334</v>
      </c>
      <c r="G185">
        <v>278.06668000000002</v>
      </c>
      <c r="H185">
        <v>0.99160870000000001</v>
      </c>
      <c r="I185">
        <v>8.3913094999999993E-3</v>
      </c>
      <c r="J185">
        <v>0.50210666999999998</v>
      </c>
    </row>
    <row r="186" spans="1:10" x14ac:dyDescent="0.3">
      <c r="A186">
        <v>184</v>
      </c>
      <c r="B186">
        <v>3116</v>
      </c>
      <c r="C186" t="b">
        <v>1</v>
      </c>
      <c r="D186">
        <v>8128</v>
      </c>
      <c r="E186">
        <v>8224</v>
      </c>
      <c r="F186">
        <v>275.73334</v>
      </c>
      <c r="G186">
        <v>275.39999999999998</v>
      </c>
      <c r="H186">
        <v>1.0012105</v>
      </c>
      <c r="I186">
        <v>-1.2103977E-3</v>
      </c>
      <c r="J186">
        <v>0.49969763</v>
      </c>
    </row>
    <row r="187" spans="1:10" x14ac:dyDescent="0.3">
      <c r="A187">
        <v>185</v>
      </c>
      <c r="B187">
        <v>3132</v>
      </c>
      <c r="C187" t="b">
        <v>1</v>
      </c>
      <c r="D187">
        <v>8120</v>
      </c>
      <c r="E187">
        <v>8192</v>
      </c>
      <c r="F187">
        <v>275.73334</v>
      </c>
      <c r="G187">
        <v>273.8</v>
      </c>
      <c r="H187">
        <v>1.0070611</v>
      </c>
      <c r="I187">
        <v>-7.0611750000000003E-3</v>
      </c>
      <c r="J187">
        <v>0.49824091999999998</v>
      </c>
    </row>
    <row r="188" spans="1:10" x14ac:dyDescent="0.3">
      <c r="A188">
        <v>186</v>
      </c>
      <c r="B188">
        <v>3148</v>
      </c>
      <c r="C188" t="b">
        <v>1</v>
      </c>
      <c r="D188">
        <v>8128</v>
      </c>
      <c r="E188">
        <v>8200</v>
      </c>
      <c r="F188">
        <v>276.8</v>
      </c>
      <c r="G188">
        <v>272.73334</v>
      </c>
      <c r="H188">
        <v>1.0149106999999999</v>
      </c>
      <c r="I188">
        <v>-1.4910720000000001E-2</v>
      </c>
      <c r="J188">
        <v>0.49629990000000002</v>
      </c>
    </row>
    <row r="189" spans="1:10" x14ac:dyDescent="0.3">
      <c r="A189">
        <v>187</v>
      </c>
      <c r="B189">
        <v>3164</v>
      </c>
      <c r="C189" t="b">
        <v>1</v>
      </c>
      <c r="D189">
        <v>8088</v>
      </c>
      <c r="E189">
        <v>8168</v>
      </c>
      <c r="F189">
        <v>277.86667</v>
      </c>
      <c r="G189">
        <v>271.13333</v>
      </c>
      <c r="H189">
        <v>1.024834</v>
      </c>
      <c r="I189">
        <v>-2.4834044E-2</v>
      </c>
      <c r="J189">
        <v>0.49386764</v>
      </c>
    </row>
    <row r="190" spans="1:10" x14ac:dyDescent="0.3">
      <c r="A190">
        <v>188</v>
      </c>
      <c r="B190">
        <v>3180</v>
      </c>
      <c r="C190" t="b">
        <v>1</v>
      </c>
      <c r="D190">
        <v>8112</v>
      </c>
      <c r="E190">
        <v>8224</v>
      </c>
      <c r="F190">
        <v>278.93331999999998</v>
      </c>
      <c r="G190">
        <v>271.13333</v>
      </c>
      <c r="H190">
        <v>1.0287681</v>
      </c>
      <c r="I190">
        <v>-2.8768089E-2</v>
      </c>
      <c r="J190">
        <v>0.49290996999999998</v>
      </c>
    </row>
    <row r="191" spans="1:10" x14ac:dyDescent="0.3">
      <c r="A191">
        <v>189</v>
      </c>
      <c r="B191">
        <v>3196</v>
      </c>
      <c r="C191" t="b">
        <v>1</v>
      </c>
      <c r="D191">
        <v>8112</v>
      </c>
      <c r="E191">
        <v>8224</v>
      </c>
      <c r="F191">
        <v>279.46667000000002</v>
      </c>
      <c r="G191">
        <v>271.13333</v>
      </c>
      <c r="H191">
        <v>1.0307352999999999</v>
      </c>
      <c r="I191">
        <v>-3.0735222999999999E-2</v>
      </c>
      <c r="J191">
        <v>0.4924325</v>
      </c>
    </row>
    <row r="192" spans="1:10" x14ac:dyDescent="0.3">
      <c r="A192">
        <v>190</v>
      </c>
      <c r="B192">
        <v>3212</v>
      </c>
      <c r="C192" t="b">
        <v>1</v>
      </c>
      <c r="D192">
        <v>8104</v>
      </c>
      <c r="E192">
        <v>8208</v>
      </c>
      <c r="F192">
        <v>278.39999999999998</v>
      </c>
      <c r="G192">
        <v>271.66665999999998</v>
      </c>
      <c r="H192">
        <v>1.0247853</v>
      </c>
      <c r="I192">
        <v>-2.4785291000000001E-2</v>
      </c>
      <c r="J192">
        <v>0.49387953000000001</v>
      </c>
    </row>
    <row r="193" spans="1:10" x14ac:dyDescent="0.3">
      <c r="A193">
        <v>191</v>
      </c>
      <c r="B193">
        <v>3227</v>
      </c>
      <c r="C193" t="b">
        <v>1</v>
      </c>
      <c r="D193">
        <v>8104</v>
      </c>
      <c r="E193">
        <v>8176</v>
      </c>
      <c r="F193">
        <v>277.33334000000002</v>
      </c>
      <c r="G193">
        <v>272.2</v>
      </c>
      <c r="H193">
        <v>1.0188587</v>
      </c>
      <c r="I193">
        <v>-1.8858674999999998E-2</v>
      </c>
      <c r="J193">
        <v>0.49532939999999998</v>
      </c>
    </row>
    <row r="194" spans="1:10" x14ac:dyDescent="0.3">
      <c r="A194">
        <v>192</v>
      </c>
      <c r="B194">
        <v>3243</v>
      </c>
      <c r="C194" t="b">
        <v>1</v>
      </c>
      <c r="D194">
        <v>8136</v>
      </c>
      <c r="E194">
        <v>8208</v>
      </c>
      <c r="F194">
        <v>276.8</v>
      </c>
      <c r="G194">
        <v>274.33334000000002</v>
      </c>
      <c r="H194">
        <v>1.0089914</v>
      </c>
      <c r="I194">
        <v>-8.9914130000000002E-3</v>
      </c>
      <c r="J194">
        <v>0.49776223000000003</v>
      </c>
    </row>
    <row r="195" spans="1:10" x14ac:dyDescent="0.3">
      <c r="A195">
        <v>193</v>
      </c>
      <c r="B195">
        <v>3259</v>
      </c>
      <c r="C195" t="b">
        <v>1</v>
      </c>
      <c r="D195">
        <v>8080</v>
      </c>
      <c r="E195">
        <v>8176</v>
      </c>
      <c r="F195">
        <v>275.2</v>
      </c>
      <c r="G195">
        <v>276.46667000000002</v>
      </c>
      <c r="H195">
        <v>0.99541837</v>
      </c>
      <c r="I195">
        <v>4.5816099999999998E-3</v>
      </c>
      <c r="J195">
        <v>0.50114804999999996</v>
      </c>
    </row>
    <row r="196" spans="1:10" x14ac:dyDescent="0.3">
      <c r="A196">
        <v>194</v>
      </c>
      <c r="B196">
        <v>3275</v>
      </c>
      <c r="C196" t="b">
        <v>1</v>
      </c>
      <c r="D196">
        <v>8152</v>
      </c>
      <c r="E196">
        <v>8176</v>
      </c>
      <c r="F196">
        <v>273.60000000000002</v>
      </c>
      <c r="G196">
        <v>276.46667000000002</v>
      </c>
      <c r="H196">
        <v>0.98963106000000001</v>
      </c>
      <c r="I196">
        <v>1.0368949000000001E-2</v>
      </c>
      <c r="J196">
        <v>0.50260579999999999</v>
      </c>
    </row>
    <row r="197" spans="1:10" x14ac:dyDescent="0.3">
      <c r="A197">
        <v>195</v>
      </c>
      <c r="B197">
        <v>3290</v>
      </c>
      <c r="C197" t="b">
        <v>1</v>
      </c>
      <c r="D197">
        <v>8136</v>
      </c>
      <c r="E197">
        <v>8200</v>
      </c>
      <c r="F197">
        <v>274.13333</v>
      </c>
      <c r="G197">
        <v>276.46667000000002</v>
      </c>
      <c r="H197">
        <v>0.99156010000000006</v>
      </c>
      <c r="I197">
        <v>8.4398719999999993E-3</v>
      </c>
      <c r="J197">
        <v>0.50211894999999995</v>
      </c>
    </row>
    <row r="198" spans="1:10" x14ac:dyDescent="0.3">
      <c r="A198">
        <v>196</v>
      </c>
      <c r="B198">
        <v>3306</v>
      </c>
      <c r="C198" t="b">
        <v>1</v>
      </c>
      <c r="D198">
        <v>8096</v>
      </c>
      <c r="E198">
        <v>8184</v>
      </c>
      <c r="F198">
        <v>274.66665999999998</v>
      </c>
      <c r="G198">
        <v>277</v>
      </c>
      <c r="H198">
        <v>0.99157640000000002</v>
      </c>
      <c r="I198">
        <v>8.4236229999999999E-3</v>
      </c>
      <c r="J198">
        <v>0.50211483000000001</v>
      </c>
    </row>
    <row r="199" spans="1:10" x14ac:dyDescent="0.3">
      <c r="A199">
        <v>197</v>
      </c>
      <c r="B199">
        <v>3322</v>
      </c>
      <c r="C199" t="b">
        <v>1</v>
      </c>
      <c r="D199">
        <v>8120</v>
      </c>
      <c r="E199">
        <v>8200</v>
      </c>
      <c r="F199">
        <v>274.13333</v>
      </c>
      <c r="G199">
        <v>277.53332999999998</v>
      </c>
      <c r="H199">
        <v>0.98774919999999999</v>
      </c>
      <c r="I199">
        <v>1.2250759E-2</v>
      </c>
      <c r="J199">
        <v>0.50308160000000002</v>
      </c>
    </row>
    <row r="200" spans="1:10" x14ac:dyDescent="0.3">
      <c r="A200">
        <v>198</v>
      </c>
      <c r="B200">
        <v>3338</v>
      </c>
      <c r="C200" t="b">
        <v>1</v>
      </c>
      <c r="D200">
        <v>8128</v>
      </c>
      <c r="E200">
        <v>8200</v>
      </c>
      <c r="F200">
        <v>275.73334</v>
      </c>
      <c r="G200">
        <v>279.13333</v>
      </c>
      <c r="H200">
        <v>0.98781943000000005</v>
      </c>
      <c r="I200">
        <v>1.2180537E-2</v>
      </c>
      <c r="J200">
        <v>0.50306373999999998</v>
      </c>
    </row>
    <row r="201" spans="1:10" x14ac:dyDescent="0.3">
      <c r="A201">
        <v>199</v>
      </c>
      <c r="B201">
        <v>3354</v>
      </c>
      <c r="C201" t="b">
        <v>1</v>
      </c>
      <c r="D201">
        <v>8128</v>
      </c>
      <c r="E201">
        <v>8216</v>
      </c>
      <c r="F201">
        <v>277.33334000000002</v>
      </c>
      <c r="G201">
        <v>280.73334</v>
      </c>
      <c r="H201">
        <v>0.98788889999999996</v>
      </c>
      <c r="I201">
        <v>1.2111115E-2</v>
      </c>
      <c r="J201">
        <v>0.50304629999999995</v>
      </c>
    </row>
    <row r="202" spans="1:10" x14ac:dyDescent="0.3">
      <c r="A202">
        <v>200</v>
      </c>
      <c r="B202">
        <v>3370</v>
      </c>
      <c r="C202" t="b">
        <v>1</v>
      </c>
      <c r="D202">
        <v>8104</v>
      </c>
      <c r="E202">
        <v>8224</v>
      </c>
      <c r="F202">
        <v>278.39999999999998</v>
      </c>
      <c r="G202">
        <v>281.26666</v>
      </c>
      <c r="H202">
        <v>0.98980800000000002</v>
      </c>
      <c r="I202">
        <v>1.0191996E-2</v>
      </c>
      <c r="J202">
        <v>0.50256109999999998</v>
      </c>
    </row>
    <row r="203" spans="1:10" x14ac:dyDescent="0.3">
      <c r="A203">
        <v>201</v>
      </c>
      <c r="B203">
        <v>3386</v>
      </c>
      <c r="C203" t="b">
        <v>1</v>
      </c>
      <c r="D203">
        <v>8104</v>
      </c>
      <c r="E203">
        <v>8176</v>
      </c>
      <c r="F203">
        <v>278.39999999999998</v>
      </c>
      <c r="G203">
        <v>281.26666</v>
      </c>
      <c r="H203">
        <v>0.98980800000000002</v>
      </c>
      <c r="I203">
        <v>1.0191996E-2</v>
      </c>
      <c r="J203">
        <v>0.50256109999999998</v>
      </c>
    </row>
    <row r="204" spans="1:10" x14ac:dyDescent="0.3">
      <c r="A204">
        <v>202</v>
      </c>
      <c r="B204">
        <v>3402</v>
      </c>
      <c r="C204" t="b">
        <v>1</v>
      </c>
      <c r="D204">
        <v>8104</v>
      </c>
      <c r="E204">
        <v>8160</v>
      </c>
      <c r="F204">
        <v>277.33334000000002</v>
      </c>
      <c r="G204">
        <v>281.8</v>
      </c>
      <c r="H204">
        <v>0.98414959999999996</v>
      </c>
      <c r="I204">
        <v>1.5850406000000001E-2</v>
      </c>
      <c r="J204">
        <v>0.50399430000000001</v>
      </c>
    </row>
    <row r="205" spans="1:10" x14ac:dyDescent="0.3">
      <c r="A205">
        <v>203</v>
      </c>
      <c r="B205">
        <v>3418</v>
      </c>
      <c r="C205" t="b">
        <v>1</v>
      </c>
      <c r="D205">
        <v>8128</v>
      </c>
      <c r="E205">
        <v>8184</v>
      </c>
      <c r="F205">
        <v>276.26666</v>
      </c>
      <c r="G205">
        <v>280.73334</v>
      </c>
      <c r="H205">
        <v>0.98408925999999997</v>
      </c>
      <c r="I205">
        <v>1.591074E-2</v>
      </c>
      <c r="J205">
        <v>0.50400959999999995</v>
      </c>
    </row>
    <row r="206" spans="1:10" x14ac:dyDescent="0.3">
      <c r="A206">
        <v>204</v>
      </c>
      <c r="B206">
        <v>3433</v>
      </c>
      <c r="C206" t="b">
        <v>1</v>
      </c>
      <c r="D206">
        <v>8128</v>
      </c>
      <c r="E206">
        <v>8224</v>
      </c>
      <c r="F206">
        <v>275.73334</v>
      </c>
      <c r="G206">
        <v>279.66665999999998</v>
      </c>
      <c r="H206">
        <v>0.98593569999999997</v>
      </c>
      <c r="I206">
        <v>1.4064312000000001E-2</v>
      </c>
      <c r="J206">
        <v>0.50354093</v>
      </c>
    </row>
    <row r="207" spans="1:10" x14ac:dyDescent="0.3">
      <c r="A207">
        <v>205</v>
      </c>
      <c r="B207">
        <v>3449</v>
      </c>
      <c r="C207" t="b">
        <v>1</v>
      </c>
      <c r="D207">
        <v>8128</v>
      </c>
      <c r="E207">
        <v>8200</v>
      </c>
      <c r="F207">
        <v>276.8</v>
      </c>
      <c r="G207">
        <v>278.06668000000002</v>
      </c>
      <c r="H207">
        <v>0.99544465999999998</v>
      </c>
      <c r="I207">
        <v>4.5553575999999997E-3</v>
      </c>
      <c r="J207">
        <v>0.50114139999999996</v>
      </c>
    </row>
    <row r="208" spans="1:10" x14ac:dyDescent="0.3">
      <c r="A208">
        <v>206</v>
      </c>
      <c r="B208">
        <v>3465</v>
      </c>
      <c r="C208" t="b">
        <v>1</v>
      </c>
      <c r="D208">
        <v>8104</v>
      </c>
      <c r="E208">
        <v>8176</v>
      </c>
      <c r="F208">
        <v>278.39999999999998</v>
      </c>
      <c r="G208">
        <v>276.46667000000002</v>
      </c>
      <c r="H208">
        <v>1.0069929</v>
      </c>
      <c r="I208">
        <v>-6.9929550000000004E-3</v>
      </c>
      <c r="J208">
        <v>0.49825782000000002</v>
      </c>
    </row>
    <row r="209" spans="1:10" x14ac:dyDescent="0.3">
      <c r="A209">
        <v>207</v>
      </c>
      <c r="B209">
        <v>3482</v>
      </c>
      <c r="C209" t="b">
        <v>1</v>
      </c>
      <c r="D209">
        <v>8104</v>
      </c>
      <c r="E209">
        <v>8176</v>
      </c>
      <c r="F209">
        <v>279.46667000000002</v>
      </c>
      <c r="G209">
        <v>274.86667</v>
      </c>
      <c r="H209">
        <v>1.0167354</v>
      </c>
      <c r="I209">
        <v>-1.6735408E-2</v>
      </c>
      <c r="J209">
        <v>0.49585083000000002</v>
      </c>
    </row>
    <row r="210" spans="1:10" x14ac:dyDescent="0.3">
      <c r="A210">
        <v>208</v>
      </c>
      <c r="B210">
        <v>3497</v>
      </c>
      <c r="C210" t="b">
        <v>1</v>
      </c>
      <c r="D210">
        <v>8120</v>
      </c>
      <c r="E210">
        <v>8200</v>
      </c>
      <c r="F210">
        <v>280.53332999999998</v>
      </c>
      <c r="G210">
        <v>274.33334000000002</v>
      </c>
      <c r="H210">
        <v>1.0226002000000001</v>
      </c>
      <c r="I210">
        <v>-2.2600176E-2</v>
      </c>
      <c r="J210">
        <v>0.49441305000000002</v>
      </c>
    </row>
    <row r="211" spans="1:10" x14ac:dyDescent="0.3">
      <c r="A211">
        <v>209</v>
      </c>
      <c r="B211">
        <v>3513</v>
      </c>
      <c r="C211" t="b">
        <v>1</v>
      </c>
      <c r="D211">
        <v>8128</v>
      </c>
      <c r="E211">
        <v>8200</v>
      </c>
      <c r="F211">
        <v>281.60000000000002</v>
      </c>
      <c r="G211">
        <v>275.93331999999998</v>
      </c>
      <c r="H211">
        <v>1.0205363999999999</v>
      </c>
      <c r="I211">
        <v>-2.0536436000000002E-2</v>
      </c>
      <c r="J211">
        <v>0.49491807999999998</v>
      </c>
    </row>
    <row r="212" spans="1:10" x14ac:dyDescent="0.3">
      <c r="A212">
        <v>210</v>
      </c>
      <c r="B212">
        <v>3529</v>
      </c>
      <c r="C212" t="b">
        <v>1</v>
      </c>
      <c r="D212">
        <v>8128</v>
      </c>
      <c r="E212">
        <v>8176</v>
      </c>
      <c r="F212">
        <v>280.53332999999998</v>
      </c>
      <c r="G212">
        <v>275.93331999999998</v>
      </c>
      <c r="H212">
        <v>1.0166706999999999</v>
      </c>
      <c r="I212">
        <v>-1.6670717000000002E-2</v>
      </c>
      <c r="J212">
        <v>0.49586675000000002</v>
      </c>
    </row>
    <row r="213" spans="1:10" x14ac:dyDescent="0.3">
      <c r="A213">
        <v>211</v>
      </c>
      <c r="B213">
        <v>3545</v>
      </c>
      <c r="C213" t="b">
        <v>1</v>
      </c>
      <c r="D213">
        <v>8152</v>
      </c>
      <c r="E213">
        <v>8192</v>
      </c>
      <c r="F213">
        <v>280</v>
      </c>
      <c r="G213">
        <v>276.46667000000002</v>
      </c>
      <c r="H213">
        <v>1.0127803</v>
      </c>
      <c r="I213">
        <v>-1.2780293E-2</v>
      </c>
      <c r="J213">
        <v>0.49682522000000001</v>
      </c>
    </row>
    <row r="214" spans="1:10" x14ac:dyDescent="0.3">
      <c r="A214">
        <v>212</v>
      </c>
      <c r="B214">
        <v>3561</v>
      </c>
      <c r="C214" t="b">
        <v>1</v>
      </c>
      <c r="D214">
        <v>8128</v>
      </c>
      <c r="E214">
        <v>8184</v>
      </c>
      <c r="F214">
        <v>280.53332999999998</v>
      </c>
      <c r="G214">
        <v>277</v>
      </c>
      <c r="H214">
        <v>1.0127556</v>
      </c>
      <c r="I214">
        <v>-1.2755686E-2</v>
      </c>
      <c r="J214">
        <v>0.49683129999999998</v>
      </c>
    </row>
    <row r="215" spans="1:10" x14ac:dyDescent="0.3">
      <c r="A215">
        <v>213</v>
      </c>
      <c r="B215">
        <v>3576</v>
      </c>
      <c r="C215" t="b">
        <v>1</v>
      </c>
      <c r="D215">
        <v>8136</v>
      </c>
      <c r="E215">
        <v>8200</v>
      </c>
      <c r="F215">
        <v>280.53332999999998</v>
      </c>
      <c r="G215">
        <v>276.46667000000002</v>
      </c>
      <c r="H215">
        <v>1.0147094000000001</v>
      </c>
      <c r="I215">
        <v>-1.4709369E-2</v>
      </c>
      <c r="J215">
        <v>0.4963495</v>
      </c>
    </row>
    <row r="216" spans="1:10" x14ac:dyDescent="0.3">
      <c r="A216">
        <v>214</v>
      </c>
      <c r="B216">
        <v>3592</v>
      </c>
      <c r="C216" t="b">
        <v>1</v>
      </c>
      <c r="D216">
        <v>8104</v>
      </c>
      <c r="E216">
        <v>8184</v>
      </c>
      <c r="F216">
        <v>280.53332999999998</v>
      </c>
      <c r="G216">
        <v>275.39999999999998</v>
      </c>
      <c r="H216">
        <v>1.0186396</v>
      </c>
      <c r="I216">
        <v>-1.8639547999999999E-2</v>
      </c>
      <c r="J216">
        <v>0.49538310000000002</v>
      </c>
    </row>
    <row r="217" spans="1:10" x14ac:dyDescent="0.3">
      <c r="A217">
        <v>215</v>
      </c>
      <c r="B217">
        <v>3608</v>
      </c>
      <c r="C217" t="b">
        <v>1</v>
      </c>
      <c r="D217">
        <v>8144</v>
      </c>
      <c r="E217">
        <v>8224</v>
      </c>
      <c r="F217">
        <v>281.60000000000002</v>
      </c>
      <c r="G217">
        <v>274.86667</v>
      </c>
      <c r="H217">
        <v>1.0244968000000001</v>
      </c>
      <c r="I217">
        <v>-2.4496739999999999E-2</v>
      </c>
      <c r="J217">
        <v>0.49394991999999999</v>
      </c>
    </row>
    <row r="218" spans="1:10" x14ac:dyDescent="0.3">
      <c r="A218">
        <v>216</v>
      </c>
      <c r="B218">
        <v>3640</v>
      </c>
      <c r="C218" t="b">
        <v>1</v>
      </c>
      <c r="D218">
        <v>8144</v>
      </c>
      <c r="E218">
        <v>8200</v>
      </c>
      <c r="F218">
        <v>282.66665999999998</v>
      </c>
      <c r="G218">
        <v>274.86667</v>
      </c>
      <c r="H218">
        <v>1.0283773</v>
      </c>
      <c r="I218">
        <v>-2.8377349999999999E-2</v>
      </c>
      <c r="J218">
        <v>0.49300492000000001</v>
      </c>
    </row>
    <row r="219" spans="1:10" x14ac:dyDescent="0.3">
      <c r="A219">
        <v>217</v>
      </c>
      <c r="B219">
        <v>3671</v>
      </c>
      <c r="C219" t="b">
        <v>1</v>
      </c>
      <c r="D219">
        <v>8104</v>
      </c>
      <c r="E219">
        <v>8216</v>
      </c>
      <c r="F219">
        <v>284.8</v>
      </c>
      <c r="G219">
        <v>274.86667</v>
      </c>
      <c r="H219">
        <v>1.0361387</v>
      </c>
      <c r="I219">
        <v>-3.6138683999999997E-2</v>
      </c>
      <c r="J219">
        <v>0.4911257</v>
      </c>
    </row>
    <row r="220" spans="1:10" x14ac:dyDescent="0.3">
      <c r="A220">
        <v>218</v>
      </c>
      <c r="B220">
        <v>3687</v>
      </c>
      <c r="C220" t="b">
        <v>1</v>
      </c>
      <c r="D220">
        <v>8104</v>
      </c>
      <c r="E220">
        <v>8168</v>
      </c>
      <c r="F220">
        <v>284.8</v>
      </c>
      <c r="G220">
        <v>275.93331999999998</v>
      </c>
      <c r="H220">
        <v>1.0321332999999999</v>
      </c>
      <c r="I220">
        <v>-3.2133373999999999E-2</v>
      </c>
      <c r="J220">
        <v>0.49209370000000002</v>
      </c>
    </row>
    <row r="221" spans="1:10" x14ac:dyDescent="0.3">
      <c r="A221">
        <v>219</v>
      </c>
      <c r="B221">
        <v>3703</v>
      </c>
      <c r="C221" t="b">
        <v>1</v>
      </c>
      <c r="D221">
        <v>8104</v>
      </c>
      <c r="E221">
        <v>8192</v>
      </c>
      <c r="F221">
        <v>284.8</v>
      </c>
      <c r="G221">
        <v>277</v>
      </c>
      <c r="H221">
        <v>1.0281587999999999</v>
      </c>
      <c r="I221">
        <v>-2.8158800000000001E-2</v>
      </c>
      <c r="J221">
        <v>0.49305802999999998</v>
      </c>
    </row>
    <row r="222" spans="1:10" x14ac:dyDescent="0.3">
      <c r="A222">
        <v>220</v>
      </c>
      <c r="B222">
        <v>3719</v>
      </c>
      <c r="C222" t="b">
        <v>1</v>
      </c>
      <c r="D222">
        <v>8136</v>
      </c>
      <c r="E222">
        <v>8184</v>
      </c>
      <c r="F222">
        <v>283.2</v>
      </c>
      <c r="G222">
        <v>277.53332999999998</v>
      </c>
      <c r="H222">
        <v>1.020418</v>
      </c>
      <c r="I222">
        <v>-2.0418042000000001E-2</v>
      </c>
      <c r="J222">
        <v>0.49494707999999998</v>
      </c>
    </row>
    <row r="223" spans="1:10" x14ac:dyDescent="0.3">
      <c r="A223">
        <v>221</v>
      </c>
      <c r="B223">
        <v>3735</v>
      </c>
      <c r="C223" t="b">
        <v>1</v>
      </c>
      <c r="D223">
        <v>8144</v>
      </c>
      <c r="E223">
        <v>8136</v>
      </c>
      <c r="F223">
        <v>281.60000000000002</v>
      </c>
      <c r="G223">
        <v>277.53332999999998</v>
      </c>
      <c r="H223">
        <v>1.014653</v>
      </c>
      <c r="I223">
        <v>-1.4652946E-2</v>
      </c>
      <c r="J223">
        <v>0.49636342999999999</v>
      </c>
    </row>
    <row r="224" spans="1:10" x14ac:dyDescent="0.3">
      <c r="A224">
        <v>222</v>
      </c>
      <c r="B224">
        <v>3767</v>
      </c>
      <c r="C224" t="b">
        <v>1</v>
      </c>
      <c r="D224">
        <v>8096</v>
      </c>
      <c r="E224">
        <v>8232</v>
      </c>
      <c r="F224">
        <v>280</v>
      </c>
      <c r="G224">
        <v>277.53332999999998</v>
      </c>
      <c r="H224">
        <v>1.0088878999999999</v>
      </c>
      <c r="I224">
        <v>-8.8878510000000004E-3</v>
      </c>
      <c r="J224">
        <v>0.49778786000000003</v>
      </c>
    </row>
    <row r="225" spans="1:10" x14ac:dyDescent="0.3">
      <c r="A225">
        <v>223</v>
      </c>
      <c r="B225">
        <v>3782</v>
      </c>
      <c r="C225" t="b">
        <v>1</v>
      </c>
      <c r="D225">
        <v>8152</v>
      </c>
      <c r="E225">
        <v>8176</v>
      </c>
      <c r="F225">
        <v>281.06668000000002</v>
      </c>
      <c r="G225">
        <v>276.46667000000002</v>
      </c>
      <c r="H225">
        <v>1.0166385</v>
      </c>
      <c r="I225">
        <v>-1.6638554999999999E-2</v>
      </c>
      <c r="J225">
        <v>0.4958747</v>
      </c>
    </row>
    <row r="226" spans="1:10" x14ac:dyDescent="0.3">
      <c r="A226">
        <v>224</v>
      </c>
      <c r="B226">
        <v>3798</v>
      </c>
      <c r="C226" t="b">
        <v>1</v>
      </c>
      <c r="D226">
        <v>8112</v>
      </c>
      <c r="E226">
        <v>8168</v>
      </c>
      <c r="F226">
        <v>282.13333</v>
      </c>
      <c r="G226">
        <v>274.86667</v>
      </c>
      <c r="H226">
        <v>1.026437</v>
      </c>
      <c r="I226">
        <v>-2.6437045999999999E-2</v>
      </c>
      <c r="J226">
        <v>0.49347696000000002</v>
      </c>
    </row>
    <row r="227" spans="1:10" x14ac:dyDescent="0.3">
      <c r="A227">
        <v>225</v>
      </c>
      <c r="B227">
        <v>3830</v>
      </c>
      <c r="C227" t="b">
        <v>1</v>
      </c>
      <c r="D227">
        <v>8144</v>
      </c>
      <c r="E227">
        <v>8200</v>
      </c>
      <c r="F227">
        <v>283.73334</v>
      </c>
      <c r="G227">
        <v>274.86667</v>
      </c>
      <c r="H227">
        <v>1.0322579999999999</v>
      </c>
      <c r="I227">
        <v>-3.225807E-2</v>
      </c>
      <c r="J227">
        <v>0.49206351999999998</v>
      </c>
    </row>
    <row r="228" spans="1:10" x14ac:dyDescent="0.3">
      <c r="A228">
        <v>226</v>
      </c>
      <c r="B228">
        <v>3861</v>
      </c>
      <c r="C228" t="b">
        <v>1</v>
      </c>
      <c r="D228">
        <v>8152</v>
      </c>
      <c r="E228">
        <v>8176</v>
      </c>
      <c r="F228">
        <v>284.8</v>
      </c>
      <c r="G228">
        <v>273.8</v>
      </c>
      <c r="H228">
        <v>1.0401753</v>
      </c>
      <c r="I228">
        <v>-4.0175309999999999E-2</v>
      </c>
      <c r="J228">
        <v>0.49015396999999999</v>
      </c>
    </row>
    <row r="229" spans="1:10" x14ac:dyDescent="0.3">
      <c r="A229">
        <v>227</v>
      </c>
      <c r="B229">
        <v>3877</v>
      </c>
      <c r="C229" t="b">
        <v>1</v>
      </c>
      <c r="D229">
        <v>8112</v>
      </c>
      <c r="E229">
        <v>8200</v>
      </c>
      <c r="F229">
        <v>285.86667</v>
      </c>
      <c r="G229">
        <v>272.73334</v>
      </c>
      <c r="H229">
        <v>1.0481545000000001</v>
      </c>
      <c r="I229">
        <v>-4.8154477000000001E-2</v>
      </c>
      <c r="J229">
        <v>0.48824444</v>
      </c>
    </row>
    <row r="230" spans="1:10" x14ac:dyDescent="0.3">
      <c r="A230">
        <v>228</v>
      </c>
      <c r="B230">
        <v>3893</v>
      </c>
      <c r="C230" t="b">
        <v>1</v>
      </c>
      <c r="D230">
        <v>8104</v>
      </c>
      <c r="E230">
        <v>8176</v>
      </c>
      <c r="F230">
        <v>284.8</v>
      </c>
      <c r="G230">
        <v>271.66665999999998</v>
      </c>
      <c r="H230">
        <v>1.0483435000000001</v>
      </c>
      <c r="I230">
        <v>-4.8343553999999997E-2</v>
      </c>
      <c r="J230">
        <v>0.48819931999999999</v>
      </c>
    </row>
    <row r="231" spans="1:10" x14ac:dyDescent="0.3">
      <c r="A231">
        <v>229</v>
      </c>
      <c r="B231">
        <v>3909</v>
      </c>
      <c r="C231" t="b">
        <v>1</v>
      </c>
      <c r="D231">
        <v>8104</v>
      </c>
      <c r="E231">
        <v>8176</v>
      </c>
      <c r="F231">
        <v>283.73334</v>
      </c>
      <c r="G231">
        <v>271.13333</v>
      </c>
      <c r="H231">
        <v>1.0464716000000001</v>
      </c>
      <c r="I231">
        <v>-4.6471619999999998E-2</v>
      </c>
      <c r="J231">
        <v>0.48864587999999998</v>
      </c>
    </row>
    <row r="232" spans="1:10" x14ac:dyDescent="0.3">
      <c r="A232">
        <v>230</v>
      </c>
      <c r="B232">
        <v>3925</v>
      </c>
      <c r="C232" t="b">
        <v>1</v>
      </c>
      <c r="D232">
        <v>8104</v>
      </c>
      <c r="E232">
        <v>8168</v>
      </c>
      <c r="F232">
        <v>281.60000000000002</v>
      </c>
      <c r="G232">
        <v>270.06668000000002</v>
      </c>
      <c r="H232">
        <v>1.0427054</v>
      </c>
      <c r="I232">
        <v>-4.2705473000000001E-2</v>
      </c>
      <c r="J232">
        <v>0.48954683999999998</v>
      </c>
    </row>
    <row r="233" spans="1:10" x14ac:dyDescent="0.3">
      <c r="A233">
        <v>231</v>
      </c>
      <c r="B233">
        <v>3940</v>
      </c>
      <c r="C233" t="b">
        <v>1</v>
      </c>
      <c r="D233">
        <v>8120</v>
      </c>
      <c r="E233">
        <v>8176</v>
      </c>
      <c r="F233">
        <v>279.46667000000002</v>
      </c>
      <c r="G233">
        <v>268.46667000000002</v>
      </c>
      <c r="H233">
        <v>1.0409733999999999</v>
      </c>
      <c r="I233">
        <v>-4.0973429999999998E-2</v>
      </c>
      <c r="J233">
        <v>0.48996227999999997</v>
      </c>
    </row>
    <row r="234" spans="1:10" x14ac:dyDescent="0.3">
      <c r="A234">
        <v>232</v>
      </c>
      <c r="B234">
        <v>3956</v>
      </c>
      <c r="C234" t="b">
        <v>1</v>
      </c>
      <c r="D234">
        <v>8112</v>
      </c>
      <c r="E234">
        <v>8152</v>
      </c>
      <c r="F234">
        <v>277.33334000000002</v>
      </c>
      <c r="G234">
        <v>266.86667</v>
      </c>
      <c r="H234">
        <v>1.0392205999999999</v>
      </c>
      <c r="I234">
        <v>-3.9220616E-2</v>
      </c>
      <c r="J234">
        <v>0.49038342000000001</v>
      </c>
    </row>
    <row r="235" spans="1:10" x14ac:dyDescent="0.3">
      <c r="A235">
        <v>233</v>
      </c>
      <c r="B235">
        <v>3972</v>
      </c>
      <c r="C235" t="b">
        <v>1</v>
      </c>
      <c r="D235">
        <v>8104</v>
      </c>
      <c r="E235">
        <v>8176</v>
      </c>
      <c r="F235">
        <v>277.33334000000002</v>
      </c>
      <c r="G235">
        <v>265.26666</v>
      </c>
      <c r="H235">
        <v>1.0454888</v>
      </c>
      <c r="I235">
        <v>-4.5488870000000001E-2</v>
      </c>
      <c r="J235">
        <v>0.48888071999999999</v>
      </c>
    </row>
    <row r="236" spans="1:10" x14ac:dyDescent="0.3">
      <c r="A236">
        <v>234</v>
      </c>
      <c r="B236">
        <v>3988</v>
      </c>
      <c r="C236" t="b">
        <v>1</v>
      </c>
      <c r="D236">
        <v>8112</v>
      </c>
      <c r="E236">
        <v>8184</v>
      </c>
      <c r="F236">
        <v>277.86667</v>
      </c>
      <c r="G236">
        <v>263.66665999999998</v>
      </c>
      <c r="H236">
        <v>1.0538559000000001</v>
      </c>
      <c r="I236">
        <v>-5.3855925999999998E-2</v>
      </c>
      <c r="J236">
        <v>0.48688905999999998</v>
      </c>
    </row>
    <row r="237" spans="1:10" x14ac:dyDescent="0.3">
      <c r="A237">
        <v>235</v>
      </c>
      <c r="B237">
        <v>4004</v>
      </c>
      <c r="C237" t="b">
        <v>1</v>
      </c>
      <c r="D237">
        <v>8120</v>
      </c>
      <c r="E237">
        <v>8200</v>
      </c>
      <c r="F237">
        <v>278.39999999999998</v>
      </c>
      <c r="G237">
        <v>262.60000000000002</v>
      </c>
      <c r="H237">
        <v>1.0601676</v>
      </c>
      <c r="I237">
        <v>-6.0167506000000003E-2</v>
      </c>
      <c r="J237">
        <v>0.48539743000000002</v>
      </c>
    </row>
    <row r="238" spans="1:10" x14ac:dyDescent="0.3">
      <c r="A238">
        <v>236</v>
      </c>
      <c r="B238">
        <v>4036</v>
      </c>
      <c r="C238" t="b">
        <v>1</v>
      </c>
      <c r="D238">
        <v>8096</v>
      </c>
      <c r="E238">
        <v>8152</v>
      </c>
      <c r="F238">
        <v>278.93331999999998</v>
      </c>
      <c r="G238">
        <v>262.06668000000002</v>
      </c>
      <c r="H238">
        <v>1.0643601</v>
      </c>
      <c r="I238">
        <v>-6.4360105000000001E-2</v>
      </c>
      <c r="J238">
        <v>0.4844116</v>
      </c>
    </row>
    <row r="239" spans="1:10" x14ac:dyDescent="0.3">
      <c r="A239">
        <v>237</v>
      </c>
      <c r="B239">
        <v>4068</v>
      </c>
      <c r="C239" t="b">
        <v>1</v>
      </c>
      <c r="D239">
        <v>8104</v>
      </c>
      <c r="E239">
        <v>8200</v>
      </c>
      <c r="F239">
        <v>278.93331999999998</v>
      </c>
      <c r="G239">
        <v>262.06668000000002</v>
      </c>
      <c r="H239">
        <v>1.0643601</v>
      </c>
      <c r="I239">
        <v>-6.4360105000000001E-2</v>
      </c>
      <c r="J239">
        <v>0.4844116</v>
      </c>
    </row>
    <row r="240" spans="1:10" x14ac:dyDescent="0.3">
      <c r="A240">
        <v>238</v>
      </c>
      <c r="B240">
        <v>4083</v>
      </c>
      <c r="C240" t="b">
        <v>1</v>
      </c>
      <c r="D240">
        <v>8136</v>
      </c>
      <c r="E240">
        <v>8216</v>
      </c>
      <c r="F240">
        <v>277.33334000000002</v>
      </c>
      <c r="G240">
        <v>263.13333</v>
      </c>
      <c r="H240">
        <v>1.0539651000000001</v>
      </c>
      <c r="I240">
        <v>-5.3965084000000003E-2</v>
      </c>
      <c r="J240">
        <v>0.4868632</v>
      </c>
    </row>
    <row r="241" spans="1:10" x14ac:dyDescent="0.3">
      <c r="A241">
        <v>239</v>
      </c>
      <c r="B241">
        <v>4099</v>
      </c>
      <c r="C241" t="b">
        <v>1</v>
      </c>
      <c r="D241">
        <v>8136</v>
      </c>
      <c r="E241">
        <v>8200</v>
      </c>
      <c r="F241">
        <v>276.26666</v>
      </c>
      <c r="G241">
        <v>264.73334</v>
      </c>
      <c r="H241">
        <v>1.0435658999999999</v>
      </c>
      <c r="I241">
        <v>-4.3565819999999998E-2</v>
      </c>
      <c r="J241">
        <v>0.48934072000000001</v>
      </c>
    </row>
    <row r="242" spans="1:10" x14ac:dyDescent="0.3">
      <c r="A242">
        <v>240</v>
      </c>
      <c r="B242">
        <v>4115</v>
      </c>
      <c r="C242" t="b">
        <v>1</v>
      </c>
      <c r="D242">
        <v>8128</v>
      </c>
      <c r="E242">
        <v>8152</v>
      </c>
      <c r="F242">
        <v>275.2</v>
      </c>
      <c r="G242">
        <v>266.33334000000002</v>
      </c>
      <c r="H242">
        <v>1.0332916000000001</v>
      </c>
      <c r="I242">
        <v>-3.3291620000000001E-2</v>
      </c>
      <c r="J242">
        <v>0.49181340000000001</v>
      </c>
    </row>
    <row r="243" spans="1:10" x14ac:dyDescent="0.3">
      <c r="A243">
        <v>241</v>
      </c>
      <c r="B243">
        <v>4131</v>
      </c>
      <c r="C243" t="b">
        <v>1</v>
      </c>
      <c r="D243">
        <v>8128</v>
      </c>
      <c r="E243">
        <v>8192</v>
      </c>
      <c r="F243">
        <v>274.13333</v>
      </c>
      <c r="G243">
        <v>267.93331999999998</v>
      </c>
      <c r="H243">
        <v>1.0231401</v>
      </c>
      <c r="I243">
        <v>-2.3140129999999998E-2</v>
      </c>
      <c r="J243">
        <v>0.49428114000000001</v>
      </c>
    </row>
    <row r="244" spans="1:10" x14ac:dyDescent="0.3">
      <c r="A244">
        <v>242</v>
      </c>
      <c r="B244">
        <v>4147</v>
      </c>
      <c r="C244" t="b">
        <v>1</v>
      </c>
      <c r="D244">
        <v>8136</v>
      </c>
      <c r="E244">
        <v>8152</v>
      </c>
      <c r="F244">
        <v>273.60000000000002</v>
      </c>
      <c r="G244">
        <v>269</v>
      </c>
      <c r="H244">
        <v>1.0171005</v>
      </c>
      <c r="I244">
        <v>-1.7100394000000001E-2</v>
      </c>
      <c r="J244">
        <v>0.49576120000000001</v>
      </c>
    </row>
    <row r="245" spans="1:10" x14ac:dyDescent="0.3">
      <c r="A245">
        <v>243</v>
      </c>
      <c r="B245">
        <v>4163</v>
      </c>
      <c r="C245" t="b">
        <v>1</v>
      </c>
      <c r="D245">
        <v>8152</v>
      </c>
      <c r="E245">
        <v>8176</v>
      </c>
      <c r="F245">
        <v>275.2</v>
      </c>
      <c r="G245">
        <v>269</v>
      </c>
      <c r="H245">
        <v>1.0230484</v>
      </c>
      <c r="I245">
        <v>-2.3048373E-2</v>
      </c>
      <c r="J245">
        <v>0.49430354999999998</v>
      </c>
    </row>
    <row r="246" spans="1:10" x14ac:dyDescent="0.3">
      <c r="A246">
        <v>244</v>
      </c>
      <c r="B246">
        <v>4178</v>
      </c>
      <c r="C246" t="b">
        <v>1</v>
      </c>
      <c r="D246">
        <v>8128</v>
      </c>
      <c r="E246">
        <v>8200</v>
      </c>
      <c r="F246">
        <v>276.26666</v>
      </c>
      <c r="G246">
        <v>269</v>
      </c>
      <c r="H246">
        <v>1.0270136999999999</v>
      </c>
      <c r="I246">
        <v>-2.7013615000000001E-2</v>
      </c>
      <c r="J246">
        <v>0.49333660000000001</v>
      </c>
    </row>
    <row r="247" spans="1:10" x14ac:dyDescent="0.3">
      <c r="A247">
        <v>245</v>
      </c>
      <c r="B247">
        <v>4195</v>
      </c>
      <c r="C247" t="b">
        <v>1</v>
      </c>
      <c r="D247">
        <v>8096</v>
      </c>
      <c r="E247">
        <v>8192</v>
      </c>
      <c r="F247">
        <v>277.86667</v>
      </c>
      <c r="G247">
        <v>270.06668000000002</v>
      </c>
      <c r="H247">
        <v>1.0288816999999999</v>
      </c>
      <c r="I247">
        <v>-2.8881710000000001E-2</v>
      </c>
      <c r="J247">
        <v>0.49288237000000001</v>
      </c>
    </row>
    <row r="248" spans="1:10" x14ac:dyDescent="0.3">
      <c r="A248">
        <v>246</v>
      </c>
      <c r="B248">
        <v>4211</v>
      </c>
      <c r="C248" t="b">
        <v>1</v>
      </c>
      <c r="D248">
        <v>8088</v>
      </c>
      <c r="E248">
        <v>8208</v>
      </c>
      <c r="F248">
        <v>279.46667000000002</v>
      </c>
      <c r="G248">
        <v>271.13333</v>
      </c>
      <c r="H248">
        <v>1.0307352999999999</v>
      </c>
      <c r="I248">
        <v>-3.0735222999999999E-2</v>
      </c>
      <c r="J248">
        <v>0.4924325</v>
      </c>
    </row>
    <row r="249" spans="1:10" x14ac:dyDescent="0.3">
      <c r="A249">
        <v>247</v>
      </c>
      <c r="B249">
        <v>4227</v>
      </c>
      <c r="C249" t="b">
        <v>1</v>
      </c>
      <c r="D249">
        <v>8144</v>
      </c>
      <c r="E249">
        <v>8168</v>
      </c>
      <c r="F249">
        <v>281.06668000000002</v>
      </c>
      <c r="G249">
        <v>272.2</v>
      </c>
      <c r="H249">
        <v>1.0325740000000001</v>
      </c>
      <c r="I249">
        <v>-3.2574094999999997E-2</v>
      </c>
      <c r="J249">
        <v>0.49198695999999997</v>
      </c>
    </row>
    <row r="250" spans="1:10" x14ac:dyDescent="0.3">
      <c r="A250">
        <v>248</v>
      </c>
      <c r="B250">
        <v>4243</v>
      </c>
      <c r="C250" t="b">
        <v>1</v>
      </c>
      <c r="D250">
        <v>8088</v>
      </c>
      <c r="E250">
        <v>8216</v>
      </c>
      <c r="F250">
        <v>280.53332999999998</v>
      </c>
      <c r="G250">
        <v>273.8</v>
      </c>
      <c r="H250">
        <v>1.0245922000000001</v>
      </c>
      <c r="I250">
        <v>-2.4592176E-2</v>
      </c>
      <c r="J250">
        <v>0.49392663999999997</v>
      </c>
    </row>
    <row r="251" spans="1:10" x14ac:dyDescent="0.3">
      <c r="A251">
        <v>249</v>
      </c>
      <c r="B251">
        <v>4258</v>
      </c>
      <c r="C251" t="b">
        <v>1</v>
      </c>
      <c r="D251">
        <v>8120</v>
      </c>
      <c r="E251">
        <v>8200</v>
      </c>
      <c r="F251">
        <v>279.46667000000002</v>
      </c>
      <c r="G251">
        <v>275.39999999999998</v>
      </c>
      <c r="H251">
        <v>1.0147664999999999</v>
      </c>
      <c r="I251">
        <v>-1.4766453000000001E-2</v>
      </c>
      <c r="J251">
        <v>0.49633542000000003</v>
      </c>
    </row>
    <row r="252" spans="1:10" x14ac:dyDescent="0.3">
      <c r="A252">
        <v>250</v>
      </c>
      <c r="B252">
        <v>4274</v>
      </c>
      <c r="C252" t="b">
        <v>1</v>
      </c>
      <c r="D252">
        <v>8088</v>
      </c>
      <c r="E252">
        <v>8176</v>
      </c>
      <c r="F252">
        <v>277.86667</v>
      </c>
      <c r="G252">
        <v>277</v>
      </c>
      <c r="H252">
        <v>1.0031288</v>
      </c>
      <c r="I252">
        <v>-3.1287680000000001E-3</v>
      </c>
      <c r="J252">
        <v>0.49921900000000002</v>
      </c>
    </row>
    <row r="253" spans="1:10" x14ac:dyDescent="0.3">
      <c r="A253">
        <v>251</v>
      </c>
      <c r="B253">
        <v>4290</v>
      </c>
      <c r="C253" t="b">
        <v>1</v>
      </c>
      <c r="D253">
        <v>8128</v>
      </c>
      <c r="E253">
        <v>8216</v>
      </c>
      <c r="F253">
        <v>278.39999999999998</v>
      </c>
      <c r="G253">
        <v>278.60000000000002</v>
      </c>
      <c r="H253">
        <v>0.99928205999999997</v>
      </c>
      <c r="I253">
        <v>7.1791889999999999E-4</v>
      </c>
      <c r="J253">
        <v>0.5001795</v>
      </c>
    </row>
    <row r="254" spans="1:10" x14ac:dyDescent="0.3">
      <c r="A254">
        <v>252</v>
      </c>
      <c r="B254">
        <v>4306</v>
      </c>
      <c r="C254" t="b">
        <v>1</v>
      </c>
      <c r="D254">
        <v>8136</v>
      </c>
      <c r="E254">
        <v>8192</v>
      </c>
      <c r="F254">
        <v>279.46667000000002</v>
      </c>
      <c r="G254">
        <v>279.66665999999998</v>
      </c>
      <c r="H254">
        <v>0.99928490000000003</v>
      </c>
      <c r="I254">
        <v>7.1507160000000005E-4</v>
      </c>
      <c r="J254">
        <v>0.50017889999999998</v>
      </c>
    </row>
    <row r="255" spans="1:10" x14ac:dyDescent="0.3">
      <c r="A255">
        <v>253</v>
      </c>
      <c r="B255">
        <v>4322</v>
      </c>
      <c r="C255" t="b">
        <v>1</v>
      </c>
      <c r="D255">
        <v>8192</v>
      </c>
      <c r="E255">
        <v>8168</v>
      </c>
      <c r="F255">
        <v>280.53332999999998</v>
      </c>
      <c r="G255">
        <v>279.13333</v>
      </c>
      <c r="H255">
        <v>1.0050155000000001</v>
      </c>
      <c r="I255">
        <v>-5.0155019999999998E-3</v>
      </c>
      <c r="J255">
        <v>0.49874930000000001</v>
      </c>
    </row>
    <row r="256" spans="1:10" x14ac:dyDescent="0.3">
      <c r="A256">
        <v>254</v>
      </c>
      <c r="B256">
        <v>4338</v>
      </c>
      <c r="C256" t="b">
        <v>1</v>
      </c>
      <c r="D256">
        <v>8120</v>
      </c>
      <c r="E256">
        <v>8200</v>
      </c>
      <c r="F256">
        <v>281.06668000000002</v>
      </c>
      <c r="G256">
        <v>278.60000000000002</v>
      </c>
      <c r="H256">
        <v>1.0088538</v>
      </c>
      <c r="I256">
        <v>-8.8538220000000008E-3</v>
      </c>
      <c r="J256">
        <v>0.49779630000000002</v>
      </c>
    </row>
    <row r="257" spans="1:10" x14ac:dyDescent="0.3">
      <c r="A257">
        <v>255</v>
      </c>
      <c r="B257">
        <v>4354</v>
      </c>
      <c r="C257" t="b">
        <v>1</v>
      </c>
      <c r="D257">
        <v>8096</v>
      </c>
      <c r="E257">
        <v>8224</v>
      </c>
      <c r="F257">
        <v>281.06668000000002</v>
      </c>
      <c r="G257">
        <v>278.60000000000002</v>
      </c>
      <c r="H257">
        <v>1.0088538</v>
      </c>
      <c r="I257">
        <v>-8.8538220000000008E-3</v>
      </c>
      <c r="J257">
        <v>0.49779630000000002</v>
      </c>
    </row>
    <row r="258" spans="1:10" x14ac:dyDescent="0.3">
      <c r="A258">
        <v>256</v>
      </c>
      <c r="B258">
        <v>4385</v>
      </c>
      <c r="C258" t="b">
        <v>1</v>
      </c>
      <c r="D258">
        <v>8152</v>
      </c>
      <c r="E258">
        <v>8192</v>
      </c>
      <c r="F258">
        <v>281.60000000000002</v>
      </c>
      <c r="G258">
        <v>278.06668000000002</v>
      </c>
      <c r="H258">
        <v>1.0127067999999999</v>
      </c>
      <c r="I258">
        <v>-1.2706755E-2</v>
      </c>
      <c r="J258">
        <v>0.49684337000000001</v>
      </c>
    </row>
    <row r="259" spans="1:10" x14ac:dyDescent="0.3">
      <c r="A259">
        <v>257</v>
      </c>
      <c r="B259">
        <v>4401</v>
      </c>
      <c r="C259" t="b">
        <v>1</v>
      </c>
      <c r="D259">
        <v>8168</v>
      </c>
      <c r="E259">
        <v>8200</v>
      </c>
      <c r="F259">
        <v>282.66665999999998</v>
      </c>
      <c r="G259">
        <v>278.60000000000002</v>
      </c>
      <c r="H259">
        <v>1.0145967</v>
      </c>
      <c r="I259">
        <v>-1.4596735E-2</v>
      </c>
      <c r="J259">
        <v>0.49637725999999999</v>
      </c>
    </row>
    <row r="260" spans="1:10" x14ac:dyDescent="0.3">
      <c r="A260">
        <v>258</v>
      </c>
      <c r="B260">
        <v>4417</v>
      </c>
      <c r="C260" t="b">
        <v>1</v>
      </c>
      <c r="D260">
        <v>8128</v>
      </c>
      <c r="E260">
        <v>8192</v>
      </c>
      <c r="F260">
        <v>282.13333</v>
      </c>
      <c r="G260">
        <v>280.2</v>
      </c>
      <c r="H260">
        <v>1.0068998</v>
      </c>
      <c r="I260">
        <v>-6.8997824999999999E-3</v>
      </c>
      <c r="J260">
        <v>0.49828096999999999</v>
      </c>
    </row>
    <row r="261" spans="1:10" x14ac:dyDescent="0.3">
      <c r="A261">
        <v>259</v>
      </c>
      <c r="B261">
        <v>4433</v>
      </c>
      <c r="C261" t="b">
        <v>1</v>
      </c>
      <c r="D261">
        <v>8136</v>
      </c>
      <c r="E261">
        <v>8208</v>
      </c>
      <c r="F261">
        <v>282.66665999999998</v>
      </c>
      <c r="G261">
        <v>281.8</v>
      </c>
      <c r="H261">
        <v>1.0030755</v>
      </c>
      <c r="I261">
        <v>-3.0754746000000001E-3</v>
      </c>
      <c r="J261">
        <v>0.49923230000000002</v>
      </c>
    </row>
    <row r="262" spans="1:10" x14ac:dyDescent="0.3">
      <c r="A262">
        <v>260</v>
      </c>
      <c r="B262">
        <v>4449</v>
      </c>
      <c r="C262" t="b">
        <v>1</v>
      </c>
      <c r="D262">
        <v>8104</v>
      </c>
      <c r="E262">
        <v>8176</v>
      </c>
      <c r="F262">
        <v>283.2</v>
      </c>
      <c r="G262">
        <v>281.8</v>
      </c>
      <c r="H262">
        <v>1.0049682</v>
      </c>
      <c r="I262">
        <v>-4.9681489999999998E-3</v>
      </c>
      <c r="J262">
        <v>0.49876102999999999</v>
      </c>
    </row>
    <row r="263" spans="1:10" x14ac:dyDescent="0.3">
      <c r="A263">
        <v>261</v>
      </c>
      <c r="B263">
        <v>4465</v>
      </c>
      <c r="C263" t="b">
        <v>1</v>
      </c>
      <c r="D263">
        <v>8120</v>
      </c>
      <c r="E263">
        <v>8216</v>
      </c>
      <c r="F263">
        <v>283.2</v>
      </c>
      <c r="G263">
        <v>282.33334000000002</v>
      </c>
      <c r="H263">
        <v>1.0030695999999999</v>
      </c>
      <c r="I263">
        <v>-3.0696648E-3</v>
      </c>
      <c r="J263">
        <v>0.49923378000000002</v>
      </c>
    </row>
    <row r="264" spans="1:10" x14ac:dyDescent="0.3">
      <c r="A264">
        <v>262</v>
      </c>
      <c r="B264">
        <v>4481</v>
      </c>
      <c r="C264" t="b">
        <v>1</v>
      </c>
      <c r="D264">
        <v>8136</v>
      </c>
      <c r="E264">
        <v>8200</v>
      </c>
      <c r="F264">
        <v>283.2</v>
      </c>
      <c r="G264">
        <v>282.86667</v>
      </c>
      <c r="H264">
        <v>1.0011785</v>
      </c>
      <c r="I264">
        <v>-1.1784475E-3</v>
      </c>
      <c r="J264">
        <v>0.49970557999999998</v>
      </c>
    </row>
    <row r="265" spans="1:10" x14ac:dyDescent="0.3">
      <c r="A265">
        <v>263</v>
      </c>
      <c r="B265">
        <v>4497</v>
      </c>
      <c r="C265" t="b">
        <v>1</v>
      </c>
      <c r="D265">
        <v>8168</v>
      </c>
      <c r="E265">
        <v>8200</v>
      </c>
      <c r="F265">
        <v>285.86667</v>
      </c>
      <c r="G265">
        <v>282.86667</v>
      </c>
      <c r="H265">
        <v>1.0106056999999999</v>
      </c>
      <c r="I265">
        <v>-1.0605702999999999E-2</v>
      </c>
      <c r="J265">
        <v>0.49736255000000001</v>
      </c>
    </row>
    <row r="266" spans="1:10" x14ac:dyDescent="0.3">
      <c r="A266">
        <v>264</v>
      </c>
      <c r="B266">
        <v>4512</v>
      </c>
      <c r="C266" t="b">
        <v>1</v>
      </c>
      <c r="D266">
        <v>8168</v>
      </c>
      <c r="E266">
        <v>8208</v>
      </c>
      <c r="F266">
        <v>288.53332999999998</v>
      </c>
      <c r="G266">
        <v>282.86667</v>
      </c>
      <c r="H266">
        <v>1.020033</v>
      </c>
      <c r="I266">
        <v>-2.0032958999999999E-2</v>
      </c>
      <c r="J266">
        <v>0.49504140000000002</v>
      </c>
    </row>
    <row r="267" spans="1:10" x14ac:dyDescent="0.3">
      <c r="A267">
        <v>265</v>
      </c>
      <c r="B267">
        <v>4528</v>
      </c>
      <c r="C267" t="b">
        <v>1</v>
      </c>
      <c r="D267">
        <v>8096</v>
      </c>
      <c r="E267">
        <v>8192</v>
      </c>
      <c r="F267">
        <v>291.73334</v>
      </c>
      <c r="G267">
        <v>282.86667</v>
      </c>
      <c r="H267">
        <v>1.0313456999999999</v>
      </c>
      <c r="I267">
        <v>-3.1345749999999999E-2</v>
      </c>
      <c r="J267">
        <v>0.49228450000000001</v>
      </c>
    </row>
    <row r="268" spans="1:10" x14ac:dyDescent="0.3">
      <c r="A268">
        <v>266</v>
      </c>
      <c r="B268">
        <v>4544</v>
      </c>
      <c r="C268" t="b">
        <v>1</v>
      </c>
      <c r="D268">
        <v>8136</v>
      </c>
      <c r="E268">
        <v>8200</v>
      </c>
      <c r="F268">
        <v>292.8</v>
      </c>
      <c r="G268">
        <v>282.86667</v>
      </c>
      <c r="H268">
        <v>1.0351166000000001</v>
      </c>
      <c r="I268">
        <v>-3.5116612999999998E-2</v>
      </c>
      <c r="J268">
        <v>0.49137235000000001</v>
      </c>
    </row>
    <row r="269" spans="1:10" x14ac:dyDescent="0.3">
      <c r="A269">
        <v>267</v>
      </c>
      <c r="B269">
        <v>4560</v>
      </c>
      <c r="C269" t="b">
        <v>1</v>
      </c>
      <c r="D269">
        <v>8128</v>
      </c>
      <c r="E269">
        <v>8200</v>
      </c>
      <c r="F269">
        <v>293.86667</v>
      </c>
      <c r="G269">
        <v>282.86667</v>
      </c>
      <c r="H269">
        <v>1.0388876</v>
      </c>
      <c r="I269">
        <v>-3.8887579999999998E-2</v>
      </c>
      <c r="J269">
        <v>0.49046352999999998</v>
      </c>
    </row>
    <row r="270" spans="1:10" x14ac:dyDescent="0.3">
      <c r="A270">
        <v>268</v>
      </c>
      <c r="B270">
        <v>4576</v>
      </c>
      <c r="C270" t="b">
        <v>1</v>
      </c>
      <c r="D270">
        <v>8136</v>
      </c>
      <c r="E270">
        <v>8216</v>
      </c>
      <c r="F270">
        <v>294.39999999999998</v>
      </c>
      <c r="G270">
        <v>283.39999999999998</v>
      </c>
      <c r="H270">
        <v>1.0388143999999999</v>
      </c>
      <c r="I270">
        <v>-3.8814396000000001E-2</v>
      </c>
      <c r="J270">
        <v>0.49048113999999998</v>
      </c>
    </row>
    <row r="271" spans="1:10" x14ac:dyDescent="0.3">
      <c r="A271">
        <v>269</v>
      </c>
      <c r="B271">
        <v>4592</v>
      </c>
      <c r="C271" t="b">
        <v>1</v>
      </c>
      <c r="D271">
        <v>8112</v>
      </c>
      <c r="E271">
        <v>8208</v>
      </c>
      <c r="F271">
        <v>294.39999999999998</v>
      </c>
      <c r="G271">
        <v>283.93331999999998</v>
      </c>
      <c r="H271">
        <v>1.0368630999999999</v>
      </c>
      <c r="I271">
        <v>-3.6863144E-2</v>
      </c>
      <c r="J271">
        <v>0.49095100000000003</v>
      </c>
    </row>
    <row r="272" spans="1:10" x14ac:dyDescent="0.3">
      <c r="A272">
        <v>270</v>
      </c>
      <c r="B272">
        <v>4608</v>
      </c>
      <c r="C272" t="b">
        <v>1</v>
      </c>
      <c r="D272">
        <v>8128</v>
      </c>
      <c r="E272">
        <v>8184</v>
      </c>
      <c r="F272">
        <v>294.39999999999998</v>
      </c>
      <c r="G272">
        <v>283.93331999999998</v>
      </c>
      <c r="H272">
        <v>1.0368630999999999</v>
      </c>
      <c r="I272">
        <v>-3.6863144E-2</v>
      </c>
      <c r="J272">
        <v>0.49095100000000003</v>
      </c>
    </row>
    <row r="273" spans="1:10" x14ac:dyDescent="0.3">
      <c r="A273">
        <v>271</v>
      </c>
      <c r="B273">
        <v>4623</v>
      </c>
      <c r="C273" t="b">
        <v>1</v>
      </c>
      <c r="D273">
        <v>8112</v>
      </c>
      <c r="E273">
        <v>8152</v>
      </c>
      <c r="F273">
        <v>293.86667</v>
      </c>
      <c r="G273">
        <v>284.46667000000002</v>
      </c>
      <c r="H273">
        <v>1.0330442</v>
      </c>
      <c r="I273">
        <v>-3.3044270000000001E-2</v>
      </c>
      <c r="J273">
        <v>0.49187317000000003</v>
      </c>
    </row>
    <row r="274" spans="1:10" x14ac:dyDescent="0.3">
      <c r="A274">
        <v>272</v>
      </c>
      <c r="B274">
        <v>4640</v>
      </c>
      <c r="C274" t="b">
        <v>1</v>
      </c>
      <c r="D274">
        <v>8096</v>
      </c>
      <c r="E274">
        <v>8160</v>
      </c>
      <c r="F274">
        <v>291.2</v>
      </c>
      <c r="G274">
        <v>283.39999999999998</v>
      </c>
      <c r="H274">
        <v>1.027523</v>
      </c>
      <c r="I274">
        <v>-2.7523002000000001E-2</v>
      </c>
      <c r="J274">
        <v>0.49321267000000002</v>
      </c>
    </row>
    <row r="275" spans="1:10" x14ac:dyDescent="0.3">
      <c r="A275">
        <v>273</v>
      </c>
      <c r="B275">
        <v>4655</v>
      </c>
      <c r="C275" t="b">
        <v>1</v>
      </c>
      <c r="D275">
        <v>8144</v>
      </c>
      <c r="E275">
        <v>8200</v>
      </c>
      <c r="F275">
        <v>290.13333</v>
      </c>
      <c r="G275">
        <v>282.33334000000002</v>
      </c>
      <c r="H275">
        <v>1.0276269</v>
      </c>
      <c r="I275">
        <v>-2.7626873999999999E-2</v>
      </c>
      <c r="J275">
        <v>0.4931874</v>
      </c>
    </row>
    <row r="276" spans="1:10" x14ac:dyDescent="0.3">
      <c r="A276">
        <v>274</v>
      </c>
      <c r="B276">
        <v>4671</v>
      </c>
      <c r="C276" t="b">
        <v>1</v>
      </c>
      <c r="D276">
        <v>8144</v>
      </c>
      <c r="E276">
        <v>8208</v>
      </c>
      <c r="F276">
        <v>289.60000000000002</v>
      </c>
      <c r="G276">
        <v>281.26666</v>
      </c>
      <c r="H276">
        <v>1.0296278999999999</v>
      </c>
      <c r="I276">
        <v>-2.962791E-2</v>
      </c>
      <c r="J276">
        <v>0.4927011</v>
      </c>
    </row>
    <row r="277" spans="1:10" x14ac:dyDescent="0.3">
      <c r="A277">
        <v>275</v>
      </c>
      <c r="B277">
        <v>4703</v>
      </c>
      <c r="C277" t="b">
        <v>1</v>
      </c>
      <c r="D277">
        <v>8120</v>
      </c>
      <c r="E277">
        <v>8152</v>
      </c>
      <c r="F277">
        <v>288.53332999999998</v>
      </c>
      <c r="G277">
        <v>279.13333</v>
      </c>
      <c r="H277">
        <v>1.0336757000000001</v>
      </c>
      <c r="I277">
        <v>-3.367564E-2</v>
      </c>
      <c r="J277">
        <v>0.49172052999999999</v>
      </c>
    </row>
    <row r="278" spans="1:10" x14ac:dyDescent="0.3">
      <c r="A278">
        <v>276</v>
      </c>
      <c r="B278">
        <v>4719</v>
      </c>
      <c r="C278" t="b">
        <v>1</v>
      </c>
      <c r="D278">
        <v>8112</v>
      </c>
      <c r="E278">
        <v>8200</v>
      </c>
      <c r="F278">
        <v>288</v>
      </c>
      <c r="G278">
        <v>279.13333</v>
      </c>
      <c r="H278">
        <v>1.031765</v>
      </c>
      <c r="I278">
        <v>-3.1764994999999997E-2</v>
      </c>
      <c r="J278">
        <v>0.49218294000000001</v>
      </c>
    </row>
    <row r="279" spans="1:10" x14ac:dyDescent="0.3">
      <c r="A279">
        <v>277</v>
      </c>
      <c r="B279">
        <v>4735</v>
      </c>
      <c r="C279" t="b">
        <v>1</v>
      </c>
      <c r="D279">
        <v>8128</v>
      </c>
      <c r="E279">
        <v>8184</v>
      </c>
      <c r="F279">
        <v>288</v>
      </c>
      <c r="G279">
        <v>279.13333</v>
      </c>
      <c r="H279">
        <v>1.031765</v>
      </c>
      <c r="I279">
        <v>-3.1764994999999997E-2</v>
      </c>
      <c r="J279">
        <v>0.49218294000000001</v>
      </c>
    </row>
    <row r="280" spans="1:10" x14ac:dyDescent="0.3">
      <c r="A280">
        <v>278</v>
      </c>
      <c r="B280">
        <v>4751</v>
      </c>
      <c r="C280" t="b">
        <v>1</v>
      </c>
      <c r="D280">
        <v>8136</v>
      </c>
      <c r="E280">
        <v>8224</v>
      </c>
      <c r="F280">
        <v>287.46667000000002</v>
      </c>
      <c r="G280">
        <v>279.13333</v>
      </c>
      <c r="H280">
        <v>1.0298543</v>
      </c>
      <c r="I280">
        <v>-2.9854347999999999E-2</v>
      </c>
      <c r="J280">
        <v>0.49264622000000002</v>
      </c>
    </row>
    <row r="281" spans="1:10" x14ac:dyDescent="0.3">
      <c r="A281">
        <v>279</v>
      </c>
      <c r="B281">
        <v>4767</v>
      </c>
      <c r="C281" t="b">
        <v>1</v>
      </c>
      <c r="D281">
        <v>8088</v>
      </c>
      <c r="E281">
        <v>8200</v>
      </c>
      <c r="F281">
        <v>286.39999999999998</v>
      </c>
      <c r="G281">
        <v>279.13333</v>
      </c>
      <c r="H281">
        <v>1.0260328999999999</v>
      </c>
      <c r="I281">
        <v>-2.6032944999999998E-2</v>
      </c>
      <c r="J281">
        <v>0.4935754</v>
      </c>
    </row>
    <row r="282" spans="1:10" x14ac:dyDescent="0.3">
      <c r="A282">
        <v>280</v>
      </c>
      <c r="B282">
        <v>4783</v>
      </c>
      <c r="C282" t="b">
        <v>1</v>
      </c>
      <c r="D282">
        <v>8120</v>
      </c>
      <c r="E282">
        <v>8176</v>
      </c>
      <c r="F282">
        <v>285.33334000000002</v>
      </c>
      <c r="G282">
        <v>279.13333</v>
      </c>
      <c r="H282">
        <v>1.0222116999999999</v>
      </c>
      <c r="I282">
        <v>-2.2211649999999999E-2</v>
      </c>
      <c r="J282">
        <v>0.49450810000000001</v>
      </c>
    </row>
    <row r="283" spans="1:10" x14ac:dyDescent="0.3">
      <c r="A283">
        <v>281</v>
      </c>
      <c r="B283">
        <v>4798</v>
      </c>
      <c r="C283" t="b">
        <v>1</v>
      </c>
      <c r="D283">
        <v>8120</v>
      </c>
      <c r="E283">
        <v>8176</v>
      </c>
      <c r="F283">
        <v>284.26666</v>
      </c>
      <c r="G283">
        <v>278.06668000000002</v>
      </c>
      <c r="H283">
        <v>1.0222967999999999</v>
      </c>
      <c r="I283">
        <v>-2.2296743000000001E-2</v>
      </c>
      <c r="J283">
        <v>0.49448725999999998</v>
      </c>
    </row>
    <row r="284" spans="1:10" x14ac:dyDescent="0.3">
      <c r="A284">
        <v>282</v>
      </c>
      <c r="B284">
        <v>4814</v>
      </c>
      <c r="C284" t="b">
        <v>1</v>
      </c>
      <c r="D284">
        <v>8104</v>
      </c>
      <c r="E284">
        <v>8168</v>
      </c>
      <c r="F284">
        <v>283.2</v>
      </c>
      <c r="G284">
        <v>276.46667000000002</v>
      </c>
      <c r="H284">
        <v>1.0243549000000001</v>
      </c>
      <c r="I284">
        <v>-2.435497E-2</v>
      </c>
      <c r="J284">
        <v>0.49398451999999998</v>
      </c>
    </row>
    <row r="285" spans="1:10" x14ac:dyDescent="0.3">
      <c r="A285">
        <v>283</v>
      </c>
      <c r="B285">
        <v>4830</v>
      </c>
      <c r="C285" t="b">
        <v>1</v>
      </c>
      <c r="D285">
        <v>8128</v>
      </c>
      <c r="E285">
        <v>8208</v>
      </c>
      <c r="F285">
        <v>282.13333</v>
      </c>
      <c r="G285">
        <v>274.86667</v>
      </c>
      <c r="H285">
        <v>1.026437</v>
      </c>
      <c r="I285">
        <v>-2.6437045999999999E-2</v>
      </c>
      <c r="J285">
        <v>0.49347696000000002</v>
      </c>
    </row>
    <row r="286" spans="1:10" x14ac:dyDescent="0.3">
      <c r="A286">
        <v>284</v>
      </c>
      <c r="B286">
        <v>4846</v>
      </c>
      <c r="C286" t="b">
        <v>1</v>
      </c>
      <c r="D286">
        <v>8096</v>
      </c>
      <c r="E286">
        <v>8216</v>
      </c>
      <c r="F286">
        <v>281.60000000000002</v>
      </c>
      <c r="G286">
        <v>273.26666</v>
      </c>
      <c r="H286">
        <v>1.0304952999999999</v>
      </c>
      <c r="I286">
        <v>-3.049528E-2</v>
      </c>
      <c r="J286">
        <v>0.49249064999999997</v>
      </c>
    </row>
    <row r="287" spans="1:10" x14ac:dyDescent="0.3">
      <c r="A287">
        <v>285</v>
      </c>
      <c r="B287">
        <v>4862</v>
      </c>
      <c r="C287" t="b">
        <v>1</v>
      </c>
      <c r="D287">
        <v>8088</v>
      </c>
      <c r="E287">
        <v>8176</v>
      </c>
      <c r="F287">
        <v>280</v>
      </c>
      <c r="G287">
        <v>271.66665999999998</v>
      </c>
      <c r="H287">
        <v>1.0306748999999999</v>
      </c>
      <c r="I287">
        <v>-3.0674885999999998E-2</v>
      </c>
      <c r="J287">
        <v>0.49244714000000001</v>
      </c>
    </row>
    <row r="288" spans="1:10" x14ac:dyDescent="0.3">
      <c r="A288">
        <v>286</v>
      </c>
      <c r="B288">
        <v>4878</v>
      </c>
      <c r="C288" t="b">
        <v>1</v>
      </c>
      <c r="D288">
        <v>8120</v>
      </c>
      <c r="E288">
        <v>8176</v>
      </c>
      <c r="F288">
        <v>278.39999999999998</v>
      </c>
      <c r="G288">
        <v>270.06668000000002</v>
      </c>
      <c r="H288">
        <v>1.0308565000000001</v>
      </c>
      <c r="I288">
        <v>-3.0856501000000001E-2</v>
      </c>
      <c r="J288">
        <v>0.49240309999999998</v>
      </c>
    </row>
    <row r="289" spans="1:10" x14ac:dyDescent="0.3">
      <c r="A289">
        <v>287</v>
      </c>
      <c r="B289">
        <v>4894</v>
      </c>
      <c r="C289" t="b">
        <v>1</v>
      </c>
      <c r="D289">
        <v>8112</v>
      </c>
      <c r="E289">
        <v>8176</v>
      </c>
      <c r="F289">
        <v>278.39999999999998</v>
      </c>
      <c r="G289">
        <v>269.53332999999998</v>
      </c>
      <c r="H289">
        <v>1.0328964</v>
      </c>
      <c r="I289">
        <v>-3.2896373E-2</v>
      </c>
      <c r="J289">
        <v>0.49190897</v>
      </c>
    </row>
    <row r="290" spans="1:10" x14ac:dyDescent="0.3">
      <c r="A290">
        <v>288</v>
      </c>
      <c r="B290">
        <v>4910</v>
      </c>
      <c r="C290" t="b">
        <v>1</v>
      </c>
      <c r="D290">
        <v>8152</v>
      </c>
      <c r="E290">
        <v>8192</v>
      </c>
      <c r="F290">
        <v>278.39999999999998</v>
      </c>
      <c r="G290">
        <v>269</v>
      </c>
      <c r="H290">
        <v>1.0349442</v>
      </c>
      <c r="I290">
        <v>-3.4944214000000001E-2</v>
      </c>
      <c r="J290">
        <v>0.49141392</v>
      </c>
    </row>
    <row r="291" spans="1:10" x14ac:dyDescent="0.3">
      <c r="A291">
        <v>289</v>
      </c>
      <c r="B291">
        <v>4926</v>
      </c>
      <c r="C291" t="b">
        <v>1</v>
      </c>
      <c r="D291">
        <v>8104</v>
      </c>
      <c r="E291">
        <v>8224</v>
      </c>
      <c r="F291">
        <v>277.33334000000002</v>
      </c>
      <c r="G291">
        <v>268.46667000000002</v>
      </c>
      <c r="H291">
        <v>1.0330269999999999</v>
      </c>
      <c r="I291">
        <v>-3.3027075000000003E-2</v>
      </c>
      <c r="J291">
        <v>0.49187734999999999</v>
      </c>
    </row>
    <row r="292" spans="1:10" x14ac:dyDescent="0.3">
      <c r="A292">
        <v>290</v>
      </c>
      <c r="B292">
        <v>4942</v>
      </c>
      <c r="C292" t="b">
        <v>1</v>
      </c>
      <c r="D292">
        <v>8088</v>
      </c>
      <c r="E292">
        <v>8200</v>
      </c>
      <c r="F292">
        <v>276.8</v>
      </c>
      <c r="G292">
        <v>270.60000000000002</v>
      </c>
      <c r="H292">
        <v>1.022912</v>
      </c>
      <c r="I292">
        <v>-2.2911978999999999E-2</v>
      </c>
      <c r="J292">
        <v>0.49433684</v>
      </c>
    </row>
    <row r="293" spans="1:10" x14ac:dyDescent="0.3">
      <c r="A293">
        <v>291</v>
      </c>
      <c r="B293">
        <v>4958</v>
      </c>
      <c r="C293" t="b">
        <v>1</v>
      </c>
      <c r="D293">
        <v>8128</v>
      </c>
      <c r="E293">
        <v>8176</v>
      </c>
      <c r="F293">
        <v>276.26666</v>
      </c>
      <c r="G293">
        <v>270.06668000000002</v>
      </c>
      <c r="H293">
        <v>1.0229572</v>
      </c>
      <c r="I293">
        <v>-2.2957226000000001E-2</v>
      </c>
      <c r="J293">
        <v>0.49432579999999998</v>
      </c>
    </row>
    <row r="294" spans="1:10" x14ac:dyDescent="0.3">
      <c r="A294">
        <v>292</v>
      </c>
      <c r="B294">
        <v>4974</v>
      </c>
      <c r="C294" t="b">
        <v>1</v>
      </c>
      <c r="D294">
        <v>8128</v>
      </c>
      <c r="E294">
        <v>8200</v>
      </c>
      <c r="F294">
        <v>276.26666</v>
      </c>
      <c r="G294">
        <v>270.06668000000002</v>
      </c>
      <c r="H294">
        <v>1.0229572</v>
      </c>
      <c r="I294">
        <v>-2.2957226000000001E-2</v>
      </c>
      <c r="J294">
        <v>0.49432579999999998</v>
      </c>
    </row>
    <row r="295" spans="1:10" x14ac:dyDescent="0.3">
      <c r="A295">
        <v>293</v>
      </c>
      <c r="B295">
        <v>4990</v>
      </c>
      <c r="C295" t="b">
        <v>1</v>
      </c>
      <c r="D295">
        <v>8112</v>
      </c>
      <c r="E295">
        <v>8208</v>
      </c>
      <c r="F295">
        <v>275.2</v>
      </c>
      <c r="G295">
        <v>270.06668000000002</v>
      </c>
      <c r="H295">
        <v>1.0190077</v>
      </c>
      <c r="I295">
        <v>-1.9007644000000001E-2</v>
      </c>
      <c r="J295">
        <v>0.49529277999999999</v>
      </c>
    </row>
    <row r="296" spans="1:10" x14ac:dyDescent="0.3">
      <c r="A296">
        <v>294</v>
      </c>
      <c r="B296">
        <v>5006</v>
      </c>
      <c r="C296" t="b">
        <v>1</v>
      </c>
      <c r="D296">
        <v>8120</v>
      </c>
      <c r="E296">
        <v>8200</v>
      </c>
      <c r="F296">
        <v>275.2</v>
      </c>
      <c r="G296">
        <v>270.06668000000002</v>
      </c>
      <c r="H296">
        <v>1.0190077</v>
      </c>
      <c r="I296">
        <v>-1.9007644000000001E-2</v>
      </c>
      <c r="J296">
        <v>0.49529277999999999</v>
      </c>
    </row>
    <row r="297" spans="1:10" x14ac:dyDescent="0.3">
      <c r="A297">
        <v>295</v>
      </c>
      <c r="B297">
        <v>5022</v>
      </c>
      <c r="C297" t="b">
        <v>1</v>
      </c>
      <c r="D297">
        <v>8152</v>
      </c>
      <c r="E297">
        <v>8200</v>
      </c>
      <c r="F297">
        <v>275.73334</v>
      </c>
      <c r="G297">
        <v>270.06668000000002</v>
      </c>
      <c r="H297">
        <v>1.0209824000000001</v>
      </c>
      <c r="I297">
        <v>-2.0982435000000001E-2</v>
      </c>
      <c r="J297">
        <v>0.49480881999999998</v>
      </c>
    </row>
    <row r="298" spans="1:10" x14ac:dyDescent="0.3">
      <c r="A298">
        <v>296</v>
      </c>
      <c r="B298">
        <v>5038</v>
      </c>
      <c r="C298" t="b">
        <v>1</v>
      </c>
      <c r="D298">
        <v>8120</v>
      </c>
      <c r="E298">
        <v>8184</v>
      </c>
      <c r="F298">
        <v>275.73334</v>
      </c>
      <c r="G298">
        <v>271.13333</v>
      </c>
      <c r="H298">
        <v>1.0169659</v>
      </c>
      <c r="I298">
        <v>-1.6965846E-2</v>
      </c>
      <c r="J298">
        <v>0.49579417999999997</v>
      </c>
    </row>
    <row r="299" spans="1:10" x14ac:dyDescent="0.3">
      <c r="A299">
        <v>297</v>
      </c>
      <c r="B299">
        <v>5054</v>
      </c>
      <c r="C299" t="b">
        <v>1</v>
      </c>
      <c r="D299">
        <v>8112</v>
      </c>
      <c r="E299">
        <v>8176</v>
      </c>
      <c r="F299">
        <v>275.73334</v>
      </c>
      <c r="G299">
        <v>272.73334</v>
      </c>
      <c r="H299">
        <v>1.0109998</v>
      </c>
      <c r="I299">
        <v>-1.0999755E-2</v>
      </c>
      <c r="J299">
        <v>0.49726510000000002</v>
      </c>
    </row>
    <row r="300" spans="1:10" x14ac:dyDescent="0.3">
      <c r="A300">
        <v>298</v>
      </c>
      <c r="B300">
        <v>5070</v>
      </c>
      <c r="C300" t="b">
        <v>1</v>
      </c>
      <c r="D300">
        <v>8152</v>
      </c>
      <c r="E300">
        <v>8176</v>
      </c>
      <c r="F300">
        <v>275.73334</v>
      </c>
      <c r="G300">
        <v>273.26666</v>
      </c>
      <c r="H300">
        <v>1.0090266000000001</v>
      </c>
      <c r="I300">
        <v>-9.0266215E-3</v>
      </c>
      <c r="J300">
        <v>0.49775346999999998</v>
      </c>
    </row>
    <row r="301" spans="1:10" x14ac:dyDescent="0.3">
      <c r="A301">
        <v>299</v>
      </c>
      <c r="B301">
        <v>5086</v>
      </c>
      <c r="C301" t="b">
        <v>1</v>
      </c>
      <c r="D301">
        <v>8144</v>
      </c>
      <c r="E301">
        <v>8176</v>
      </c>
      <c r="F301">
        <v>277.33334000000002</v>
      </c>
      <c r="G301">
        <v>273.26666</v>
      </c>
      <c r="H301">
        <v>1.0148817000000001</v>
      </c>
      <c r="I301">
        <v>-1.4881731E-2</v>
      </c>
      <c r="J301">
        <v>0.49630708000000001</v>
      </c>
    </row>
    <row r="302" spans="1:10" x14ac:dyDescent="0.3">
      <c r="A302">
        <v>300</v>
      </c>
      <c r="B302">
        <v>5102</v>
      </c>
      <c r="C302" t="b">
        <v>1</v>
      </c>
      <c r="D302">
        <v>8128</v>
      </c>
      <c r="E302">
        <v>8176</v>
      </c>
      <c r="F302">
        <v>278.93331999999998</v>
      </c>
      <c r="G302">
        <v>273.26666</v>
      </c>
      <c r="H302">
        <v>1.0207367000000001</v>
      </c>
      <c r="I302">
        <v>-2.0736727999999999E-2</v>
      </c>
      <c r="J302">
        <v>0.49486904999999998</v>
      </c>
    </row>
    <row r="303" spans="1:10" x14ac:dyDescent="0.3">
      <c r="A303">
        <v>301</v>
      </c>
      <c r="B303">
        <v>5134</v>
      </c>
      <c r="C303" t="b">
        <v>1</v>
      </c>
      <c r="D303">
        <v>8152</v>
      </c>
      <c r="E303">
        <v>8216</v>
      </c>
      <c r="F303">
        <v>281.60000000000002</v>
      </c>
      <c r="G303">
        <v>273.26666</v>
      </c>
      <c r="H303">
        <v>1.0304952999999999</v>
      </c>
      <c r="I303">
        <v>-3.049528E-2</v>
      </c>
      <c r="J303">
        <v>0.49249064999999997</v>
      </c>
    </row>
    <row r="304" spans="1:10" x14ac:dyDescent="0.3">
      <c r="A304">
        <v>302</v>
      </c>
      <c r="B304">
        <v>5150</v>
      </c>
      <c r="C304" t="b">
        <v>1</v>
      </c>
      <c r="D304">
        <v>8128</v>
      </c>
      <c r="E304">
        <v>8192</v>
      </c>
      <c r="F304">
        <v>283.73334</v>
      </c>
      <c r="G304">
        <v>273.26666</v>
      </c>
      <c r="H304">
        <v>1.0383020999999999</v>
      </c>
      <c r="I304">
        <v>-3.8302056000000001E-2</v>
      </c>
      <c r="J304">
        <v>0.49060442999999998</v>
      </c>
    </row>
    <row r="305" spans="1:10" x14ac:dyDescent="0.3">
      <c r="A305">
        <v>303</v>
      </c>
      <c r="B305">
        <v>5166</v>
      </c>
      <c r="C305" t="b">
        <v>1</v>
      </c>
      <c r="D305">
        <v>8136</v>
      </c>
      <c r="E305">
        <v>8176</v>
      </c>
      <c r="F305">
        <v>285.33334000000002</v>
      </c>
      <c r="G305">
        <v>273.26666</v>
      </c>
      <c r="H305">
        <v>1.0441571000000001</v>
      </c>
      <c r="I305">
        <v>-4.4157165999999998E-2</v>
      </c>
      <c r="J305">
        <v>0.4891992</v>
      </c>
    </row>
    <row r="306" spans="1:10" x14ac:dyDescent="0.3">
      <c r="A306">
        <v>304</v>
      </c>
      <c r="B306">
        <v>5182</v>
      </c>
      <c r="C306" t="b">
        <v>1</v>
      </c>
      <c r="D306">
        <v>8128</v>
      </c>
      <c r="E306">
        <v>8200</v>
      </c>
      <c r="F306">
        <v>286.39999999999998</v>
      </c>
      <c r="G306">
        <v>274.33334000000002</v>
      </c>
      <c r="H306">
        <v>1.0439854</v>
      </c>
      <c r="I306">
        <v>-4.3985360000000001E-2</v>
      </c>
      <c r="J306">
        <v>0.48924030000000002</v>
      </c>
    </row>
    <row r="307" spans="1:10" x14ac:dyDescent="0.3">
      <c r="A307">
        <v>305</v>
      </c>
      <c r="B307">
        <v>5198</v>
      </c>
      <c r="C307" t="b">
        <v>1</v>
      </c>
      <c r="D307">
        <v>8144</v>
      </c>
      <c r="E307">
        <v>8224</v>
      </c>
      <c r="F307">
        <v>288</v>
      </c>
      <c r="G307">
        <v>274.86667</v>
      </c>
      <c r="H307">
        <v>1.0477808</v>
      </c>
      <c r="I307">
        <v>-4.7780733999999998E-2</v>
      </c>
      <c r="J307">
        <v>0.48833349999999998</v>
      </c>
    </row>
    <row r="308" spans="1:10" x14ac:dyDescent="0.3">
      <c r="A308">
        <v>306</v>
      </c>
      <c r="B308">
        <v>5214</v>
      </c>
      <c r="C308" t="b">
        <v>1</v>
      </c>
      <c r="D308">
        <v>8136</v>
      </c>
      <c r="E308">
        <v>8216</v>
      </c>
      <c r="F308">
        <v>289.60000000000002</v>
      </c>
      <c r="G308">
        <v>275.39999999999998</v>
      </c>
      <c r="H308">
        <v>1.0515614</v>
      </c>
      <c r="I308">
        <v>-5.1561410000000002E-2</v>
      </c>
      <c r="J308">
        <v>0.48743360000000002</v>
      </c>
    </row>
    <row r="309" spans="1:10" x14ac:dyDescent="0.3">
      <c r="A309">
        <v>307</v>
      </c>
      <c r="B309">
        <v>5230</v>
      </c>
      <c r="C309" t="b">
        <v>1</v>
      </c>
      <c r="D309">
        <v>8104</v>
      </c>
      <c r="E309">
        <v>8176</v>
      </c>
      <c r="F309">
        <v>290.13333</v>
      </c>
      <c r="G309">
        <v>275.39999999999998</v>
      </c>
      <c r="H309">
        <v>1.0534979</v>
      </c>
      <c r="I309">
        <v>-5.3497959999999997E-2</v>
      </c>
      <c r="J309">
        <v>0.48697393999999999</v>
      </c>
    </row>
    <row r="310" spans="1:10" x14ac:dyDescent="0.3">
      <c r="A310">
        <v>308</v>
      </c>
      <c r="B310">
        <v>5246</v>
      </c>
      <c r="C310" t="b">
        <v>1</v>
      </c>
      <c r="D310">
        <v>8104</v>
      </c>
      <c r="E310">
        <v>8144</v>
      </c>
      <c r="F310">
        <v>291.2</v>
      </c>
      <c r="G310">
        <v>275.39999999999998</v>
      </c>
      <c r="H310">
        <v>1.0573710999999999</v>
      </c>
      <c r="I310">
        <v>-5.7371166000000001E-2</v>
      </c>
      <c r="J310">
        <v>0.48605720000000002</v>
      </c>
    </row>
    <row r="311" spans="1:10" x14ac:dyDescent="0.3">
      <c r="A311">
        <v>309</v>
      </c>
      <c r="B311">
        <v>5261</v>
      </c>
      <c r="C311" t="b">
        <v>1</v>
      </c>
      <c r="D311">
        <v>8104</v>
      </c>
      <c r="E311">
        <v>8184</v>
      </c>
      <c r="F311">
        <v>290.13333</v>
      </c>
      <c r="G311">
        <v>274.33334000000002</v>
      </c>
      <c r="H311">
        <v>1.0575942</v>
      </c>
      <c r="I311">
        <v>-5.7594119999999999E-2</v>
      </c>
      <c r="J311">
        <v>0.48600450000000001</v>
      </c>
    </row>
    <row r="312" spans="1:10" x14ac:dyDescent="0.3">
      <c r="A312">
        <v>310</v>
      </c>
      <c r="B312">
        <v>5277</v>
      </c>
      <c r="C312" t="b">
        <v>1</v>
      </c>
      <c r="D312">
        <v>8136</v>
      </c>
      <c r="E312">
        <v>8192</v>
      </c>
      <c r="F312">
        <v>288.53332999999998</v>
      </c>
      <c r="G312">
        <v>273.26666</v>
      </c>
      <c r="H312">
        <v>1.0558673000000001</v>
      </c>
      <c r="I312">
        <v>-5.5867269999999997E-2</v>
      </c>
      <c r="J312">
        <v>0.48641273000000002</v>
      </c>
    </row>
    <row r="313" spans="1:10" x14ac:dyDescent="0.3">
      <c r="A313">
        <v>311</v>
      </c>
      <c r="B313">
        <v>5293</v>
      </c>
      <c r="C313" t="b">
        <v>1</v>
      </c>
      <c r="D313">
        <v>8112</v>
      </c>
      <c r="E313">
        <v>8192</v>
      </c>
      <c r="F313">
        <v>287.46667000000002</v>
      </c>
      <c r="G313">
        <v>272.2</v>
      </c>
      <c r="H313">
        <v>1.0560862</v>
      </c>
      <c r="I313">
        <v>-5.6086193999999999E-2</v>
      </c>
      <c r="J313">
        <v>0.48636094000000002</v>
      </c>
    </row>
    <row r="314" spans="1:10" x14ac:dyDescent="0.3">
      <c r="A314">
        <v>312</v>
      </c>
      <c r="B314">
        <v>5309</v>
      </c>
      <c r="C314" t="b">
        <v>1</v>
      </c>
      <c r="D314">
        <v>8104</v>
      </c>
      <c r="E314">
        <v>8136</v>
      </c>
      <c r="F314">
        <v>286.39999999999998</v>
      </c>
      <c r="G314">
        <v>271.13333</v>
      </c>
      <c r="H314">
        <v>1.0563068</v>
      </c>
      <c r="I314">
        <v>-5.6306846000000001E-2</v>
      </c>
      <c r="J314">
        <v>0.48630875000000001</v>
      </c>
    </row>
    <row r="315" spans="1:10" x14ac:dyDescent="0.3">
      <c r="A315">
        <v>313</v>
      </c>
      <c r="B315">
        <v>5324</v>
      </c>
      <c r="C315" t="b">
        <v>1</v>
      </c>
      <c r="D315">
        <v>8144</v>
      </c>
      <c r="E315">
        <v>8168</v>
      </c>
      <c r="F315">
        <v>285.86667</v>
      </c>
      <c r="G315">
        <v>271.13333</v>
      </c>
      <c r="H315">
        <v>1.0543397999999999</v>
      </c>
      <c r="I315">
        <v>-5.4339822000000003E-2</v>
      </c>
      <c r="J315">
        <v>0.48677438000000001</v>
      </c>
    </row>
    <row r="316" spans="1:10" x14ac:dyDescent="0.3">
      <c r="A316">
        <v>314</v>
      </c>
      <c r="B316">
        <v>5340</v>
      </c>
      <c r="C316" t="b">
        <v>1</v>
      </c>
      <c r="D316">
        <v>8128</v>
      </c>
      <c r="E316">
        <v>8200</v>
      </c>
      <c r="F316">
        <v>284.8</v>
      </c>
      <c r="G316">
        <v>272.2</v>
      </c>
      <c r="H316">
        <v>1.0462894</v>
      </c>
      <c r="I316">
        <v>-4.6289403E-2</v>
      </c>
      <c r="J316">
        <v>0.48868941999999999</v>
      </c>
    </row>
    <row r="317" spans="1:10" x14ac:dyDescent="0.3">
      <c r="A317">
        <v>315</v>
      </c>
      <c r="B317">
        <v>5356</v>
      </c>
      <c r="C317" t="b">
        <v>1</v>
      </c>
      <c r="D317">
        <v>8088</v>
      </c>
      <c r="E317">
        <v>8200</v>
      </c>
      <c r="F317">
        <v>283.73334</v>
      </c>
      <c r="G317">
        <v>273.26666</v>
      </c>
      <c r="H317">
        <v>1.0383020999999999</v>
      </c>
      <c r="I317">
        <v>-3.8302056000000001E-2</v>
      </c>
      <c r="J317">
        <v>0.49060442999999998</v>
      </c>
    </row>
    <row r="318" spans="1:10" x14ac:dyDescent="0.3">
      <c r="A318">
        <v>316</v>
      </c>
      <c r="B318">
        <v>5372</v>
      </c>
      <c r="C318" t="b">
        <v>1</v>
      </c>
      <c r="D318">
        <v>8152</v>
      </c>
      <c r="E318">
        <v>8192</v>
      </c>
      <c r="F318">
        <v>282.66665999999998</v>
      </c>
      <c r="G318">
        <v>274.33334000000002</v>
      </c>
      <c r="H318">
        <v>1.0303766000000001</v>
      </c>
      <c r="I318">
        <v>-3.0376594999999999E-2</v>
      </c>
      <c r="J318">
        <v>0.49251947000000001</v>
      </c>
    </row>
    <row r="319" spans="1:10" x14ac:dyDescent="0.3">
      <c r="A319">
        <v>317</v>
      </c>
      <c r="B319">
        <v>5388</v>
      </c>
      <c r="C319" t="b">
        <v>1</v>
      </c>
      <c r="D319">
        <v>8104</v>
      </c>
      <c r="E319">
        <v>8216</v>
      </c>
      <c r="F319">
        <v>281.60000000000002</v>
      </c>
      <c r="G319">
        <v>275.93331999999998</v>
      </c>
      <c r="H319">
        <v>1.0205363999999999</v>
      </c>
      <c r="I319">
        <v>-2.0536436000000002E-2</v>
      </c>
      <c r="J319">
        <v>0.49491807999999998</v>
      </c>
    </row>
    <row r="320" spans="1:10" x14ac:dyDescent="0.3">
      <c r="A320">
        <v>318</v>
      </c>
      <c r="B320">
        <v>5404</v>
      </c>
      <c r="C320" t="b">
        <v>1</v>
      </c>
      <c r="D320">
        <v>8112</v>
      </c>
      <c r="E320">
        <v>8168</v>
      </c>
      <c r="F320">
        <v>280</v>
      </c>
      <c r="G320">
        <v>277.53332999999998</v>
      </c>
      <c r="H320">
        <v>1.0088878999999999</v>
      </c>
      <c r="I320">
        <v>-8.8878510000000004E-3</v>
      </c>
      <c r="J320">
        <v>0.49778786000000003</v>
      </c>
    </row>
    <row r="321" spans="1:10" x14ac:dyDescent="0.3">
      <c r="A321">
        <v>319</v>
      </c>
      <c r="B321">
        <v>5420</v>
      </c>
      <c r="C321" t="b">
        <v>1</v>
      </c>
      <c r="D321">
        <v>8088</v>
      </c>
      <c r="E321">
        <v>8152</v>
      </c>
      <c r="F321">
        <v>278.39999999999998</v>
      </c>
      <c r="G321">
        <v>277.53332999999998</v>
      </c>
      <c r="H321">
        <v>1.0031228000000001</v>
      </c>
      <c r="I321">
        <v>-3.1227553000000002E-3</v>
      </c>
      <c r="J321">
        <v>0.49922050000000001</v>
      </c>
    </row>
    <row r="322" spans="1:10" x14ac:dyDescent="0.3">
      <c r="A322">
        <v>320</v>
      </c>
      <c r="B322">
        <v>5436</v>
      </c>
      <c r="C322" t="b">
        <v>1</v>
      </c>
      <c r="D322">
        <v>8096</v>
      </c>
      <c r="E322">
        <v>8232</v>
      </c>
      <c r="F322">
        <v>276.26666</v>
      </c>
      <c r="G322">
        <v>277</v>
      </c>
      <c r="H322">
        <v>0.99735260000000003</v>
      </c>
      <c r="I322">
        <v>2.6474274000000001E-3</v>
      </c>
      <c r="J322">
        <v>0.50066273999999999</v>
      </c>
    </row>
    <row r="323" spans="1:10" x14ac:dyDescent="0.3">
      <c r="A323">
        <v>321</v>
      </c>
      <c r="B323">
        <v>5452</v>
      </c>
      <c r="C323" t="b">
        <v>1</v>
      </c>
      <c r="D323">
        <v>8128</v>
      </c>
      <c r="E323">
        <v>8192</v>
      </c>
      <c r="F323">
        <v>274.13333</v>
      </c>
      <c r="G323">
        <v>276.46667000000002</v>
      </c>
      <c r="H323">
        <v>0.99156010000000006</v>
      </c>
      <c r="I323">
        <v>8.4398719999999993E-3</v>
      </c>
      <c r="J323">
        <v>0.50211894999999995</v>
      </c>
    </row>
    <row r="324" spans="1:10" x14ac:dyDescent="0.3">
      <c r="A324">
        <v>322</v>
      </c>
      <c r="B324">
        <v>5468</v>
      </c>
      <c r="C324" t="b">
        <v>1</v>
      </c>
      <c r="D324">
        <v>8144</v>
      </c>
      <c r="E324">
        <v>8136</v>
      </c>
      <c r="F324">
        <v>272.53332999999998</v>
      </c>
      <c r="G324">
        <v>274.33334000000002</v>
      </c>
      <c r="H324">
        <v>0.99343859999999995</v>
      </c>
      <c r="I324">
        <v>6.5614274E-3</v>
      </c>
      <c r="J324">
        <v>0.50164573999999995</v>
      </c>
    </row>
    <row r="325" spans="1:10" x14ac:dyDescent="0.3">
      <c r="A325">
        <v>323</v>
      </c>
      <c r="B325">
        <v>5484</v>
      </c>
      <c r="C325" t="b">
        <v>1</v>
      </c>
      <c r="D325">
        <v>8128</v>
      </c>
      <c r="E325">
        <v>8192</v>
      </c>
      <c r="F325">
        <v>272.53332999999998</v>
      </c>
      <c r="G325">
        <v>273.8</v>
      </c>
      <c r="H325">
        <v>0.99537379999999998</v>
      </c>
      <c r="I325">
        <v>4.6262330000000004E-3</v>
      </c>
      <c r="J325">
        <v>0.50115924999999995</v>
      </c>
    </row>
    <row r="326" spans="1:10" x14ac:dyDescent="0.3">
      <c r="A326">
        <v>324</v>
      </c>
      <c r="B326">
        <v>5500</v>
      </c>
      <c r="C326" t="b">
        <v>1</v>
      </c>
      <c r="D326">
        <v>8136</v>
      </c>
      <c r="E326">
        <v>8208</v>
      </c>
      <c r="F326">
        <v>274.13333</v>
      </c>
      <c r="G326">
        <v>274.33334000000002</v>
      </c>
      <c r="H326">
        <v>0.99927089999999996</v>
      </c>
      <c r="I326">
        <v>7.2908453999999997E-4</v>
      </c>
      <c r="J326">
        <v>0.50018233000000001</v>
      </c>
    </row>
    <row r="327" spans="1:10" x14ac:dyDescent="0.3">
      <c r="A327">
        <v>325</v>
      </c>
      <c r="B327">
        <v>5531</v>
      </c>
      <c r="C327" t="b">
        <v>1</v>
      </c>
      <c r="D327">
        <v>8096</v>
      </c>
      <c r="E327">
        <v>8224</v>
      </c>
      <c r="F327">
        <v>275.73334</v>
      </c>
      <c r="G327">
        <v>274.86667</v>
      </c>
      <c r="H327">
        <v>1.0031531</v>
      </c>
      <c r="I327">
        <v>-3.1530512000000001E-3</v>
      </c>
      <c r="J327">
        <v>0.49921300000000002</v>
      </c>
    </row>
    <row r="328" spans="1:10" x14ac:dyDescent="0.3">
      <c r="A328">
        <v>326</v>
      </c>
      <c r="B328">
        <v>5547</v>
      </c>
      <c r="C328" t="b">
        <v>1</v>
      </c>
      <c r="D328">
        <v>8104</v>
      </c>
      <c r="E328">
        <v>8200</v>
      </c>
      <c r="F328">
        <v>277.33334000000002</v>
      </c>
      <c r="G328">
        <v>275.93331999999998</v>
      </c>
      <c r="H328">
        <v>1.0050737999999999</v>
      </c>
      <c r="I328">
        <v>-5.0737780000000001E-3</v>
      </c>
      <c r="J328">
        <v>0.49873476999999999</v>
      </c>
    </row>
    <row r="329" spans="1:10" x14ac:dyDescent="0.3">
      <c r="A329">
        <v>327</v>
      </c>
      <c r="B329">
        <v>5563</v>
      </c>
      <c r="C329" t="b">
        <v>1</v>
      </c>
      <c r="D329">
        <v>8136</v>
      </c>
      <c r="E329">
        <v>8152</v>
      </c>
      <c r="F329">
        <v>278.93331999999998</v>
      </c>
      <c r="G329">
        <v>277</v>
      </c>
      <c r="H329">
        <v>1.0069794999999999</v>
      </c>
      <c r="I329">
        <v>-6.979491E-3</v>
      </c>
      <c r="J329">
        <v>0.49826114999999999</v>
      </c>
    </row>
    <row r="330" spans="1:10" x14ac:dyDescent="0.3">
      <c r="A330">
        <v>328</v>
      </c>
      <c r="B330">
        <v>5579</v>
      </c>
      <c r="C330" t="b">
        <v>1</v>
      </c>
      <c r="D330">
        <v>8120</v>
      </c>
      <c r="E330">
        <v>8152</v>
      </c>
      <c r="F330">
        <v>279.46667000000002</v>
      </c>
      <c r="G330">
        <v>278.06668000000002</v>
      </c>
      <c r="H330">
        <v>1.0050346999999999</v>
      </c>
      <c r="I330">
        <v>-5.0347415000000003E-3</v>
      </c>
      <c r="J330">
        <v>0.49874449999999998</v>
      </c>
    </row>
    <row r="331" spans="1:10" x14ac:dyDescent="0.3">
      <c r="A331">
        <v>329</v>
      </c>
      <c r="B331">
        <v>5595</v>
      </c>
      <c r="C331" t="b">
        <v>1</v>
      </c>
      <c r="D331">
        <v>8104</v>
      </c>
      <c r="E331">
        <v>8184</v>
      </c>
      <c r="F331">
        <v>277.86667</v>
      </c>
      <c r="G331">
        <v>277.53332999999998</v>
      </c>
      <c r="H331">
        <v>1.0012011999999999</v>
      </c>
      <c r="I331">
        <v>-1.2010937000000001E-3</v>
      </c>
      <c r="J331">
        <v>0.49969989999999997</v>
      </c>
    </row>
    <row r="332" spans="1:10" x14ac:dyDescent="0.3">
      <c r="A332">
        <v>330</v>
      </c>
      <c r="B332">
        <v>5611</v>
      </c>
      <c r="C332" t="b">
        <v>1</v>
      </c>
      <c r="D332">
        <v>8128</v>
      </c>
      <c r="E332">
        <v>8208</v>
      </c>
      <c r="F332">
        <v>278.39999999999998</v>
      </c>
      <c r="G332">
        <v>277</v>
      </c>
      <c r="H332">
        <v>1.0050541</v>
      </c>
      <c r="I332">
        <v>-5.0541298000000004E-3</v>
      </c>
      <c r="J332">
        <v>0.49873962999999999</v>
      </c>
    </row>
    <row r="333" spans="1:10" x14ac:dyDescent="0.3">
      <c r="A333">
        <v>331</v>
      </c>
      <c r="B333">
        <v>5627</v>
      </c>
      <c r="C333" t="b">
        <v>1</v>
      </c>
      <c r="D333">
        <v>8136</v>
      </c>
      <c r="E333">
        <v>8224</v>
      </c>
      <c r="F333">
        <v>278.39999999999998</v>
      </c>
      <c r="G333">
        <v>276.46667000000002</v>
      </c>
      <c r="H333">
        <v>1.0069929</v>
      </c>
      <c r="I333">
        <v>-6.9929550000000004E-3</v>
      </c>
      <c r="J333">
        <v>0.49825782000000002</v>
      </c>
    </row>
    <row r="334" spans="1:10" x14ac:dyDescent="0.3">
      <c r="A334">
        <v>332</v>
      </c>
      <c r="B334">
        <v>5643</v>
      </c>
      <c r="C334" t="b">
        <v>1</v>
      </c>
      <c r="D334">
        <v>8144</v>
      </c>
      <c r="E334">
        <v>8200</v>
      </c>
      <c r="F334">
        <v>278.39999999999998</v>
      </c>
      <c r="G334">
        <v>276.46667000000002</v>
      </c>
      <c r="H334">
        <v>1.0069929</v>
      </c>
      <c r="I334">
        <v>-6.9929550000000004E-3</v>
      </c>
      <c r="J334">
        <v>0.49825782000000002</v>
      </c>
    </row>
    <row r="335" spans="1:10" x14ac:dyDescent="0.3">
      <c r="A335">
        <v>333</v>
      </c>
      <c r="B335">
        <v>5659</v>
      </c>
      <c r="C335" t="b">
        <v>1</v>
      </c>
      <c r="D335">
        <v>8128</v>
      </c>
      <c r="E335">
        <v>8176</v>
      </c>
      <c r="F335">
        <v>279.46667000000002</v>
      </c>
      <c r="G335">
        <v>276.46667000000002</v>
      </c>
      <c r="H335">
        <v>1.0108512999999999</v>
      </c>
      <c r="I335">
        <v>-1.0851217E-2</v>
      </c>
      <c r="J335">
        <v>0.49730184999999999</v>
      </c>
    </row>
    <row r="336" spans="1:10" x14ac:dyDescent="0.3">
      <c r="A336">
        <v>334</v>
      </c>
      <c r="B336">
        <v>5675</v>
      </c>
      <c r="C336" t="b">
        <v>1</v>
      </c>
      <c r="D336">
        <v>8144</v>
      </c>
      <c r="E336">
        <v>8176</v>
      </c>
      <c r="F336">
        <v>281.60000000000002</v>
      </c>
      <c r="G336">
        <v>277</v>
      </c>
      <c r="H336">
        <v>1.0166066</v>
      </c>
      <c r="I336">
        <v>-1.660652E-2</v>
      </c>
      <c r="J336">
        <v>0.49588257000000002</v>
      </c>
    </row>
    <row r="337" spans="1:10" x14ac:dyDescent="0.3">
      <c r="A337">
        <v>335</v>
      </c>
      <c r="B337">
        <v>5691</v>
      </c>
      <c r="C337" t="b">
        <v>1</v>
      </c>
      <c r="D337">
        <v>8136</v>
      </c>
      <c r="E337">
        <v>8224</v>
      </c>
      <c r="F337">
        <v>283.73334</v>
      </c>
      <c r="G337">
        <v>277.53332999999998</v>
      </c>
      <c r="H337">
        <v>1.0223397000000001</v>
      </c>
      <c r="I337">
        <v>-2.2339703999999998E-2</v>
      </c>
      <c r="J337">
        <v>0.49447677000000001</v>
      </c>
    </row>
    <row r="338" spans="1:10" x14ac:dyDescent="0.3">
      <c r="A338">
        <v>336</v>
      </c>
      <c r="B338">
        <v>5707</v>
      </c>
      <c r="C338" t="b">
        <v>1</v>
      </c>
      <c r="D338">
        <v>8112</v>
      </c>
      <c r="E338">
        <v>8224</v>
      </c>
      <c r="F338">
        <v>285.86667</v>
      </c>
      <c r="G338">
        <v>278.06668000000002</v>
      </c>
      <c r="H338">
        <v>1.0280507999999999</v>
      </c>
      <c r="I338">
        <v>-2.8050782E-2</v>
      </c>
      <c r="J338">
        <v>0.49308429999999998</v>
      </c>
    </row>
    <row r="339" spans="1:10" x14ac:dyDescent="0.3">
      <c r="A339">
        <v>337</v>
      </c>
      <c r="B339">
        <v>5723</v>
      </c>
      <c r="C339" t="b">
        <v>1</v>
      </c>
      <c r="D339">
        <v>8104</v>
      </c>
      <c r="E339">
        <v>8216</v>
      </c>
      <c r="F339">
        <v>286.93331999999998</v>
      </c>
      <c r="G339">
        <v>281.26666</v>
      </c>
      <c r="H339">
        <v>1.0201469999999999</v>
      </c>
      <c r="I339">
        <v>-2.0146918E-2</v>
      </c>
      <c r="J339">
        <v>0.49501353999999997</v>
      </c>
    </row>
    <row r="340" spans="1:10" x14ac:dyDescent="0.3">
      <c r="A340">
        <v>338</v>
      </c>
      <c r="B340">
        <v>5739</v>
      </c>
      <c r="C340" t="b">
        <v>1</v>
      </c>
      <c r="D340">
        <v>8136</v>
      </c>
      <c r="E340">
        <v>8184</v>
      </c>
      <c r="F340">
        <v>287.46667000000002</v>
      </c>
      <c r="G340">
        <v>282.86667</v>
      </c>
      <c r="H340">
        <v>1.016262</v>
      </c>
      <c r="I340">
        <v>-1.6262101000000001E-2</v>
      </c>
      <c r="J340">
        <v>0.49596723999999998</v>
      </c>
    </row>
    <row r="341" spans="1:10" x14ac:dyDescent="0.3">
      <c r="A341">
        <v>339</v>
      </c>
      <c r="B341">
        <v>5755</v>
      </c>
      <c r="C341" t="b">
        <v>1</v>
      </c>
      <c r="D341">
        <v>8120</v>
      </c>
      <c r="E341">
        <v>8200</v>
      </c>
      <c r="F341">
        <v>286.93331999999998</v>
      </c>
      <c r="G341">
        <v>284.46667000000002</v>
      </c>
      <c r="H341">
        <v>1.0086712</v>
      </c>
      <c r="I341">
        <v>-8.6711189999999997E-3</v>
      </c>
      <c r="J341">
        <v>0.49784154000000003</v>
      </c>
    </row>
    <row r="342" spans="1:10" x14ac:dyDescent="0.3">
      <c r="A342">
        <v>340</v>
      </c>
      <c r="B342">
        <v>5771</v>
      </c>
      <c r="C342" t="b">
        <v>1</v>
      </c>
      <c r="D342">
        <v>8112</v>
      </c>
      <c r="E342">
        <v>8176</v>
      </c>
      <c r="F342">
        <v>285.86667</v>
      </c>
      <c r="G342">
        <v>285</v>
      </c>
      <c r="H342">
        <v>1.0030409</v>
      </c>
      <c r="I342">
        <v>-3.0409427999999999E-3</v>
      </c>
      <c r="J342">
        <v>0.49924089999999999</v>
      </c>
    </row>
    <row r="343" spans="1:10" x14ac:dyDescent="0.3">
      <c r="A343">
        <v>341</v>
      </c>
      <c r="B343">
        <v>5787</v>
      </c>
      <c r="C343" t="b">
        <v>1</v>
      </c>
      <c r="D343">
        <v>8080</v>
      </c>
      <c r="E343">
        <v>8208</v>
      </c>
      <c r="F343">
        <v>284.8</v>
      </c>
      <c r="G343">
        <v>285</v>
      </c>
      <c r="H343">
        <v>0.99929820000000003</v>
      </c>
      <c r="I343">
        <v>7.0179719999999995E-4</v>
      </c>
      <c r="J343">
        <v>0.50017553999999997</v>
      </c>
    </row>
    <row r="344" spans="1:10" x14ac:dyDescent="0.3">
      <c r="A344">
        <v>342</v>
      </c>
      <c r="B344">
        <v>5803</v>
      </c>
      <c r="C344" t="b">
        <v>1</v>
      </c>
      <c r="D344">
        <v>8136</v>
      </c>
      <c r="E344">
        <v>8176</v>
      </c>
      <c r="F344">
        <v>284.26666</v>
      </c>
      <c r="G344">
        <v>283.93331999999998</v>
      </c>
      <c r="H344">
        <v>1.001174</v>
      </c>
      <c r="I344">
        <v>-1.1740202999999999E-3</v>
      </c>
      <c r="J344">
        <v>0.4997067</v>
      </c>
    </row>
    <row r="345" spans="1:10" x14ac:dyDescent="0.3">
      <c r="A345">
        <v>343</v>
      </c>
      <c r="B345">
        <v>5819</v>
      </c>
      <c r="C345" t="b">
        <v>1</v>
      </c>
      <c r="D345">
        <v>8088</v>
      </c>
      <c r="E345">
        <v>8200</v>
      </c>
      <c r="F345">
        <v>283.73334</v>
      </c>
      <c r="G345">
        <v>283.93331999999998</v>
      </c>
      <c r="H345">
        <v>0.99929564999999998</v>
      </c>
      <c r="I345">
        <v>7.0432625999999996E-4</v>
      </c>
      <c r="J345">
        <v>0.50017619999999996</v>
      </c>
    </row>
    <row r="346" spans="1:10" x14ac:dyDescent="0.3">
      <c r="A346">
        <v>344</v>
      </c>
      <c r="B346">
        <v>5851</v>
      </c>
      <c r="C346" t="b">
        <v>1</v>
      </c>
      <c r="D346">
        <v>8120</v>
      </c>
      <c r="E346">
        <v>8216</v>
      </c>
      <c r="F346">
        <v>284.26666</v>
      </c>
      <c r="G346">
        <v>285</v>
      </c>
      <c r="H346">
        <v>0.99742686999999997</v>
      </c>
      <c r="I346">
        <v>2.5731136999999999E-3</v>
      </c>
      <c r="J346">
        <v>0.50064410000000004</v>
      </c>
    </row>
    <row r="347" spans="1:10" x14ac:dyDescent="0.3">
      <c r="A347">
        <v>345</v>
      </c>
      <c r="B347">
        <v>5867</v>
      </c>
      <c r="C347" t="b">
        <v>1</v>
      </c>
      <c r="D347">
        <v>8152</v>
      </c>
      <c r="E347">
        <v>8208</v>
      </c>
      <c r="F347">
        <v>284.26666</v>
      </c>
      <c r="G347">
        <v>286.60000000000002</v>
      </c>
      <c r="H347">
        <v>0.99185853999999996</v>
      </c>
      <c r="I347">
        <v>8.1414639999999993E-3</v>
      </c>
      <c r="J347">
        <v>0.50204366</v>
      </c>
    </row>
    <row r="348" spans="1:10" x14ac:dyDescent="0.3">
      <c r="A348">
        <v>346</v>
      </c>
      <c r="B348">
        <v>5882</v>
      </c>
      <c r="C348" t="b">
        <v>1</v>
      </c>
      <c r="D348">
        <v>8128</v>
      </c>
      <c r="E348">
        <v>8200</v>
      </c>
      <c r="F348">
        <v>284.26666</v>
      </c>
      <c r="G348">
        <v>287.66665999999998</v>
      </c>
      <c r="H348">
        <v>0.98818075999999999</v>
      </c>
      <c r="I348">
        <v>1.1819214999999999E-2</v>
      </c>
      <c r="J348">
        <v>0.50297236000000001</v>
      </c>
    </row>
    <row r="349" spans="1:10" x14ac:dyDescent="0.3">
      <c r="A349">
        <v>347</v>
      </c>
      <c r="B349">
        <v>5898</v>
      </c>
      <c r="C349" t="b">
        <v>1</v>
      </c>
      <c r="D349">
        <v>8096</v>
      </c>
      <c r="E349">
        <v>8192</v>
      </c>
      <c r="F349">
        <v>283.73334</v>
      </c>
      <c r="G349">
        <v>287.66665999999998</v>
      </c>
      <c r="H349">
        <v>0.98632679999999995</v>
      </c>
      <c r="I349">
        <v>1.36731835E-2</v>
      </c>
      <c r="J349">
        <v>0.50344180000000005</v>
      </c>
    </row>
    <row r="350" spans="1:10" x14ac:dyDescent="0.3">
      <c r="A350">
        <v>348</v>
      </c>
      <c r="B350">
        <v>5914</v>
      </c>
      <c r="C350" t="b">
        <v>1</v>
      </c>
      <c r="D350">
        <v>8128</v>
      </c>
      <c r="E350">
        <v>8160</v>
      </c>
      <c r="F350">
        <v>283.73334</v>
      </c>
      <c r="G350">
        <v>287.66665999999998</v>
      </c>
      <c r="H350">
        <v>0.98632679999999995</v>
      </c>
      <c r="I350">
        <v>1.36731835E-2</v>
      </c>
      <c r="J350">
        <v>0.50344180000000005</v>
      </c>
    </row>
    <row r="351" spans="1:10" x14ac:dyDescent="0.3">
      <c r="A351">
        <v>349</v>
      </c>
      <c r="B351">
        <v>5930</v>
      </c>
      <c r="C351" t="b">
        <v>1</v>
      </c>
      <c r="D351">
        <v>8144</v>
      </c>
      <c r="E351">
        <v>8200</v>
      </c>
      <c r="F351">
        <v>283.2</v>
      </c>
      <c r="G351">
        <v>287.66665999999998</v>
      </c>
      <c r="H351">
        <v>0.98447289999999998</v>
      </c>
      <c r="I351">
        <v>1.5527153E-2</v>
      </c>
      <c r="J351">
        <v>0.50391215</v>
      </c>
    </row>
    <row r="352" spans="1:10" x14ac:dyDescent="0.3">
      <c r="A352">
        <v>350</v>
      </c>
      <c r="B352">
        <v>5946</v>
      </c>
      <c r="C352" t="b">
        <v>1</v>
      </c>
      <c r="D352">
        <v>8120</v>
      </c>
      <c r="E352">
        <v>8224</v>
      </c>
      <c r="F352">
        <v>282.66665999999998</v>
      </c>
      <c r="G352">
        <v>287.66665999999998</v>
      </c>
      <c r="H352">
        <v>0.98261874999999999</v>
      </c>
      <c r="I352">
        <v>1.7381229000000002E-2</v>
      </c>
      <c r="J352">
        <v>0.50438340000000004</v>
      </c>
    </row>
    <row r="353" spans="1:10" x14ac:dyDescent="0.3">
      <c r="A353">
        <v>351</v>
      </c>
      <c r="B353">
        <v>5962</v>
      </c>
      <c r="C353" t="b">
        <v>1</v>
      </c>
      <c r="D353">
        <v>8160</v>
      </c>
      <c r="E353">
        <v>8200</v>
      </c>
      <c r="F353">
        <v>282.13333</v>
      </c>
      <c r="G353">
        <v>287.66665999999998</v>
      </c>
      <c r="H353">
        <v>0.98076479999999999</v>
      </c>
      <c r="I353">
        <v>1.9235196999999999E-2</v>
      </c>
      <c r="J353">
        <v>0.50485550000000001</v>
      </c>
    </row>
    <row r="354" spans="1:10" x14ac:dyDescent="0.3">
      <c r="A354">
        <v>352</v>
      </c>
      <c r="B354">
        <v>5978</v>
      </c>
      <c r="C354" t="b">
        <v>1</v>
      </c>
      <c r="D354">
        <v>8128</v>
      </c>
      <c r="E354">
        <v>8200</v>
      </c>
      <c r="F354">
        <v>282.13333</v>
      </c>
      <c r="G354">
        <v>286.60000000000002</v>
      </c>
      <c r="H354">
        <v>0.98441493999999996</v>
      </c>
      <c r="I354">
        <v>1.5585048000000001E-2</v>
      </c>
      <c r="J354">
        <v>0.50392689999999996</v>
      </c>
    </row>
    <row r="355" spans="1:10" x14ac:dyDescent="0.3">
      <c r="A355">
        <v>353</v>
      </c>
      <c r="B355">
        <v>5993</v>
      </c>
      <c r="C355" t="b">
        <v>1</v>
      </c>
      <c r="D355">
        <v>8104</v>
      </c>
      <c r="E355">
        <v>8176</v>
      </c>
      <c r="F355">
        <v>281.60000000000002</v>
      </c>
      <c r="G355">
        <v>285.53332999999998</v>
      </c>
      <c r="H355">
        <v>0.98622465000000004</v>
      </c>
      <c r="I355">
        <v>1.3775341E-2</v>
      </c>
      <c r="J355">
        <v>0.50346774000000005</v>
      </c>
    </row>
    <row r="356" spans="1:10" x14ac:dyDescent="0.3">
      <c r="A356">
        <v>354</v>
      </c>
      <c r="B356">
        <v>6010</v>
      </c>
      <c r="C356" t="b">
        <v>1</v>
      </c>
      <c r="D356">
        <v>8144</v>
      </c>
      <c r="E356">
        <v>8208</v>
      </c>
      <c r="F356">
        <v>282.13333</v>
      </c>
      <c r="G356">
        <v>284.46667000000002</v>
      </c>
      <c r="H356">
        <v>0.9917975</v>
      </c>
      <c r="I356">
        <v>8.2025190000000001E-3</v>
      </c>
      <c r="J356">
        <v>0.50205909999999998</v>
      </c>
    </row>
    <row r="357" spans="1:10" x14ac:dyDescent="0.3">
      <c r="A357">
        <v>355</v>
      </c>
      <c r="B357">
        <v>6026</v>
      </c>
      <c r="C357" t="b">
        <v>1</v>
      </c>
      <c r="D357">
        <v>8144</v>
      </c>
      <c r="E357">
        <v>8176</v>
      </c>
      <c r="F357">
        <v>284.26666</v>
      </c>
      <c r="G357">
        <v>284.46667000000002</v>
      </c>
      <c r="H357">
        <v>0.99929690000000004</v>
      </c>
      <c r="I357">
        <v>7.03113E-4</v>
      </c>
      <c r="J357">
        <v>0.50017582999999999</v>
      </c>
    </row>
    <row r="358" spans="1:10" x14ac:dyDescent="0.3">
      <c r="A358">
        <v>356</v>
      </c>
      <c r="B358">
        <v>6042</v>
      </c>
      <c r="C358" t="b">
        <v>1</v>
      </c>
      <c r="D358">
        <v>8144</v>
      </c>
      <c r="E358">
        <v>8200</v>
      </c>
      <c r="F358">
        <v>286.39999999999998</v>
      </c>
      <c r="G358">
        <v>284.46667000000002</v>
      </c>
      <c r="H358">
        <v>1.0067961999999999</v>
      </c>
      <c r="I358">
        <v>-6.7962939999999996E-3</v>
      </c>
      <c r="J358">
        <v>0.49830666000000001</v>
      </c>
    </row>
    <row r="359" spans="1:10" x14ac:dyDescent="0.3">
      <c r="A359">
        <v>357</v>
      </c>
      <c r="B359">
        <v>6058</v>
      </c>
      <c r="C359" t="b">
        <v>1</v>
      </c>
      <c r="D359">
        <v>8088</v>
      </c>
      <c r="E359">
        <v>8200</v>
      </c>
      <c r="F359">
        <v>288</v>
      </c>
      <c r="G359">
        <v>285.53332999999998</v>
      </c>
      <c r="H359">
        <v>1.0086389</v>
      </c>
      <c r="I359">
        <v>-8.6388339999999997E-3</v>
      </c>
      <c r="J359">
        <v>0.49784958000000001</v>
      </c>
    </row>
    <row r="360" spans="1:10" x14ac:dyDescent="0.3">
      <c r="A360">
        <v>358</v>
      </c>
      <c r="B360">
        <v>6073</v>
      </c>
      <c r="C360" t="b">
        <v>1</v>
      </c>
      <c r="D360">
        <v>8128</v>
      </c>
      <c r="E360">
        <v>8200</v>
      </c>
      <c r="F360">
        <v>290.13333</v>
      </c>
      <c r="G360">
        <v>285.53332999999998</v>
      </c>
      <c r="H360">
        <v>1.0161102</v>
      </c>
      <c r="I360">
        <v>-1.6110224999999999E-2</v>
      </c>
      <c r="J360">
        <v>0.49600464</v>
      </c>
    </row>
    <row r="361" spans="1:10" x14ac:dyDescent="0.3">
      <c r="A361">
        <v>359</v>
      </c>
      <c r="B361">
        <v>6089</v>
      </c>
      <c r="C361" t="b">
        <v>1</v>
      </c>
      <c r="D361">
        <v>8160</v>
      </c>
      <c r="E361">
        <v>8208</v>
      </c>
      <c r="F361">
        <v>292.26666</v>
      </c>
      <c r="G361">
        <v>285.53332999999998</v>
      </c>
      <c r="H361">
        <v>1.0235816</v>
      </c>
      <c r="I361">
        <v>-2.3581616999999999E-2</v>
      </c>
      <c r="J361">
        <v>0.49417329999999998</v>
      </c>
    </row>
    <row r="362" spans="1:10" x14ac:dyDescent="0.3">
      <c r="A362">
        <v>360</v>
      </c>
      <c r="B362">
        <v>6105</v>
      </c>
      <c r="C362" t="b">
        <v>1</v>
      </c>
      <c r="D362">
        <v>8128</v>
      </c>
      <c r="E362">
        <v>8176</v>
      </c>
      <c r="F362">
        <v>292.8</v>
      </c>
      <c r="G362">
        <v>285</v>
      </c>
      <c r="H362">
        <v>1.0273684000000001</v>
      </c>
      <c r="I362">
        <v>-2.7368377999999999E-2</v>
      </c>
      <c r="J362">
        <v>0.49325027999999999</v>
      </c>
    </row>
    <row r="363" spans="1:10" x14ac:dyDescent="0.3">
      <c r="A363">
        <v>361</v>
      </c>
      <c r="B363">
        <v>6137</v>
      </c>
      <c r="C363" t="b">
        <v>1</v>
      </c>
      <c r="D363">
        <v>8112</v>
      </c>
      <c r="E363">
        <v>8192</v>
      </c>
      <c r="F363">
        <v>292.8</v>
      </c>
      <c r="G363">
        <v>285</v>
      </c>
      <c r="H363">
        <v>1.0273684000000001</v>
      </c>
      <c r="I363">
        <v>-2.7368377999999999E-2</v>
      </c>
      <c r="J363">
        <v>0.49325027999999999</v>
      </c>
    </row>
    <row r="364" spans="1:10" x14ac:dyDescent="0.3">
      <c r="A364">
        <v>362</v>
      </c>
      <c r="B364">
        <v>6153</v>
      </c>
      <c r="C364" t="b">
        <v>1</v>
      </c>
      <c r="D364">
        <v>8152</v>
      </c>
      <c r="E364">
        <v>8128</v>
      </c>
      <c r="F364">
        <v>293.33334000000002</v>
      </c>
      <c r="G364">
        <v>284.46667000000002</v>
      </c>
      <c r="H364">
        <v>1.0311694</v>
      </c>
      <c r="I364">
        <v>-3.1169446E-2</v>
      </c>
      <c r="J364">
        <v>0.49232717999999998</v>
      </c>
    </row>
    <row r="365" spans="1:10" x14ac:dyDescent="0.3">
      <c r="A365">
        <v>363</v>
      </c>
      <c r="B365">
        <v>6169</v>
      </c>
      <c r="C365" t="b">
        <v>1</v>
      </c>
      <c r="D365">
        <v>8112</v>
      </c>
      <c r="E365">
        <v>8176</v>
      </c>
      <c r="F365">
        <v>293.33334000000002</v>
      </c>
      <c r="G365">
        <v>282.86667</v>
      </c>
      <c r="H365">
        <v>1.0370022000000001</v>
      </c>
      <c r="I365">
        <v>-3.7002149999999998E-2</v>
      </c>
      <c r="J365">
        <v>0.49091750000000001</v>
      </c>
    </row>
    <row r="366" spans="1:10" x14ac:dyDescent="0.3">
      <c r="A366">
        <v>364</v>
      </c>
      <c r="B366">
        <v>6185</v>
      </c>
      <c r="C366" t="b">
        <v>1</v>
      </c>
      <c r="D366">
        <v>8152</v>
      </c>
      <c r="E366">
        <v>8200</v>
      </c>
      <c r="F366">
        <v>293.33334000000002</v>
      </c>
      <c r="G366">
        <v>281.26666</v>
      </c>
      <c r="H366">
        <v>1.0429012</v>
      </c>
      <c r="I366">
        <v>-4.2901214E-2</v>
      </c>
      <c r="J366">
        <v>0.48949996000000001</v>
      </c>
    </row>
    <row r="367" spans="1:10" x14ac:dyDescent="0.3">
      <c r="A367">
        <v>365</v>
      </c>
      <c r="B367">
        <v>6201</v>
      </c>
      <c r="C367" t="b">
        <v>1</v>
      </c>
      <c r="D367">
        <v>8128</v>
      </c>
      <c r="E367">
        <v>8200</v>
      </c>
      <c r="F367">
        <v>293.33334000000002</v>
      </c>
      <c r="G367">
        <v>280.73334</v>
      </c>
      <c r="H367">
        <v>1.0448824000000001</v>
      </c>
      <c r="I367">
        <v>-4.4882472999999999E-2</v>
      </c>
      <c r="J367">
        <v>0.48902568000000002</v>
      </c>
    </row>
    <row r="368" spans="1:10" x14ac:dyDescent="0.3">
      <c r="A368">
        <v>366</v>
      </c>
      <c r="B368">
        <v>6217</v>
      </c>
      <c r="C368" t="b">
        <v>1</v>
      </c>
      <c r="D368">
        <v>8112</v>
      </c>
      <c r="E368">
        <v>8200</v>
      </c>
      <c r="F368">
        <v>293.33334000000002</v>
      </c>
      <c r="G368">
        <v>280.73334</v>
      </c>
      <c r="H368">
        <v>1.0448824000000001</v>
      </c>
      <c r="I368">
        <v>-4.4882472999999999E-2</v>
      </c>
      <c r="J368">
        <v>0.48902568000000002</v>
      </c>
    </row>
    <row r="369" spans="1:10" x14ac:dyDescent="0.3">
      <c r="A369">
        <v>367</v>
      </c>
      <c r="B369">
        <v>6233</v>
      </c>
      <c r="C369" t="b">
        <v>1</v>
      </c>
      <c r="D369">
        <v>8104</v>
      </c>
      <c r="E369">
        <v>8200</v>
      </c>
      <c r="F369">
        <v>292.26666</v>
      </c>
      <c r="G369">
        <v>280.73334</v>
      </c>
      <c r="H369">
        <v>1.0410828999999999</v>
      </c>
      <c r="I369">
        <v>-4.1082847999999998E-2</v>
      </c>
      <c r="J369">
        <v>0.48993602000000003</v>
      </c>
    </row>
    <row r="370" spans="1:10" x14ac:dyDescent="0.3">
      <c r="A370">
        <v>368</v>
      </c>
      <c r="B370">
        <v>6249</v>
      </c>
      <c r="C370" t="b">
        <v>1</v>
      </c>
      <c r="D370">
        <v>8104</v>
      </c>
      <c r="E370">
        <v>8168</v>
      </c>
      <c r="F370">
        <v>291.2</v>
      </c>
      <c r="G370">
        <v>280.73334</v>
      </c>
      <c r="H370">
        <v>1.0372832999999999</v>
      </c>
      <c r="I370">
        <v>-3.7283335000000001E-2</v>
      </c>
      <c r="J370">
        <v>0.49084972999999998</v>
      </c>
    </row>
    <row r="371" spans="1:10" x14ac:dyDescent="0.3">
      <c r="A371">
        <v>369</v>
      </c>
      <c r="B371">
        <v>6264</v>
      </c>
      <c r="C371" t="b">
        <v>1</v>
      </c>
      <c r="D371">
        <v>8144</v>
      </c>
      <c r="E371">
        <v>8176</v>
      </c>
      <c r="F371">
        <v>290.13333</v>
      </c>
      <c r="G371">
        <v>280.73334</v>
      </c>
      <c r="H371">
        <v>1.0334836999999999</v>
      </c>
      <c r="I371">
        <v>-3.348371E-2</v>
      </c>
      <c r="J371">
        <v>0.49176687000000002</v>
      </c>
    </row>
    <row r="372" spans="1:10" x14ac:dyDescent="0.3">
      <c r="A372">
        <v>370</v>
      </c>
      <c r="B372">
        <v>6280</v>
      </c>
      <c r="C372" t="b">
        <v>1</v>
      </c>
      <c r="D372">
        <v>8128</v>
      </c>
      <c r="E372">
        <v>8184</v>
      </c>
      <c r="F372">
        <v>288</v>
      </c>
      <c r="G372">
        <v>279.66665999999998</v>
      </c>
      <c r="H372">
        <v>1.0297974000000001</v>
      </c>
      <c r="I372">
        <v>-2.9797416E-2</v>
      </c>
      <c r="J372">
        <v>0.49266001999999998</v>
      </c>
    </row>
    <row r="373" spans="1:10" x14ac:dyDescent="0.3">
      <c r="A373">
        <v>371</v>
      </c>
      <c r="B373">
        <v>6296</v>
      </c>
      <c r="C373" t="b">
        <v>1</v>
      </c>
      <c r="D373">
        <v>8104</v>
      </c>
      <c r="E373">
        <v>8176</v>
      </c>
      <c r="F373">
        <v>285.33334000000002</v>
      </c>
      <c r="G373">
        <v>278.06668000000002</v>
      </c>
      <c r="H373">
        <v>1.0261328000000001</v>
      </c>
      <c r="I373">
        <v>-2.6132804999999999E-2</v>
      </c>
      <c r="J373">
        <v>0.49355107999999998</v>
      </c>
    </row>
    <row r="374" spans="1:10" x14ac:dyDescent="0.3">
      <c r="A374">
        <v>372</v>
      </c>
      <c r="B374">
        <v>6312</v>
      </c>
      <c r="C374" t="b">
        <v>1</v>
      </c>
      <c r="D374">
        <v>8096</v>
      </c>
      <c r="E374">
        <v>8200</v>
      </c>
      <c r="F374">
        <v>282.66665999999998</v>
      </c>
      <c r="G374">
        <v>276.46667000000002</v>
      </c>
      <c r="H374">
        <v>1.0224257999999999</v>
      </c>
      <c r="I374">
        <v>-2.2425784000000001E-2</v>
      </c>
      <c r="J374">
        <v>0.49445575000000003</v>
      </c>
    </row>
    <row r="375" spans="1:10" x14ac:dyDescent="0.3">
      <c r="A375">
        <v>373</v>
      </c>
      <c r="B375">
        <v>6328</v>
      </c>
      <c r="C375" t="b">
        <v>1</v>
      </c>
      <c r="D375">
        <v>8152</v>
      </c>
      <c r="E375">
        <v>8200</v>
      </c>
      <c r="F375">
        <v>281.60000000000002</v>
      </c>
      <c r="G375">
        <v>275.39999999999998</v>
      </c>
      <c r="H375">
        <v>1.0225128000000001</v>
      </c>
      <c r="I375">
        <v>-2.2512753999999999E-2</v>
      </c>
      <c r="J375">
        <v>0.49443445000000003</v>
      </c>
    </row>
    <row r="376" spans="1:10" x14ac:dyDescent="0.3">
      <c r="A376">
        <v>374</v>
      </c>
      <c r="B376">
        <v>6344</v>
      </c>
      <c r="C376" t="b">
        <v>1</v>
      </c>
      <c r="D376">
        <v>8120</v>
      </c>
      <c r="E376">
        <v>8192</v>
      </c>
      <c r="F376">
        <v>280</v>
      </c>
      <c r="G376">
        <v>274.86667</v>
      </c>
      <c r="H376">
        <v>1.0186757</v>
      </c>
      <c r="I376">
        <v>-1.8675714999999999E-2</v>
      </c>
      <c r="J376">
        <v>0.49537423000000003</v>
      </c>
    </row>
    <row r="377" spans="1:10" x14ac:dyDescent="0.3">
      <c r="A377">
        <v>375</v>
      </c>
      <c r="B377">
        <v>6359</v>
      </c>
      <c r="C377" t="b">
        <v>1</v>
      </c>
      <c r="D377">
        <v>8152</v>
      </c>
      <c r="E377">
        <v>8224</v>
      </c>
      <c r="F377">
        <v>279.46667000000002</v>
      </c>
      <c r="G377">
        <v>274.86667</v>
      </c>
      <c r="H377">
        <v>1.0167354</v>
      </c>
      <c r="I377">
        <v>-1.6735408E-2</v>
      </c>
      <c r="J377">
        <v>0.49585083000000002</v>
      </c>
    </row>
    <row r="378" spans="1:10" x14ac:dyDescent="0.3">
      <c r="A378">
        <v>376</v>
      </c>
      <c r="B378">
        <v>6375</v>
      </c>
      <c r="C378" t="b">
        <v>1</v>
      </c>
      <c r="D378">
        <v>8152</v>
      </c>
      <c r="E378">
        <v>8192</v>
      </c>
      <c r="F378">
        <v>281.06668000000002</v>
      </c>
      <c r="G378">
        <v>274.86667</v>
      </c>
      <c r="H378">
        <v>1.0225564</v>
      </c>
      <c r="I378">
        <v>-2.2556435E-2</v>
      </c>
      <c r="J378">
        <v>0.49442377999999998</v>
      </c>
    </row>
    <row r="379" spans="1:10" x14ac:dyDescent="0.3">
      <c r="A379">
        <v>377</v>
      </c>
      <c r="B379">
        <v>6391</v>
      </c>
      <c r="C379" t="b">
        <v>1</v>
      </c>
      <c r="D379">
        <v>8128</v>
      </c>
      <c r="E379">
        <v>8184</v>
      </c>
      <c r="F379">
        <v>282.66665999999998</v>
      </c>
      <c r="G379">
        <v>274.86667</v>
      </c>
      <c r="H379">
        <v>1.0283773</v>
      </c>
      <c r="I379">
        <v>-2.8377349999999999E-2</v>
      </c>
      <c r="J379">
        <v>0.49300492000000001</v>
      </c>
    </row>
    <row r="380" spans="1:10" x14ac:dyDescent="0.3">
      <c r="A380">
        <v>378</v>
      </c>
      <c r="B380">
        <v>6408</v>
      </c>
      <c r="C380" t="b">
        <v>1</v>
      </c>
      <c r="D380">
        <v>8128</v>
      </c>
      <c r="E380">
        <v>8184</v>
      </c>
      <c r="F380">
        <v>282.66665999999998</v>
      </c>
      <c r="G380">
        <v>275.93331999999998</v>
      </c>
      <c r="H380">
        <v>1.024402</v>
      </c>
      <c r="I380">
        <v>-2.4402045000000001E-2</v>
      </c>
      <c r="J380">
        <v>0.49397301999999998</v>
      </c>
    </row>
    <row r="381" spans="1:10" x14ac:dyDescent="0.3">
      <c r="A381">
        <v>379</v>
      </c>
      <c r="B381">
        <v>6424</v>
      </c>
      <c r="C381" t="b">
        <v>1</v>
      </c>
      <c r="D381">
        <v>8112</v>
      </c>
      <c r="E381">
        <v>8184</v>
      </c>
      <c r="F381">
        <v>282.66665999999998</v>
      </c>
      <c r="G381">
        <v>276.46667000000002</v>
      </c>
      <c r="H381">
        <v>1.0224257999999999</v>
      </c>
      <c r="I381">
        <v>-2.2425784000000001E-2</v>
      </c>
      <c r="J381">
        <v>0.49445575000000003</v>
      </c>
    </row>
    <row r="382" spans="1:10" x14ac:dyDescent="0.3">
      <c r="A382">
        <v>380</v>
      </c>
      <c r="B382">
        <v>6440</v>
      </c>
      <c r="C382" t="b">
        <v>1</v>
      </c>
      <c r="D382">
        <v>8168</v>
      </c>
      <c r="E382">
        <v>8176</v>
      </c>
      <c r="F382">
        <v>282.66665999999998</v>
      </c>
      <c r="G382">
        <v>275.93331999999998</v>
      </c>
      <c r="H382">
        <v>1.024402</v>
      </c>
      <c r="I382">
        <v>-2.4402045000000001E-2</v>
      </c>
      <c r="J382">
        <v>0.49397301999999998</v>
      </c>
    </row>
    <row r="383" spans="1:10" x14ac:dyDescent="0.3">
      <c r="A383">
        <v>381</v>
      </c>
      <c r="B383">
        <v>6455</v>
      </c>
      <c r="C383" t="b">
        <v>1</v>
      </c>
      <c r="D383">
        <v>8128</v>
      </c>
      <c r="E383">
        <v>8224</v>
      </c>
      <c r="F383">
        <v>282.66665999999998</v>
      </c>
      <c r="G383">
        <v>274.86667</v>
      </c>
      <c r="H383">
        <v>1.0283773</v>
      </c>
      <c r="I383">
        <v>-2.8377349999999999E-2</v>
      </c>
      <c r="J383">
        <v>0.49300492000000001</v>
      </c>
    </row>
    <row r="384" spans="1:10" x14ac:dyDescent="0.3">
      <c r="A384">
        <v>382</v>
      </c>
      <c r="B384">
        <v>6472</v>
      </c>
      <c r="C384" t="b">
        <v>1</v>
      </c>
      <c r="D384">
        <v>8120</v>
      </c>
      <c r="E384">
        <v>8224</v>
      </c>
      <c r="F384">
        <v>283.73334</v>
      </c>
      <c r="G384">
        <v>273.8</v>
      </c>
      <c r="H384">
        <v>1.0362796000000001</v>
      </c>
      <c r="I384">
        <v>-3.6279585000000003E-2</v>
      </c>
      <c r="J384">
        <v>0.49109170000000002</v>
      </c>
    </row>
    <row r="385" spans="1:10" x14ac:dyDescent="0.3">
      <c r="A385">
        <v>383</v>
      </c>
      <c r="B385">
        <v>6503</v>
      </c>
      <c r="C385" t="b">
        <v>1</v>
      </c>
      <c r="D385">
        <v>8152</v>
      </c>
      <c r="E385">
        <v>8184</v>
      </c>
      <c r="F385">
        <v>284.8</v>
      </c>
      <c r="G385">
        <v>272.73334</v>
      </c>
      <c r="H385">
        <v>1.0442435000000001</v>
      </c>
      <c r="I385">
        <v>-4.4243403000000001E-2</v>
      </c>
      <c r="J385">
        <v>0.48917854</v>
      </c>
    </row>
    <row r="386" spans="1:10" x14ac:dyDescent="0.3">
      <c r="A386">
        <v>384</v>
      </c>
      <c r="B386">
        <v>6519</v>
      </c>
      <c r="C386" t="b">
        <v>1</v>
      </c>
      <c r="D386">
        <v>8104</v>
      </c>
      <c r="E386">
        <v>8200</v>
      </c>
      <c r="F386">
        <v>285.86667</v>
      </c>
      <c r="G386">
        <v>272.73334</v>
      </c>
      <c r="H386">
        <v>1.0481545000000001</v>
      </c>
      <c r="I386">
        <v>-4.8154477000000001E-2</v>
      </c>
      <c r="J386">
        <v>0.48824444</v>
      </c>
    </row>
    <row r="387" spans="1:10" x14ac:dyDescent="0.3">
      <c r="A387">
        <v>385</v>
      </c>
      <c r="B387">
        <v>6535</v>
      </c>
      <c r="C387" t="b">
        <v>1</v>
      </c>
      <c r="D387">
        <v>8136</v>
      </c>
      <c r="E387">
        <v>8200</v>
      </c>
      <c r="F387">
        <v>286.93331999999998</v>
      </c>
      <c r="G387">
        <v>273.8</v>
      </c>
      <c r="H387">
        <v>1.0479668</v>
      </c>
      <c r="I387">
        <v>-4.7966880000000003E-2</v>
      </c>
      <c r="J387">
        <v>0.48828917999999999</v>
      </c>
    </row>
    <row r="388" spans="1:10" x14ac:dyDescent="0.3">
      <c r="A388">
        <v>386</v>
      </c>
      <c r="B388">
        <v>6566</v>
      </c>
      <c r="C388" t="b">
        <v>1</v>
      </c>
      <c r="D388">
        <v>8136</v>
      </c>
      <c r="E388">
        <v>8168</v>
      </c>
      <c r="F388">
        <v>289.06668000000002</v>
      </c>
      <c r="G388">
        <v>275.39999999999998</v>
      </c>
      <c r="H388">
        <v>1.0496249</v>
      </c>
      <c r="I388">
        <v>-4.9624863999999998E-2</v>
      </c>
      <c r="J388">
        <v>0.48789415000000003</v>
      </c>
    </row>
    <row r="389" spans="1:10" x14ac:dyDescent="0.3">
      <c r="A389">
        <v>387</v>
      </c>
      <c r="B389">
        <v>6598</v>
      </c>
      <c r="C389" t="b">
        <v>1</v>
      </c>
      <c r="D389">
        <v>8120</v>
      </c>
      <c r="E389">
        <v>8152</v>
      </c>
      <c r="F389">
        <v>291.2</v>
      </c>
      <c r="G389">
        <v>275.93331999999998</v>
      </c>
      <c r="H389">
        <v>1.0553273999999999</v>
      </c>
      <c r="I389">
        <v>-5.5327469999999997E-2</v>
      </c>
      <c r="J389">
        <v>0.48654049999999999</v>
      </c>
    </row>
    <row r="390" spans="1:10" x14ac:dyDescent="0.3">
      <c r="A390">
        <v>388</v>
      </c>
      <c r="B390">
        <v>6614</v>
      </c>
      <c r="C390" t="b">
        <v>1</v>
      </c>
      <c r="D390">
        <v>8096</v>
      </c>
      <c r="E390">
        <v>8224</v>
      </c>
      <c r="F390">
        <v>290.66665999999998</v>
      </c>
      <c r="G390">
        <v>277</v>
      </c>
      <c r="H390">
        <v>1.0493380999999999</v>
      </c>
      <c r="I390">
        <v>-4.9338109999999998E-2</v>
      </c>
      <c r="J390">
        <v>0.48796244999999999</v>
      </c>
    </row>
    <row r="391" spans="1:10" x14ac:dyDescent="0.3">
      <c r="A391">
        <v>389</v>
      </c>
      <c r="B391">
        <v>6630</v>
      </c>
      <c r="C391" t="b">
        <v>1</v>
      </c>
      <c r="D391">
        <v>8104</v>
      </c>
      <c r="E391">
        <v>8224</v>
      </c>
      <c r="F391">
        <v>290.66665999999998</v>
      </c>
      <c r="G391">
        <v>277.53332999999998</v>
      </c>
      <c r="H391">
        <v>1.0473216999999999</v>
      </c>
      <c r="I391">
        <v>-4.7321636E-2</v>
      </c>
      <c r="J391">
        <v>0.48844307999999997</v>
      </c>
    </row>
    <row r="392" spans="1:10" x14ac:dyDescent="0.3">
      <c r="A392">
        <v>390</v>
      </c>
      <c r="B392">
        <v>6646</v>
      </c>
      <c r="C392" t="b">
        <v>1</v>
      </c>
      <c r="D392">
        <v>8096</v>
      </c>
      <c r="E392">
        <v>8176</v>
      </c>
      <c r="F392">
        <v>289.60000000000002</v>
      </c>
      <c r="G392">
        <v>275.93331999999998</v>
      </c>
      <c r="H392">
        <v>1.0495289999999999</v>
      </c>
      <c r="I392">
        <v>-4.9528950000000002E-2</v>
      </c>
      <c r="J392">
        <v>0.48791699999999999</v>
      </c>
    </row>
    <row r="393" spans="1:10" x14ac:dyDescent="0.3">
      <c r="A393">
        <v>391</v>
      </c>
      <c r="B393">
        <v>6661</v>
      </c>
      <c r="C393" t="b">
        <v>1</v>
      </c>
      <c r="D393">
        <v>8112</v>
      </c>
      <c r="E393">
        <v>8224</v>
      </c>
      <c r="F393">
        <v>286.39999999999998</v>
      </c>
      <c r="G393">
        <v>277.53332999999998</v>
      </c>
      <c r="H393">
        <v>1.0319480999999999</v>
      </c>
      <c r="I393">
        <v>-3.1948123000000002E-2</v>
      </c>
      <c r="J393">
        <v>0.49213853000000002</v>
      </c>
    </row>
    <row r="394" spans="1:10" x14ac:dyDescent="0.3">
      <c r="A394">
        <v>392</v>
      </c>
      <c r="B394">
        <v>6677</v>
      </c>
      <c r="C394" t="b">
        <v>1</v>
      </c>
      <c r="D394">
        <v>8136</v>
      </c>
      <c r="E394">
        <v>8208</v>
      </c>
      <c r="F394">
        <v>283.2</v>
      </c>
      <c r="G394">
        <v>279.66665999999998</v>
      </c>
      <c r="H394">
        <v>1.0126341999999999</v>
      </c>
      <c r="I394">
        <v>-1.2634167999999999E-2</v>
      </c>
      <c r="J394">
        <v>0.49686124999999998</v>
      </c>
    </row>
    <row r="395" spans="1:10" x14ac:dyDescent="0.3">
      <c r="A395">
        <v>393</v>
      </c>
      <c r="B395">
        <v>6693</v>
      </c>
      <c r="C395" t="b">
        <v>1</v>
      </c>
      <c r="D395">
        <v>8104</v>
      </c>
      <c r="E395">
        <v>8200</v>
      </c>
      <c r="F395">
        <v>281.60000000000002</v>
      </c>
      <c r="G395">
        <v>280.73334</v>
      </c>
      <c r="H395">
        <v>1.0030872</v>
      </c>
      <c r="I395">
        <v>-3.0871599999999998E-3</v>
      </c>
      <c r="J395">
        <v>0.49922937000000001</v>
      </c>
    </row>
    <row r="396" spans="1:10" x14ac:dyDescent="0.3">
      <c r="A396">
        <v>394</v>
      </c>
      <c r="B396">
        <v>6709</v>
      </c>
      <c r="C396" t="b">
        <v>1</v>
      </c>
      <c r="D396">
        <v>8128</v>
      </c>
      <c r="E396">
        <v>8184</v>
      </c>
      <c r="F396">
        <v>280.53332999999998</v>
      </c>
      <c r="G396">
        <v>281.8</v>
      </c>
      <c r="H396">
        <v>0.99550510000000003</v>
      </c>
      <c r="I396">
        <v>4.4948994000000003E-3</v>
      </c>
      <c r="J396">
        <v>0.50112619999999997</v>
      </c>
    </row>
    <row r="397" spans="1:10" x14ac:dyDescent="0.3">
      <c r="A397">
        <v>395</v>
      </c>
      <c r="B397">
        <v>6725</v>
      </c>
      <c r="C397" t="b">
        <v>1</v>
      </c>
      <c r="D397">
        <v>8104</v>
      </c>
      <c r="E397">
        <v>8176</v>
      </c>
      <c r="F397">
        <v>279.46667000000002</v>
      </c>
      <c r="G397">
        <v>282.86667</v>
      </c>
      <c r="H397">
        <v>0.98798025</v>
      </c>
      <c r="I397">
        <v>1.2019775999999999E-2</v>
      </c>
      <c r="J397">
        <v>0.50302309999999995</v>
      </c>
    </row>
    <row r="398" spans="1:10" x14ac:dyDescent="0.3">
      <c r="A398">
        <v>396</v>
      </c>
      <c r="B398">
        <v>6740</v>
      </c>
      <c r="C398" t="b">
        <v>1</v>
      </c>
      <c r="D398">
        <v>8112</v>
      </c>
      <c r="E398">
        <v>8176</v>
      </c>
      <c r="F398">
        <v>278.39999999999998</v>
      </c>
      <c r="G398">
        <v>282.86667</v>
      </c>
      <c r="H398">
        <v>0.98420923999999999</v>
      </c>
      <c r="I398">
        <v>1.5790742E-2</v>
      </c>
      <c r="J398">
        <v>0.50397910000000001</v>
      </c>
    </row>
    <row r="399" spans="1:10" x14ac:dyDescent="0.3">
      <c r="A399">
        <v>397</v>
      </c>
      <c r="B399">
        <v>6756</v>
      </c>
      <c r="C399" t="b">
        <v>1</v>
      </c>
      <c r="D399">
        <v>8160</v>
      </c>
      <c r="E399">
        <v>8184</v>
      </c>
      <c r="F399">
        <v>277.33334000000002</v>
      </c>
      <c r="G399">
        <v>282.86667</v>
      </c>
      <c r="H399">
        <v>0.98043840000000004</v>
      </c>
      <c r="I399">
        <v>1.9561602000000001E-2</v>
      </c>
      <c r="J399">
        <v>0.50493869999999996</v>
      </c>
    </row>
    <row r="400" spans="1:10" x14ac:dyDescent="0.3">
      <c r="A400">
        <v>398</v>
      </c>
      <c r="B400">
        <v>6788</v>
      </c>
      <c r="C400" t="b">
        <v>1</v>
      </c>
      <c r="D400">
        <v>8112</v>
      </c>
      <c r="E400">
        <v>8176</v>
      </c>
      <c r="F400">
        <v>276.26666</v>
      </c>
      <c r="G400">
        <v>282.33334000000002</v>
      </c>
      <c r="H400">
        <v>0.97851235000000003</v>
      </c>
      <c r="I400">
        <v>2.1487652999999999E-2</v>
      </c>
      <c r="J400">
        <v>0.5054303</v>
      </c>
    </row>
    <row r="401" spans="1:10" x14ac:dyDescent="0.3">
      <c r="A401">
        <v>399</v>
      </c>
      <c r="B401">
        <v>6803</v>
      </c>
      <c r="C401" t="b">
        <v>1</v>
      </c>
      <c r="D401">
        <v>8128</v>
      </c>
      <c r="E401">
        <v>8176</v>
      </c>
      <c r="F401">
        <v>275.2</v>
      </c>
      <c r="G401">
        <v>280.73334</v>
      </c>
      <c r="H401">
        <v>0.98028976000000001</v>
      </c>
      <c r="I401">
        <v>1.9710254E-2</v>
      </c>
      <c r="J401">
        <v>0.50497663000000004</v>
      </c>
    </row>
    <row r="402" spans="1:10" x14ac:dyDescent="0.3">
      <c r="A402">
        <v>400</v>
      </c>
      <c r="B402">
        <v>6819</v>
      </c>
      <c r="C402" t="b">
        <v>1</v>
      </c>
      <c r="D402">
        <v>8144</v>
      </c>
      <c r="E402">
        <v>8168</v>
      </c>
      <c r="F402">
        <v>275.2</v>
      </c>
      <c r="G402">
        <v>279.13333</v>
      </c>
      <c r="H402">
        <v>0.98590880000000003</v>
      </c>
      <c r="I402">
        <v>1.4091183E-2</v>
      </c>
      <c r="J402">
        <v>0.50354779999999999</v>
      </c>
    </row>
    <row r="403" spans="1:10" x14ac:dyDescent="0.3">
      <c r="A403">
        <v>401</v>
      </c>
      <c r="B403">
        <v>6835</v>
      </c>
      <c r="C403" t="b">
        <v>1</v>
      </c>
      <c r="D403">
        <v>8128</v>
      </c>
      <c r="E403">
        <v>8184</v>
      </c>
      <c r="F403">
        <v>274.66665999999998</v>
      </c>
      <c r="G403">
        <v>277.53332999999998</v>
      </c>
      <c r="H403">
        <v>0.98967092999999995</v>
      </c>
      <c r="I403">
        <v>1.03290975E-2</v>
      </c>
      <c r="J403">
        <v>0.50259569999999998</v>
      </c>
    </row>
    <row r="404" spans="1:10" x14ac:dyDescent="0.3">
      <c r="A404">
        <v>402</v>
      </c>
      <c r="B404">
        <v>6851</v>
      </c>
      <c r="C404" t="b">
        <v>1</v>
      </c>
      <c r="D404">
        <v>8152</v>
      </c>
      <c r="E404">
        <v>8224</v>
      </c>
      <c r="F404">
        <v>274.13333</v>
      </c>
      <c r="G404">
        <v>277</v>
      </c>
      <c r="H404">
        <v>0.98965099999999995</v>
      </c>
      <c r="I404">
        <v>1.0348984E-2</v>
      </c>
      <c r="J404">
        <v>0.50260070000000001</v>
      </c>
    </row>
    <row r="405" spans="1:10" x14ac:dyDescent="0.3">
      <c r="A405">
        <v>403</v>
      </c>
      <c r="B405">
        <v>6867</v>
      </c>
      <c r="C405" t="b">
        <v>1</v>
      </c>
      <c r="D405">
        <v>8120</v>
      </c>
      <c r="E405">
        <v>8224</v>
      </c>
      <c r="F405">
        <v>274.66665999999998</v>
      </c>
      <c r="G405">
        <v>275.93331999999998</v>
      </c>
      <c r="H405">
        <v>0.99540954999999998</v>
      </c>
      <c r="I405">
        <v>4.5904659999999996E-3</v>
      </c>
      <c r="J405">
        <v>0.50115025000000002</v>
      </c>
    </row>
    <row r="406" spans="1:10" x14ac:dyDescent="0.3">
      <c r="A406">
        <v>404</v>
      </c>
      <c r="B406">
        <v>6883</v>
      </c>
      <c r="C406" t="b">
        <v>1</v>
      </c>
      <c r="D406">
        <v>8128</v>
      </c>
      <c r="E406">
        <v>8168</v>
      </c>
      <c r="F406">
        <v>275.2</v>
      </c>
      <c r="G406">
        <v>274.86667</v>
      </c>
      <c r="H406">
        <v>1.0012127</v>
      </c>
      <c r="I406">
        <v>-1.2127461E-3</v>
      </c>
      <c r="J406">
        <v>0.49969702999999999</v>
      </c>
    </row>
    <row r="407" spans="1:10" x14ac:dyDescent="0.3">
      <c r="A407">
        <v>405</v>
      </c>
      <c r="B407">
        <v>6899</v>
      </c>
      <c r="C407" t="b">
        <v>1</v>
      </c>
      <c r="D407">
        <v>8096</v>
      </c>
      <c r="E407">
        <v>8232</v>
      </c>
      <c r="F407">
        <v>276.8</v>
      </c>
      <c r="G407">
        <v>278.06668000000002</v>
      </c>
      <c r="H407">
        <v>0.99544465999999998</v>
      </c>
      <c r="I407">
        <v>4.5553575999999997E-3</v>
      </c>
      <c r="J407">
        <v>0.50114139999999996</v>
      </c>
    </row>
    <row r="408" spans="1:10" x14ac:dyDescent="0.3">
      <c r="A408">
        <v>406</v>
      </c>
      <c r="B408">
        <v>6914</v>
      </c>
      <c r="C408" t="b">
        <v>1</v>
      </c>
      <c r="D408">
        <v>8120</v>
      </c>
      <c r="E408">
        <v>8208</v>
      </c>
      <c r="F408">
        <v>277.86667</v>
      </c>
      <c r="G408">
        <v>278.06668000000002</v>
      </c>
      <c r="H408">
        <v>0.99928070000000002</v>
      </c>
      <c r="I408">
        <v>7.1929579999999995E-4</v>
      </c>
      <c r="J408">
        <v>0.50017990000000001</v>
      </c>
    </row>
    <row r="409" spans="1:10" x14ac:dyDescent="0.3">
      <c r="A409">
        <v>407</v>
      </c>
      <c r="B409">
        <v>6930</v>
      </c>
      <c r="C409" t="b">
        <v>1</v>
      </c>
      <c r="D409">
        <v>8120</v>
      </c>
      <c r="E409">
        <v>8208</v>
      </c>
      <c r="F409">
        <v>278.93331999999998</v>
      </c>
      <c r="G409">
        <v>277</v>
      </c>
      <c r="H409">
        <v>1.0069794999999999</v>
      </c>
      <c r="I409">
        <v>-6.979491E-3</v>
      </c>
      <c r="J409">
        <v>0.49826114999999999</v>
      </c>
    </row>
    <row r="410" spans="1:10" x14ac:dyDescent="0.3">
      <c r="A410">
        <v>408</v>
      </c>
      <c r="B410">
        <v>6946</v>
      </c>
      <c r="C410" t="b">
        <v>1</v>
      </c>
      <c r="D410">
        <v>8096</v>
      </c>
      <c r="E410">
        <v>8208</v>
      </c>
      <c r="F410">
        <v>280</v>
      </c>
      <c r="G410">
        <v>277</v>
      </c>
      <c r="H410">
        <v>1.0108303000000001</v>
      </c>
      <c r="I410">
        <v>-1.0830325E-2</v>
      </c>
      <c r="J410">
        <v>0.497307</v>
      </c>
    </row>
    <row r="411" spans="1:10" x14ac:dyDescent="0.3">
      <c r="A411">
        <v>409</v>
      </c>
      <c r="B411">
        <v>6962</v>
      </c>
      <c r="C411" t="b">
        <v>1</v>
      </c>
      <c r="D411">
        <v>8152</v>
      </c>
      <c r="E411">
        <v>8224</v>
      </c>
      <c r="F411">
        <v>280.53332999999998</v>
      </c>
      <c r="G411">
        <v>277.53332999999998</v>
      </c>
      <c r="H411">
        <v>1.0108094999999999</v>
      </c>
      <c r="I411">
        <v>-1.0809513E-2</v>
      </c>
      <c r="J411">
        <v>0.49731216</v>
      </c>
    </row>
    <row r="412" spans="1:10" x14ac:dyDescent="0.3">
      <c r="A412">
        <v>410</v>
      </c>
      <c r="B412">
        <v>6978</v>
      </c>
      <c r="C412" t="b">
        <v>1</v>
      </c>
      <c r="D412">
        <v>8136</v>
      </c>
      <c r="E412">
        <v>8184</v>
      </c>
      <c r="F412">
        <v>281.06668000000002</v>
      </c>
      <c r="G412">
        <v>278.06668000000002</v>
      </c>
      <c r="H412">
        <v>1.0107888</v>
      </c>
      <c r="I412">
        <v>-1.0788779E-2</v>
      </c>
      <c r="J412">
        <v>0.49731727999999997</v>
      </c>
    </row>
    <row r="413" spans="1:10" x14ac:dyDescent="0.3">
      <c r="A413">
        <v>411</v>
      </c>
      <c r="B413">
        <v>6994</v>
      </c>
      <c r="C413" t="b">
        <v>1</v>
      </c>
      <c r="D413">
        <v>8152</v>
      </c>
      <c r="E413">
        <v>8200</v>
      </c>
      <c r="F413">
        <v>282.66665999999998</v>
      </c>
      <c r="G413">
        <v>279.66665999999998</v>
      </c>
      <c r="H413">
        <v>1.0107269999999999</v>
      </c>
      <c r="I413">
        <v>-1.0727056E-2</v>
      </c>
      <c r="J413">
        <v>0.49733253999999999</v>
      </c>
    </row>
    <row r="414" spans="1:10" x14ac:dyDescent="0.3">
      <c r="A414">
        <v>412</v>
      </c>
      <c r="B414">
        <v>7009</v>
      </c>
      <c r="C414" t="b">
        <v>1</v>
      </c>
      <c r="D414">
        <v>8104</v>
      </c>
      <c r="E414">
        <v>8224</v>
      </c>
      <c r="F414">
        <v>284.26666</v>
      </c>
      <c r="G414">
        <v>281.26666</v>
      </c>
      <c r="H414">
        <v>1.0106660000000001</v>
      </c>
      <c r="I414">
        <v>-1.0666035000000001E-2</v>
      </c>
      <c r="J414">
        <v>0.49734761999999999</v>
      </c>
    </row>
    <row r="415" spans="1:10" x14ac:dyDescent="0.3">
      <c r="A415">
        <v>413</v>
      </c>
      <c r="B415">
        <v>7025</v>
      </c>
      <c r="C415" t="b">
        <v>1</v>
      </c>
      <c r="D415">
        <v>8136</v>
      </c>
      <c r="E415">
        <v>8192</v>
      </c>
      <c r="F415">
        <v>285.86667</v>
      </c>
      <c r="G415">
        <v>282.86667</v>
      </c>
      <c r="H415">
        <v>1.0106056999999999</v>
      </c>
      <c r="I415">
        <v>-1.0605702999999999E-2</v>
      </c>
      <c r="J415">
        <v>0.49736255000000001</v>
      </c>
    </row>
    <row r="416" spans="1:10" x14ac:dyDescent="0.3">
      <c r="A416">
        <v>414</v>
      </c>
      <c r="B416">
        <v>7040</v>
      </c>
      <c r="C416" t="b">
        <v>1</v>
      </c>
      <c r="D416">
        <v>8104</v>
      </c>
      <c r="E416">
        <v>8224</v>
      </c>
      <c r="F416">
        <v>287.46667000000002</v>
      </c>
      <c r="G416">
        <v>284.46667000000002</v>
      </c>
      <c r="H416">
        <v>1.0105461</v>
      </c>
      <c r="I416">
        <v>-1.0546051000000001E-2</v>
      </c>
      <c r="J416">
        <v>0.49737730000000002</v>
      </c>
    </row>
    <row r="417" spans="1:10" x14ac:dyDescent="0.3">
      <c r="A417">
        <v>415</v>
      </c>
      <c r="B417">
        <v>7056</v>
      </c>
      <c r="C417" t="b">
        <v>1</v>
      </c>
      <c r="D417">
        <v>8096</v>
      </c>
      <c r="E417">
        <v>8152</v>
      </c>
      <c r="F417">
        <v>285.86667</v>
      </c>
      <c r="G417">
        <v>286.06668000000002</v>
      </c>
      <c r="H417">
        <v>0.99930083999999997</v>
      </c>
      <c r="I417">
        <v>6.9918034999999999E-4</v>
      </c>
      <c r="J417">
        <v>0.50017489999999998</v>
      </c>
    </row>
    <row r="418" spans="1:10" x14ac:dyDescent="0.3">
      <c r="A418">
        <v>416</v>
      </c>
      <c r="B418">
        <v>7072</v>
      </c>
      <c r="C418" t="b">
        <v>1</v>
      </c>
      <c r="D418">
        <v>8104</v>
      </c>
      <c r="E418">
        <v>8208</v>
      </c>
      <c r="F418">
        <v>284.26666</v>
      </c>
      <c r="G418">
        <v>288.2</v>
      </c>
      <c r="H418">
        <v>0.98635200000000001</v>
      </c>
      <c r="I418">
        <v>1.3647986000000001E-2</v>
      </c>
      <c r="J418">
        <v>0.50343543000000002</v>
      </c>
    </row>
    <row r="419" spans="1:10" x14ac:dyDescent="0.3">
      <c r="A419">
        <v>417</v>
      </c>
      <c r="B419">
        <v>7088</v>
      </c>
      <c r="C419" t="b">
        <v>1</v>
      </c>
      <c r="D419">
        <v>8096</v>
      </c>
      <c r="E419">
        <v>8200</v>
      </c>
      <c r="F419">
        <v>282.66665999999998</v>
      </c>
      <c r="G419">
        <v>289.8</v>
      </c>
      <c r="H419">
        <v>0.97538530000000001</v>
      </c>
      <c r="I419">
        <v>2.4614671000000001E-2</v>
      </c>
      <c r="J419">
        <v>0.50623030000000002</v>
      </c>
    </row>
    <row r="420" spans="1:10" x14ac:dyDescent="0.3">
      <c r="A420">
        <v>418</v>
      </c>
      <c r="B420">
        <v>7104</v>
      </c>
      <c r="C420" t="b">
        <v>1</v>
      </c>
      <c r="D420">
        <v>8096</v>
      </c>
      <c r="E420">
        <v>8200</v>
      </c>
      <c r="F420">
        <v>280.53332999999998</v>
      </c>
      <c r="G420">
        <v>290.86667</v>
      </c>
      <c r="H420">
        <v>0.96447395999999996</v>
      </c>
      <c r="I420">
        <v>3.5526050000000003E-2</v>
      </c>
      <c r="J420">
        <v>0.50904210000000005</v>
      </c>
    </row>
    <row r="421" spans="1:10" x14ac:dyDescent="0.3">
      <c r="A421">
        <v>419</v>
      </c>
      <c r="B421">
        <v>7120</v>
      </c>
      <c r="C421" t="b">
        <v>1</v>
      </c>
      <c r="D421">
        <v>8128</v>
      </c>
      <c r="E421">
        <v>8224</v>
      </c>
      <c r="F421">
        <v>278.39999999999998</v>
      </c>
      <c r="G421">
        <v>291.93331999999998</v>
      </c>
      <c r="H421">
        <v>0.9536424</v>
      </c>
      <c r="I421">
        <v>4.6357589999999997E-2</v>
      </c>
      <c r="J421">
        <v>0.5118644</v>
      </c>
    </row>
    <row r="422" spans="1:10" x14ac:dyDescent="0.3">
      <c r="A422">
        <v>420</v>
      </c>
      <c r="B422">
        <v>7152</v>
      </c>
      <c r="C422" t="b">
        <v>1</v>
      </c>
      <c r="D422">
        <v>8120</v>
      </c>
      <c r="E422">
        <v>8200</v>
      </c>
      <c r="F422">
        <v>276.8</v>
      </c>
      <c r="G422">
        <v>290.33334000000002</v>
      </c>
      <c r="H422">
        <v>0.95338683999999996</v>
      </c>
      <c r="I422">
        <v>4.6613163999999999E-2</v>
      </c>
      <c r="J422">
        <v>0.51193140000000004</v>
      </c>
    </row>
    <row r="423" spans="1:10" x14ac:dyDescent="0.3">
      <c r="A423">
        <v>421</v>
      </c>
      <c r="B423">
        <v>7168</v>
      </c>
      <c r="C423" t="b">
        <v>1</v>
      </c>
      <c r="D423">
        <v>8144</v>
      </c>
      <c r="E423">
        <v>8216</v>
      </c>
      <c r="F423">
        <v>276.8</v>
      </c>
      <c r="G423">
        <v>288.73334</v>
      </c>
      <c r="H423">
        <v>0.95867000000000002</v>
      </c>
      <c r="I423">
        <v>4.1330001999999998E-2</v>
      </c>
      <c r="J423">
        <v>0.51055050000000002</v>
      </c>
    </row>
    <row r="424" spans="1:10" x14ac:dyDescent="0.3">
      <c r="A424">
        <v>422</v>
      </c>
      <c r="B424">
        <v>7184</v>
      </c>
      <c r="C424" t="b">
        <v>1</v>
      </c>
      <c r="D424">
        <v>8128</v>
      </c>
      <c r="E424">
        <v>8224</v>
      </c>
      <c r="F424">
        <v>277.33334000000002</v>
      </c>
      <c r="G424">
        <v>289.26666</v>
      </c>
      <c r="H424">
        <v>0.95874630000000005</v>
      </c>
      <c r="I424">
        <v>4.1253696999999999E-2</v>
      </c>
      <c r="J424">
        <v>0.51053064999999997</v>
      </c>
    </row>
    <row r="425" spans="1:10" x14ac:dyDescent="0.3">
      <c r="A425">
        <v>423</v>
      </c>
      <c r="B425">
        <v>7200</v>
      </c>
      <c r="C425" t="b">
        <v>1</v>
      </c>
      <c r="D425">
        <v>8112</v>
      </c>
      <c r="E425">
        <v>8160</v>
      </c>
      <c r="F425">
        <v>277.86667</v>
      </c>
      <c r="G425">
        <v>289.8</v>
      </c>
      <c r="H425">
        <v>0.95882224999999999</v>
      </c>
      <c r="I425">
        <v>4.1177775999999999E-2</v>
      </c>
      <c r="J425">
        <v>0.51051086000000001</v>
      </c>
    </row>
    <row r="426" spans="1:10" x14ac:dyDescent="0.3">
      <c r="A426">
        <v>424</v>
      </c>
      <c r="B426">
        <v>7216</v>
      </c>
      <c r="C426" t="b">
        <v>1</v>
      </c>
      <c r="D426">
        <v>8096</v>
      </c>
      <c r="E426">
        <v>8224</v>
      </c>
      <c r="F426">
        <v>277.86667</v>
      </c>
      <c r="G426">
        <v>290.33334000000002</v>
      </c>
      <c r="H426">
        <v>0.95706080000000004</v>
      </c>
      <c r="I426">
        <v>4.293918E-2</v>
      </c>
      <c r="J426">
        <v>0.51097029999999999</v>
      </c>
    </row>
    <row r="427" spans="1:10" x14ac:dyDescent="0.3">
      <c r="A427">
        <v>425</v>
      </c>
      <c r="B427">
        <v>7232</v>
      </c>
      <c r="C427" t="b">
        <v>1</v>
      </c>
      <c r="D427">
        <v>8152</v>
      </c>
      <c r="E427">
        <v>8200</v>
      </c>
      <c r="F427">
        <v>278.39999999999998</v>
      </c>
      <c r="G427">
        <v>290.86667</v>
      </c>
      <c r="H427">
        <v>0.95713954999999995</v>
      </c>
      <c r="I427">
        <v>4.2860444999999997E-2</v>
      </c>
      <c r="J427">
        <v>0.51094980000000001</v>
      </c>
    </row>
    <row r="428" spans="1:10" x14ac:dyDescent="0.3">
      <c r="A428">
        <v>426</v>
      </c>
      <c r="B428">
        <v>7247</v>
      </c>
      <c r="C428" t="b">
        <v>1</v>
      </c>
      <c r="D428">
        <v>8112</v>
      </c>
      <c r="E428">
        <v>8152</v>
      </c>
      <c r="F428">
        <v>276.8</v>
      </c>
      <c r="G428">
        <v>290.33334000000002</v>
      </c>
      <c r="H428">
        <v>0.95338683999999996</v>
      </c>
      <c r="I428">
        <v>4.6613163999999999E-2</v>
      </c>
      <c r="J428">
        <v>0.51193140000000004</v>
      </c>
    </row>
    <row r="429" spans="1:10" x14ac:dyDescent="0.3">
      <c r="A429">
        <v>427</v>
      </c>
      <c r="B429">
        <v>7264</v>
      </c>
      <c r="C429" t="b">
        <v>1</v>
      </c>
      <c r="D429">
        <v>8096</v>
      </c>
      <c r="E429">
        <v>8176</v>
      </c>
      <c r="F429">
        <v>275.2</v>
      </c>
      <c r="G429">
        <v>288.2</v>
      </c>
      <c r="H429">
        <v>0.95489246000000005</v>
      </c>
      <c r="I429">
        <v>4.5107561999999997E-2</v>
      </c>
      <c r="J429">
        <v>0.51153709999999997</v>
      </c>
    </row>
    <row r="430" spans="1:10" x14ac:dyDescent="0.3">
      <c r="A430">
        <v>428</v>
      </c>
      <c r="B430">
        <v>7280</v>
      </c>
      <c r="C430" t="b">
        <v>1</v>
      </c>
      <c r="D430">
        <v>8112</v>
      </c>
      <c r="E430">
        <v>8176</v>
      </c>
      <c r="F430">
        <v>273.60000000000002</v>
      </c>
      <c r="G430">
        <v>286.60000000000002</v>
      </c>
      <c r="H430">
        <v>0.95464059999999995</v>
      </c>
      <c r="I430">
        <v>4.5359384000000003E-2</v>
      </c>
      <c r="J430">
        <v>0.51160300000000003</v>
      </c>
    </row>
    <row r="431" spans="1:10" x14ac:dyDescent="0.3">
      <c r="A431">
        <v>429</v>
      </c>
      <c r="B431">
        <v>7295</v>
      </c>
      <c r="C431" t="b">
        <v>1</v>
      </c>
      <c r="D431">
        <v>8112</v>
      </c>
      <c r="E431">
        <v>8184</v>
      </c>
      <c r="F431">
        <v>272</v>
      </c>
      <c r="G431">
        <v>285</v>
      </c>
      <c r="H431">
        <v>0.95438593999999999</v>
      </c>
      <c r="I431">
        <v>4.5614033999999998E-2</v>
      </c>
      <c r="J431">
        <v>0.51166964000000004</v>
      </c>
    </row>
    <row r="432" spans="1:10" x14ac:dyDescent="0.3">
      <c r="A432">
        <v>430</v>
      </c>
      <c r="B432">
        <v>7311</v>
      </c>
      <c r="C432" t="b">
        <v>1</v>
      </c>
      <c r="D432">
        <v>8128</v>
      </c>
      <c r="E432">
        <v>8200</v>
      </c>
      <c r="F432">
        <v>272.53332999999998</v>
      </c>
      <c r="G432">
        <v>283.39999999999998</v>
      </c>
      <c r="H432">
        <v>0.96165610000000001</v>
      </c>
      <c r="I432">
        <v>3.8343929999999998E-2</v>
      </c>
      <c r="J432">
        <v>0.50977329999999998</v>
      </c>
    </row>
    <row r="433" spans="1:10" x14ac:dyDescent="0.3">
      <c r="A433">
        <v>431</v>
      </c>
      <c r="B433">
        <v>7327</v>
      </c>
      <c r="C433" t="b">
        <v>1</v>
      </c>
      <c r="D433">
        <v>8104</v>
      </c>
      <c r="E433">
        <v>8192</v>
      </c>
      <c r="F433">
        <v>273.06668000000002</v>
      </c>
      <c r="G433">
        <v>281.8</v>
      </c>
      <c r="H433">
        <v>0.96900885999999997</v>
      </c>
      <c r="I433">
        <v>3.0991154E-2</v>
      </c>
      <c r="J433">
        <v>0.50786969999999998</v>
      </c>
    </row>
    <row r="434" spans="1:10" x14ac:dyDescent="0.3">
      <c r="A434">
        <v>432</v>
      </c>
      <c r="B434">
        <v>7343</v>
      </c>
      <c r="C434" t="b">
        <v>1</v>
      </c>
      <c r="D434">
        <v>8112</v>
      </c>
      <c r="E434">
        <v>8184</v>
      </c>
      <c r="F434">
        <v>273.60000000000002</v>
      </c>
      <c r="G434">
        <v>280.73334</v>
      </c>
      <c r="H434">
        <v>0.97459035999999999</v>
      </c>
      <c r="I434">
        <v>2.5409633000000001E-2</v>
      </c>
      <c r="J434">
        <v>0.50643413999999998</v>
      </c>
    </row>
    <row r="435" spans="1:10" x14ac:dyDescent="0.3">
      <c r="A435">
        <v>433</v>
      </c>
      <c r="B435">
        <v>7359</v>
      </c>
      <c r="C435" t="b">
        <v>1</v>
      </c>
      <c r="D435">
        <v>8120</v>
      </c>
      <c r="E435">
        <v>8200</v>
      </c>
      <c r="F435">
        <v>274.66665999999998</v>
      </c>
      <c r="G435">
        <v>280.2</v>
      </c>
      <c r="H435">
        <v>0.98025214999999999</v>
      </c>
      <c r="I435">
        <v>1.9747877E-2</v>
      </c>
      <c r="J435">
        <v>0.50498617000000001</v>
      </c>
    </row>
    <row r="436" spans="1:10" x14ac:dyDescent="0.3">
      <c r="A436">
        <v>434</v>
      </c>
      <c r="B436">
        <v>7374</v>
      </c>
      <c r="C436" t="b">
        <v>1</v>
      </c>
      <c r="D436">
        <v>8128</v>
      </c>
      <c r="E436">
        <v>8200</v>
      </c>
      <c r="F436">
        <v>276.26666</v>
      </c>
      <c r="G436">
        <v>280.2</v>
      </c>
      <c r="H436">
        <v>0.98596233</v>
      </c>
      <c r="I436">
        <v>1.403765E-2</v>
      </c>
      <c r="J436">
        <v>0.50353420000000004</v>
      </c>
    </row>
    <row r="437" spans="1:10" x14ac:dyDescent="0.3">
      <c r="A437">
        <v>435</v>
      </c>
      <c r="B437">
        <v>7391</v>
      </c>
      <c r="C437" t="b">
        <v>1</v>
      </c>
      <c r="D437">
        <v>8088</v>
      </c>
      <c r="E437">
        <v>8200</v>
      </c>
      <c r="F437">
        <v>276.8</v>
      </c>
      <c r="G437">
        <v>280.2</v>
      </c>
      <c r="H437">
        <v>0.98786574999999999</v>
      </c>
      <c r="I437">
        <v>1.2134275999999999E-2</v>
      </c>
      <c r="J437">
        <v>0.5030521</v>
      </c>
    </row>
    <row r="438" spans="1:10" x14ac:dyDescent="0.3">
      <c r="A438">
        <v>436</v>
      </c>
      <c r="B438">
        <v>7406</v>
      </c>
      <c r="C438" t="b">
        <v>1</v>
      </c>
      <c r="D438">
        <v>8120</v>
      </c>
      <c r="E438">
        <v>8176</v>
      </c>
      <c r="F438">
        <v>276.8</v>
      </c>
      <c r="G438">
        <v>280.2</v>
      </c>
      <c r="H438">
        <v>0.98786574999999999</v>
      </c>
      <c r="I438">
        <v>1.2134275999999999E-2</v>
      </c>
      <c r="J438">
        <v>0.5030521</v>
      </c>
    </row>
    <row r="439" spans="1:10" x14ac:dyDescent="0.3">
      <c r="A439">
        <v>437</v>
      </c>
      <c r="B439">
        <v>7423</v>
      </c>
      <c r="C439" t="b">
        <v>1</v>
      </c>
      <c r="D439">
        <v>8152</v>
      </c>
      <c r="E439">
        <v>8176</v>
      </c>
      <c r="F439">
        <v>276.26666</v>
      </c>
      <c r="G439">
        <v>279.13333</v>
      </c>
      <c r="H439">
        <v>0.98973009999999995</v>
      </c>
      <c r="I439">
        <v>1.0269891E-2</v>
      </c>
      <c r="J439">
        <v>0.50258069999999999</v>
      </c>
    </row>
    <row r="440" spans="1:10" x14ac:dyDescent="0.3">
      <c r="A440">
        <v>438</v>
      </c>
      <c r="B440">
        <v>7438</v>
      </c>
      <c r="C440" t="b">
        <v>1</v>
      </c>
      <c r="D440">
        <v>8120</v>
      </c>
      <c r="E440">
        <v>8200</v>
      </c>
      <c r="F440">
        <v>275.73334</v>
      </c>
      <c r="G440">
        <v>278.06668000000002</v>
      </c>
      <c r="H440">
        <v>0.99160870000000001</v>
      </c>
      <c r="I440">
        <v>8.3913094999999993E-3</v>
      </c>
      <c r="J440">
        <v>0.50210666999999998</v>
      </c>
    </row>
    <row r="441" spans="1:10" x14ac:dyDescent="0.3">
      <c r="A441">
        <v>439</v>
      </c>
      <c r="B441">
        <v>7454</v>
      </c>
      <c r="C441" t="b">
        <v>1</v>
      </c>
      <c r="D441">
        <v>8128</v>
      </c>
      <c r="E441">
        <v>8192</v>
      </c>
      <c r="F441">
        <v>275.73334</v>
      </c>
      <c r="G441">
        <v>276.46667000000002</v>
      </c>
      <c r="H441">
        <v>0.99734750000000005</v>
      </c>
      <c r="I441">
        <v>2.6525345E-3</v>
      </c>
      <c r="J441">
        <v>0.500664</v>
      </c>
    </row>
    <row r="442" spans="1:10" x14ac:dyDescent="0.3">
      <c r="A442">
        <v>440</v>
      </c>
      <c r="B442">
        <v>7470</v>
      </c>
      <c r="C442" t="b">
        <v>1</v>
      </c>
      <c r="D442">
        <v>8088</v>
      </c>
      <c r="E442">
        <v>8184</v>
      </c>
      <c r="F442">
        <v>275.2</v>
      </c>
      <c r="G442">
        <v>274.33334000000002</v>
      </c>
      <c r="H442">
        <v>1.0031592</v>
      </c>
      <c r="I442">
        <v>-3.1591810000000001E-3</v>
      </c>
      <c r="J442">
        <v>0.49921149999999997</v>
      </c>
    </row>
    <row r="443" spans="1:10" x14ac:dyDescent="0.3">
      <c r="A443">
        <v>441</v>
      </c>
      <c r="B443">
        <v>7486</v>
      </c>
      <c r="C443" t="b">
        <v>1</v>
      </c>
      <c r="D443">
        <v>8128</v>
      </c>
      <c r="E443">
        <v>8184</v>
      </c>
      <c r="F443">
        <v>276.26666</v>
      </c>
      <c r="G443">
        <v>273.26666</v>
      </c>
      <c r="H443">
        <v>1.0109783000000001</v>
      </c>
      <c r="I443">
        <v>-1.0978287E-2</v>
      </c>
      <c r="J443">
        <v>0.4972704</v>
      </c>
    </row>
    <row r="444" spans="1:10" x14ac:dyDescent="0.3">
      <c r="A444">
        <v>442</v>
      </c>
      <c r="B444">
        <v>7518</v>
      </c>
      <c r="C444" t="b">
        <v>1</v>
      </c>
      <c r="D444">
        <v>8144</v>
      </c>
      <c r="E444">
        <v>8224</v>
      </c>
      <c r="F444">
        <v>277.33334000000002</v>
      </c>
      <c r="G444">
        <v>274.33334000000002</v>
      </c>
      <c r="H444">
        <v>1.0109355</v>
      </c>
      <c r="I444">
        <v>-1.0935601E-2</v>
      </c>
      <c r="J444">
        <v>0.49728095999999999</v>
      </c>
    </row>
    <row r="445" spans="1:10" x14ac:dyDescent="0.3">
      <c r="A445">
        <v>443</v>
      </c>
      <c r="B445">
        <v>7534</v>
      </c>
      <c r="C445" t="b">
        <v>1</v>
      </c>
      <c r="D445">
        <v>8096</v>
      </c>
      <c r="E445">
        <v>8208</v>
      </c>
      <c r="F445">
        <v>278.39999999999998</v>
      </c>
      <c r="G445">
        <v>275.39999999999998</v>
      </c>
      <c r="H445">
        <v>1.0108931999999999</v>
      </c>
      <c r="I445">
        <v>-1.0893246000000001E-2</v>
      </c>
      <c r="J445">
        <v>0.49729145000000002</v>
      </c>
    </row>
    <row r="446" spans="1:10" x14ac:dyDescent="0.3">
      <c r="A446">
        <v>444</v>
      </c>
      <c r="B446">
        <v>7550</v>
      </c>
      <c r="C446" t="b">
        <v>1</v>
      </c>
      <c r="D446">
        <v>8104</v>
      </c>
      <c r="E446">
        <v>8176</v>
      </c>
      <c r="F446">
        <v>277.86667</v>
      </c>
      <c r="G446">
        <v>275.93331999999998</v>
      </c>
      <c r="H446">
        <v>1.0070064999999999</v>
      </c>
      <c r="I446">
        <v>-7.0065830000000003E-3</v>
      </c>
      <c r="J446">
        <v>0.49825448</v>
      </c>
    </row>
    <row r="447" spans="1:10" x14ac:dyDescent="0.3">
      <c r="A447">
        <v>445</v>
      </c>
      <c r="B447">
        <v>7565</v>
      </c>
      <c r="C447" t="b">
        <v>1</v>
      </c>
      <c r="D447">
        <v>8128</v>
      </c>
      <c r="E447">
        <v>8216</v>
      </c>
      <c r="F447">
        <v>278.93331999999998</v>
      </c>
      <c r="G447">
        <v>278.06668000000002</v>
      </c>
      <c r="H447">
        <v>1.0031166</v>
      </c>
      <c r="I447">
        <v>-3.1166560000000002E-3</v>
      </c>
      <c r="J447">
        <v>0.49922203999999998</v>
      </c>
    </row>
    <row r="448" spans="1:10" x14ac:dyDescent="0.3">
      <c r="A448">
        <v>446</v>
      </c>
      <c r="B448">
        <v>7581</v>
      </c>
      <c r="C448" t="b">
        <v>1</v>
      </c>
      <c r="D448">
        <v>8072</v>
      </c>
      <c r="E448">
        <v>8208</v>
      </c>
      <c r="F448">
        <v>278.39999999999998</v>
      </c>
      <c r="G448">
        <v>279.66665999999998</v>
      </c>
      <c r="H448">
        <v>0.99547079999999999</v>
      </c>
      <c r="I448">
        <v>4.5291869999999996E-3</v>
      </c>
      <c r="J448">
        <v>0.50113490000000005</v>
      </c>
    </row>
    <row r="449" spans="1:10" x14ac:dyDescent="0.3">
      <c r="A449">
        <v>447</v>
      </c>
      <c r="B449">
        <v>7597</v>
      </c>
      <c r="C449" t="b">
        <v>1</v>
      </c>
      <c r="D449">
        <v>8120</v>
      </c>
      <c r="E449">
        <v>8200</v>
      </c>
      <c r="F449">
        <v>277.86667</v>
      </c>
      <c r="G449">
        <v>281.26666</v>
      </c>
      <c r="H449">
        <v>0.98791180000000001</v>
      </c>
      <c r="I449">
        <v>1.2088151E-2</v>
      </c>
      <c r="J449">
        <v>0.50304042999999998</v>
      </c>
    </row>
    <row r="450" spans="1:10" x14ac:dyDescent="0.3">
      <c r="A450">
        <v>448</v>
      </c>
      <c r="B450">
        <v>7613</v>
      </c>
      <c r="C450" t="b">
        <v>1</v>
      </c>
      <c r="D450">
        <v>8128</v>
      </c>
      <c r="E450">
        <v>8216</v>
      </c>
      <c r="F450">
        <v>278.39999999999998</v>
      </c>
      <c r="G450">
        <v>282.33334000000002</v>
      </c>
      <c r="H450">
        <v>0.98606839999999996</v>
      </c>
      <c r="I450">
        <v>1.3931580000000001E-2</v>
      </c>
      <c r="J450">
        <v>0.50350729999999999</v>
      </c>
    </row>
    <row r="451" spans="1:10" x14ac:dyDescent="0.3">
      <c r="A451">
        <v>449</v>
      </c>
      <c r="B451">
        <v>7629</v>
      </c>
      <c r="C451" t="b">
        <v>1</v>
      </c>
      <c r="D451">
        <v>8096</v>
      </c>
      <c r="E451">
        <v>8176</v>
      </c>
      <c r="F451">
        <v>278.39999999999998</v>
      </c>
      <c r="G451">
        <v>282.86667</v>
      </c>
      <c r="H451">
        <v>0.98420923999999999</v>
      </c>
      <c r="I451">
        <v>1.5790742E-2</v>
      </c>
      <c r="J451">
        <v>0.50397910000000001</v>
      </c>
    </row>
    <row r="452" spans="1:10" x14ac:dyDescent="0.3">
      <c r="A452">
        <v>450</v>
      </c>
      <c r="B452">
        <v>7645</v>
      </c>
      <c r="C452" t="b">
        <v>1</v>
      </c>
      <c r="D452">
        <v>8104</v>
      </c>
      <c r="E452">
        <v>8208</v>
      </c>
      <c r="F452">
        <v>277.86667</v>
      </c>
      <c r="G452">
        <v>283.39999999999998</v>
      </c>
      <c r="H452">
        <v>0.98047519999999999</v>
      </c>
      <c r="I452">
        <v>1.9524788000000001E-2</v>
      </c>
      <c r="J452">
        <v>0.50492930000000003</v>
      </c>
    </row>
    <row r="453" spans="1:10" x14ac:dyDescent="0.3">
      <c r="A453">
        <v>451</v>
      </c>
      <c r="B453">
        <v>7661</v>
      </c>
      <c r="C453" t="b">
        <v>1</v>
      </c>
      <c r="D453">
        <v>8152</v>
      </c>
      <c r="E453">
        <v>8216</v>
      </c>
      <c r="F453">
        <v>277.86667</v>
      </c>
      <c r="G453">
        <v>283.93331999999998</v>
      </c>
      <c r="H453">
        <v>0.97863350000000005</v>
      </c>
      <c r="I453">
        <v>2.1366461999999999E-2</v>
      </c>
      <c r="J453">
        <v>0.5053993</v>
      </c>
    </row>
    <row r="454" spans="1:10" x14ac:dyDescent="0.3">
      <c r="A454">
        <v>452</v>
      </c>
      <c r="B454">
        <v>7677</v>
      </c>
      <c r="C454" t="b">
        <v>1</v>
      </c>
      <c r="D454">
        <v>8128</v>
      </c>
      <c r="E454">
        <v>8192</v>
      </c>
      <c r="F454">
        <v>278.39999999999998</v>
      </c>
      <c r="G454">
        <v>284.46667000000002</v>
      </c>
      <c r="H454">
        <v>0.97867349999999997</v>
      </c>
      <c r="I454">
        <v>2.1326508000000001E-2</v>
      </c>
      <c r="J454">
        <v>0.50538910000000004</v>
      </c>
    </row>
    <row r="455" spans="1:10" x14ac:dyDescent="0.3">
      <c r="A455">
        <v>453</v>
      </c>
      <c r="B455">
        <v>7693</v>
      </c>
      <c r="C455" t="b">
        <v>1</v>
      </c>
      <c r="D455">
        <v>8112</v>
      </c>
      <c r="E455">
        <v>8208</v>
      </c>
      <c r="F455">
        <v>277.86667</v>
      </c>
      <c r="G455">
        <v>285</v>
      </c>
      <c r="H455">
        <v>0.97497076000000005</v>
      </c>
      <c r="I455">
        <v>2.5029233000000001E-2</v>
      </c>
      <c r="J455">
        <v>0.50633656999999999</v>
      </c>
    </row>
    <row r="456" spans="1:10" x14ac:dyDescent="0.3">
      <c r="A456">
        <v>454</v>
      </c>
      <c r="B456">
        <v>7708</v>
      </c>
      <c r="C456" t="b">
        <v>1</v>
      </c>
      <c r="D456">
        <v>8112</v>
      </c>
      <c r="E456">
        <v>8200</v>
      </c>
      <c r="F456">
        <v>277.33334000000002</v>
      </c>
      <c r="G456">
        <v>286.06668000000002</v>
      </c>
      <c r="H456">
        <v>0.96947099999999997</v>
      </c>
      <c r="I456">
        <v>3.0529028E-2</v>
      </c>
      <c r="J456">
        <v>0.50775060000000005</v>
      </c>
    </row>
    <row r="457" spans="1:10" x14ac:dyDescent="0.3">
      <c r="A457">
        <v>455</v>
      </c>
      <c r="B457">
        <v>7724</v>
      </c>
      <c r="C457" t="b">
        <v>1</v>
      </c>
      <c r="D457">
        <v>8160</v>
      </c>
      <c r="E457">
        <v>8192</v>
      </c>
      <c r="F457">
        <v>277.86667</v>
      </c>
      <c r="G457">
        <v>287.13333</v>
      </c>
      <c r="H457">
        <v>0.96772694999999997</v>
      </c>
      <c r="I457">
        <v>3.2273030000000001E-2</v>
      </c>
      <c r="J457">
        <v>0.5082006</v>
      </c>
    </row>
    <row r="458" spans="1:10" x14ac:dyDescent="0.3">
      <c r="A458">
        <v>456</v>
      </c>
      <c r="B458">
        <v>7740</v>
      </c>
      <c r="C458" t="b">
        <v>1</v>
      </c>
      <c r="D458">
        <v>8104</v>
      </c>
      <c r="E458">
        <v>8224</v>
      </c>
      <c r="F458">
        <v>276.8</v>
      </c>
      <c r="G458">
        <v>288.2</v>
      </c>
      <c r="H458">
        <v>0.96044403</v>
      </c>
      <c r="I458">
        <v>3.9555949999999999E-2</v>
      </c>
      <c r="J458">
        <v>0.51008849999999994</v>
      </c>
    </row>
    <row r="459" spans="1:10" x14ac:dyDescent="0.3">
      <c r="A459">
        <v>457</v>
      </c>
      <c r="B459">
        <v>7756</v>
      </c>
      <c r="C459" t="b">
        <v>1</v>
      </c>
      <c r="D459">
        <v>8128</v>
      </c>
      <c r="E459">
        <v>8208</v>
      </c>
      <c r="F459">
        <v>275.73334</v>
      </c>
      <c r="G459">
        <v>289.26666</v>
      </c>
      <c r="H459">
        <v>0.95321506</v>
      </c>
      <c r="I459">
        <v>4.6784945000000001E-2</v>
      </c>
      <c r="J459">
        <v>0.5119764</v>
      </c>
    </row>
    <row r="460" spans="1:10" x14ac:dyDescent="0.3">
      <c r="A460">
        <v>458</v>
      </c>
      <c r="B460">
        <v>7772</v>
      </c>
      <c r="C460" t="b">
        <v>1</v>
      </c>
      <c r="D460">
        <v>8120</v>
      </c>
      <c r="E460">
        <v>8200</v>
      </c>
      <c r="F460">
        <v>275.2</v>
      </c>
      <c r="G460">
        <v>289.8</v>
      </c>
      <c r="H460">
        <v>0.94962049999999998</v>
      </c>
      <c r="I460">
        <v>5.0379489999999999E-2</v>
      </c>
      <c r="J460">
        <v>0.5129203</v>
      </c>
    </row>
    <row r="461" spans="1:10" x14ac:dyDescent="0.3">
      <c r="A461">
        <v>459</v>
      </c>
      <c r="B461">
        <v>7788</v>
      </c>
      <c r="C461" t="b">
        <v>1</v>
      </c>
      <c r="D461">
        <v>8128</v>
      </c>
      <c r="E461">
        <v>8224</v>
      </c>
      <c r="F461">
        <v>276.8</v>
      </c>
      <c r="G461">
        <v>291.39999999999998</v>
      </c>
      <c r="H461">
        <v>0.94989705000000002</v>
      </c>
      <c r="I461">
        <v>5.0102969999999997E-2</v>
      </c>
      <c r="J461">
        <v>0.51284759999999996</v>
      </c>
    </row>
    <row r="462" spans="1:10" x14ac:dyDescent="0.3">
      <c r="A462">
        <v>460</v>
      </c>
      <c r="B462">
        <v>7803</v>
      </c>
      <c r="C462" t="b">
        <v>1</v>
      </c>
      <c r="D462">
        <v>8136</v>
      </c>
      <c r="E462">
        <v>8152</v>
      </c>
      <c r="F462">
        <v>276.8</v>
      </c>
      <c r="G462">
        <v>291.39999999999998</v>
      </c>
      <c r="H462">
        <v>0.94989705000000002</v>
      </c>
      <c r="I462">
        <v>5.0102969999999997E-2</v>
      </c>
      <c r="J462">
        <v>0.51284759999999996</v>
      </c>
    </row>
    <row r="463" spans="1:10" x14ac:dyDescent="0.3">
      <c r="A463">
        <v>461</v>
      </c>
      <c r="B463">
        <v>7819</v>
      </c>
      <c r="C463" t="b">
        <v>1</v>
      </c>
      <c r="D463">
        <v>8104</v>
      </c>
      <c r="E463">
        <v>8176</v>
      </c>
      <c r="F463">
        <v>278.39999999999998</v>
      </c>
      <c r="G463">
        <v>290.86667</v>
      </c>
      <c r="H463">
        <v>0.95713954999999995</v>
      </c>
      <c r="I463">
        <v>4.2860444999999997E-2</v>
      </c>
      <c r="J463">
        <v>0.51094980000000001</v>
      </c>
    </row>
    <row r="464" spans="1:10" x14ac:dyDescent="0.3">
      <c r="A464">
        <v>462</v>
      </c>
      <c r="B464">
        <v>7835</v>
      </c>
      <c r="C464" t="b">
        <v>1</v>
      </c>
      <c r="D464">
        <v>8128</v>
      </c>
      <c r="E464">
        <v>8224</v>
      </c>
      <c r="F464">
        <v>280</v>
      </c>
      <c r="G464">
        <v>290.33334000000002</v>
      </c>
      <c r="H464">
        <v>0.96440870000000001</v>
      </c>
      <c r="I464">
        <v>3.5591308000000002E-2</v>
      </c>
      <c r="J464">
        <v>0.50905900000000004</v>
      </c>
    </row>
    <row r="465" spans="1:10" x14ac:dyDescent="0.3">
      <c r="A465">
        <v>463</v>
      </c>
      <c r="B465">
        <v>7851</v>
      </c>
      <c r="C465" t="b">
        <v>1</v>
      </c>
      <c r="D465">
        <v>8104</v>
      </c>
      <c r="E465">
        <v>8224</v>
      </c>
      <c r="F465">
        <v>280.53332999999998</v>
      </c>
      <c r="G465">
        <v>291.39999999999998</v>
      </c>
      <c r="H465">
        <v>0.96270880000000003</v>
      </c>
      <c r="I465">
        <v>3.7291244000000001E-2</v>
      </c>
      <c r="J465">
        <v>0.50949990000000001</v>
      </c>
    </row>
    <row r="466" spans="1:10" x14ac:dyDescent="0.3">
      <c r="A466">
        <v>464</v>
      </c>
      <c r="B466">
        <v>7867</v>
      </c>
      <c r="C466" t="b">
        <v>1</v>
      </c>
      <c r="D466">
        <v>8104</v>
      </c>
      <c r="E466">
        <v>8184</v>
      </c>
      <c r="F466">
        <v>279.46667000000002</v>
      </c>
      <c r="G466">
        <v>289.8</v>
      </c>
      <c r="H466">
        <v>0.96434330000000001</v>
      </c>
      <c r="I466">
        <v>3.5656704999999997E-2</v>
      </c>
      <c r="J466">
        <v>0.50907599999999997</v>
      </c>
    </row>
    <row r="467" spans="1:10" x14ac:dyDescent="0.3">
      <c r="A467">
        <v>465</v>
      </c>
      <c r="B467">
        <v>7883</v>
      </c>
      <c r="C467" t="b">
        <v>1</v>
      </c>
      <c r="D467">
        <v>8112</v>
      </c>
      <c r="E467">
        <v>8176</v>
      </c>
      <c r="F467">
        <v>279.46667000000002</v>
      </c>
      <c r="G467">
        <v>288.2</v>
      </c>
      <c r="H467">
        <v>0.96969693999999995</v>
      </c>
      <c r="I467">
        <v>3.0303041999999999E-2</v>
      </c>
      <c r="J467">
        <v>0.50769233999999996</v>
      </c>
    </row>
    <row r="468" spans="1:10" x14ac:dyDescent="0.3">
      <c r="A468">
        <v>466</v>
      </c>
      <c r="B468">
        <v>7899</v>
      </c>
      <c r="C468" t="b">
        <v>1</v>
      </c>
      <c r="D468">
        <v>8160</v>
      </c>
      <c r="E468">
        <v>8152</v>
      </c>
      <c r="F468">
        <v>278.93331999999998</v>
      </c>
      <c r="G468">
        <v>286.60000000000002</v>
      </c>
      <c r="H468">
        <v>0.97324949999999999</v>
      </c>
      <c r="I468">
        <v>2.6750477000000002E-2</v>
      </c>
      <c r="J468">
        <v>0.50677830000000001</v>
      </c>
    </row>
    <row r="469" spans="1:10" x14ac:dyDescent="0.3">
      <c r="A469">
        <v>467</v>
      </c>
      <c r="B469">
        <v>7914</v>
      </c>
      <c r="C469" t="b">
        <v>1</v>
      </c>
      <c r="D469">
        <v>8160</v>
      </c>
      <c r="E469">
        <v>8200</v>
      </c>
      <c r="F469">
        <v>277.86667</v>
      </c>
      <c r="G469">
        <v>285</v>
      </c>
      <c r="H469">
        <v>0.97497076000000005</v>
      </c>
      <c r="I469">
        <v>2.5029233000000001E-2</v>
      </c>
      <c r="J469">
        <v>0.50633656999999999</v>
      </c>
    </row>
    <row r="470" spans="1:10" x14ac:dyDescent="0.3">
      <c r="A470">
        <v>468</v>
      </c>
      <c r="B470">
        <v>7946</v>
      </c>
      <c r="C470" t="b">
        <v>1</v>
      </c>
      <c r="D470">
        <v>8128</v>
      </c>
      <c r="E470">
        <v>8200</v>
      </c>
      <c r="F470">
        <v>278.93331999999998</v>
      </c>
      <c r="G470">
        <v>283.39999999999998</v>
      </c>
      <c r="H470">
        <v>0.98423899999999998</v>
      </c>
      <c r="I470">
        <v>1.5761027E-2</v>
      </c>
      <c r="J470">
        <v>0.50397159999999996</v>
      </c>
    </row>
    <row r="471" spans="1:10" x14ac:dyDescent="0.3">
      <c r="A471">
        <v>469</v>
      </c>
      <c r="B471">
        <v>7962</v>
      </c>
      <c r="C471" t="b">
        <v>1</v>
      </c>
      <c r="D471">
        <v>8136</v>
      </c>
      <c r="E471">
        <v>8152</v>
      </c>
      <c r="F471">
        <v>280.53332999999998</v>
      </c>
      <c r="G471">
        <v>281.26666</v>
      </c>
      <c r="H471">
        <v>0.99739270000000002</v>
      </c>
      <c r="I471">
        <v>2.6072673E-3</v>
      </c>
      <c r="J471">
        <v>0.50065269999999995</v>
      </c>
    </row>
    <row r="472" spans="1:10" x14ac:dyDescent="0.3">
      <c r="A472">
        <v>470</v>
      </c>
      <c r="B472">
        <v>7978</v>
      </c>
      <c r="C472" t="b">
        <v>1</v>
      </c>
      <c r="D472">
        <v>8128</v>
      </c>
      <c r="E472">
        <v>8176</v>
      </c>
      <c r="F472">
        <v>281.06668000000002</v>
      </c>
      <c r="G472">
        <v>279.66665999999998</v>
      </c>
      <c r="H472">
        <v>1.0050060999999999</v>
      </c>
      <c r="I472">
        <v>-5.0060469999999996E-3</v>
      </c>
      <c r="J472">
        <v>0.49875160000000002</v>
      </c>
    </row>
    <row r="473" spans="1:10" x14ac:dyDescent="0.3">
      <c r="A473">
        <v>471</v>
      </c>
      <c r="B473">
        <v>7994</v>
      </c>
      <c r="C473" t="b">
        <v>1</v>
      </c>
      <c r="D473">
        <v>8128</v>
      </c>
      <c r="E473">
        <v>8200</v>
      </c>
      <c r="F473">
        <v>282.13333</v>
      </c>
      <c r="G473">
        <v>279.66665999999998</v>
      </c>
      <c r="H473">
        <v>1.0088200000000001</v>
      </c>
      <c r="I473">
        <v>-8.8200529999999996E-3</v>
      </c>
      <c r="J473">
        <v>0.49780467</v>
      </c>
    </row>
    <row r="474" spans="1:10" x14ac:dyDescent="0.3">
      <c r="A474">
        <v>472</v>
      </c>
      <c r="B474">
        <v>8009</v>
      </c>
      <c r="C474" t="b">
        <v>1</v>
      </c>
      <c r="D474">
        <v>8104</v>
      </c>
      <c r="E474">
        <v>8216</v>
      </c>
      <c r="F474">
        <v>283.2</v>
      </c>
      <c r="G474">
        <v>279.13333</v>
      </c>
      <c r="H474">
        <v>1.0145689</v>
      </c>
      <c r="I474">
        <v>-1.4568955E-2</v>
      </c>
      <c r="J474">
        <v>0.49638408000000001</v>
      </c>
    </row>
    <row r="475" spans="1:10" x14ac:dyDescent="0.3">
      <c r="A475">
        <v>473</v>
      </c>
      <c r="B475">
        <v>8025</v>
      </c>
      <c r="C475" t="b">
        <v>1</v>
      </c>
      <c r="D475">
        <v>8112</v>
      </c>
      <c r="E475">
        <v>8216</v>
      </c>
      <c r="F475">
        <v>283.73334</v>
      </c>
      <c r="G475">
        <v>279.13333</v>
      </c>
      <c r="H475">
        <v>1.0164796</v>
      </c>
      <c r="I475">
        <v>-1.6479601999999999E-2</v>
      </c>
      <c r="J475">
        <v>0.49591373999999999</v>
      </c>
    </row>
    <row r="476" spans="1:10" x14ac:dyDescent="0.3">
      <c r="A476">
        <v>474</v>
      </c>
      <c r="B476">
        <v>8041</v>
      </c>
      <c r="C476" t="b">
        <v>1</v>
      </c>
      <c r="D476">
        <v>8128</v>
      </c>
      <c r="E476">
        <v>8184</v>
      </c>
      <c r="F476">
        <v>283.73334</v>
      </c>
      <c r="G476">
        <v>278.60000000000002</v>
      </c>
      <c r="H476">
        <v>1.0184255</v>
      </c>
      <c r="I476">
        <v>-1.8425453000000001E-2</v>
      </c>
      <c r="J476">
        <v>0.49543566</v>
      </c>
    </row>
    <row r="477" spans="1:10" x14ac:dyDescent="0.3">
      <c r="A477">
        <v>475</v>
      </c>
      <c r="B477">
        <v>8057</v>
      </c>
      <c r="C477" t="b">
        <v>1</v>
      </c>
      <c r="D477">
        <v>8128</v>
      </c>
      <c r="E477">
        <v>8208</v>
      </c>
      <c r="F477">
        <v>283.73334</v>
      </c>
      <c r="G477">
        <v>278.60000000000002</v>
      </c>
      <c r="H477">
        <v>1.0184255</v>
      </c>
      <c r="I477">
        <v>-1.8425453000000001E-2</v>
      </c>
      <c r="J477">
        <v>0.49543566</v>
      </c>
    </row>
    <row r="478" spans="1:10" x14ac:dyDescent="0.3">
      <c r="A478">
        <v>476</v>
      </c>
      <c r="B478">
        <v>8073</v>
      </c>
      <c r="C478" t="b">
        <v>1</v>
      </c>
      <c r="D478">
        <v>8128</v>
      </c>
      <c r="E478">
        <v>8216</v>
      </c>
      <c r="F478">
        <v>283.73334</v>
      </c>
      <c r="G478">
        <v>279.66665999999998</v>
      </c>
      <c r="H478">
        <v>1.0145411</v>
      </c>
      <c r="I478">
        <v>-1.45411715E-2</v>
      </c>
      <c r="J478">
        <v>0.49639090000000002</v>
      </c>
    </row>
    <row r="479" spans="1:10" x14ac:dyDescent="0.3">
      <c r="A479">
        <v>477</v>
      </c>
      <c r="B479">
        <v>8089</v>
      </c>
      <c r="C479" t="b">
        <v>1</v>
      </c>
      <c r="D479">
        <v>8120</v>
      </c>
      <c r="E479">
        <v>8200</v>
      </c>
      <c r="F479">
        <v>283.73334</v>
      </c>
      <c r="G479">
        <v>280.2</v>
      </c>
      <c r="H479">
        <v>1.01261</v>
      </c>
      <c r="I479">
        <v>-1.2610011000000001E-2</v>
      </c>
      <c r="J479">
        <v>0.49686723999999999</v>
      </c>
    </row>
    <row r="480" spans="1:10" x14ac:dyDescent="0.3">
      <c r="A480">
        <v>478</v>
      </c>
      <c r="B480">
        <v>8104</v>
      </c>
      <c r="C480" t="b">
        <v>1</v>
      </c>
      <c r="D480">
        <v>8152</v>
      </c>
      <c r="E480">
        <v>8208</v>
      </c>
      <c r="F480">
        <v>283.73334</v>
      </c>
      <c r="G480">
        <v>279.13333</v>
      </c>
      <c r="H480">
        <v>1.0164796</v>
      </c>
      <c r="I480">
        <v>-1.6479601999999999E-2</v>
      </c>
      <c r="J480">
        <v>0.49591373999999999</v>
      </c>
    </row>
    <row r="481" spans="1:10" x14ac:dyDescent="0.3">
      <c r="A481">
        <v>479</v>
      </c>
      <c r="B481">
        <v>8120</v>
      </c>
      <c r="C481" t="b">
        <v>1</v>
      </c>
      <c r="D481">
        <v>8120</v>
      </c>
      <c r="E481">
        <v>8176</v>
      </c>
      <c r="F481">
        <v>285.33334000000002</v>
      </c>
      <c r="G481">
        <v>280.73334</v>
      </c>
      <c r="H481">
        <v>1.0163857000000001</v>
      </c>
      <c r="I481">
        <v>-1.6385678000000001E-2</v>
      </c>
      <c r="J481">
        <v>0.49593690000000001</v>
      </c>
    </row>
    <row r="482" spans="1:10" x14ac:dyDescent="0.3">
      <c r="A482">
        <v>480</v>
      </c>
      <c r="B482">
        <v>8136</v>
      </c>
      <c r="C482" t="b">
        <v>1</v>
      </c>
      <c r="D482">
        <v>8128</v>
      </c>
      <c r="E482">
        <v>8184</v>
      </c>
      <c r="F482">
        <v>286.93331999999998</v>
      </c>
      <c r="G482">
        <v>281.8</v>
      </c>
      <c r="H482">
        <v>1.0182163</v>
      </c>
      <c r="I482">
        <v>-1.8216223E-2</v>
      </c>
      <c r="J482">
        <v>0.49548705999999998</v>
      </c>
    </row>
    <row r="483" spans="1:10" x14ac:dyDescent="0.3">
      <c r="A483">
        <v>481</v>
      </c>
      <c r="B483">
        <v>8152</v>
      </c>
      <c r="C483" t="b">
        <v>1</v>
      </c>
      <c r="D483">
        <v>8096</v>
      </c>
      <c r="E483">
        <v>8192</v>
      </c>
      <c r="F483">
        <v>287.46667000000002</v>
      </c>
      <c r="G483">
        <v>282.33334000000002</v>
      </c>
      <c r="H483">
        <v>1.0181818</v>
      </c>
      <c r="I483">
        <v>-1.818181E-2</v>
      </c>
      <c r="J483">
        <v>0.49549546999999999</v>
      </c>
    </row>
    <row r="484" spans="1:10" x14ac:dyDescent="0.3">
      <c r="A484">
        <v>482</v>
      </c>
      <c r="B484">
        <v>8183</v>
      </c>
      <c r="C484" t="b">
        <v>1</v>
      </c>
      <c r="D484">
        <v>8128</v>
      </c>
      <c r="E484">
        <v>8192</v>
      </c>
      <c r="F484">
        <v>288.53332999999998</v>
      </c>
      <c r="G484">
        <v>282.86667</v>
      </c>
      <c r="H484">
        <v>1.020033</v>
      </c>
      <c r="I484">
        <v>-2.0032958999999999E-2</v>
      </c>
      <c r="J484">
        <v>0.49504140000000002</v>
      </c>
    </row>
    <row r="485" spans="1:10" x14ac:dyDescent="0.3">
      <c r="A485">
        <v>483</v>
      </c>
      <c r="B485">
        <v>8200</v>
      </c>
      <c r="C485" t="b">
        <v>1</v>
      </c>
      <c r="D485">
        <v>8104</v>
      </c>
      <c r="E485">
        <v>8224</v>
      </c>
      <c r="F485">
        <v>288</v>
      </c>
      <c r="G485">
        <v>283.39999999999998</v>
      </c>
      <c r="H485">
        <v>1.0162315</v>
      </c>
      <c r="I485">
        <v>-1.6231498E-2</v>
      </c>
      <c r="J485">
        <v>0.49597478</v>
      </c>
    </row>
    <row r="486" spans="1:10" x14ac:dyDescent="0.3">
      <c r="A486">
        <v>484</v>
      </c>
      <c r="B486">
        <v>8215</v>
      </c>
      <c r="C486" t="b">
        <v>1</v>
      </c>
      <c r="D486">
        <v>8128</v>
      </c>
      <c r="E486">
        <v>8200</v>
      </c>
      <c r="F486">
        <v>287.46667000000002</v>
      </c>
      <c r="G486">
        <v>284.46667000000002</v>
      </c>
      <c r="H486">
        <v>1.0105461</v>
      </c>
      <c r="I486">
        <v>-1.0546051000000001E-2</v>
      </c>
      <c r="J486">
        <v>0.49737730000000002</v>
      </c>
    </row>
    <row r="487" spans="1:10" x14ac:dyDescent="0.3">
      <c r="A487">
        <v>485</v>
      </c>
      <c r="B487">
        <v>8231</v>
      </c>
      <c r="C487" t="b">
        <v>1</v>
      </c>
      <c r="D487">
        <v>8088</v>
      </c>
      <c r="E487">
        <v>8184</v>
      </c>
      <c r="F487">
        <v>285.33334000000002</v>
      </c>
      <c r="G487">
        <v>285.53332999999998</v>
      </c>
      <c r="H487">
        <v>0.99929964999999998</v>
      </c>
      <c r="I487">
        <v>7.0037949999999995E-4</v>
      </c>
      <c r="J487">
        <v>0.50017509999999998</v>
      </c>
    </row>
    <row r="488" spans="1:10" x14ac:dyDescent="0.3">
      <c r="A488">
        <v>486</v>
      </c>
      <c r="B488">
        <v>8247</v>
      </c>
      <c r="C488" t="b">
        <v>1</v>
      </c>
      <c r="D488">
        <v>8096</v>
      </c>
      <c r="E488">
        <v>8216</v>
      </c>
      <c r="F488">
        <v>283.73334</v>
      </c>
      <c r="G488">
        <v>285.53332999999998</v>
      </c>
      <c r="H488">
        <v>0.99369602999999995</v>
      </c>
      <c r="I488">
        <v>6.3039497000000003E-3</v>
      </c>
      <c r="J488">
        <v>0.50158095000000003</v>
      </c>
    </row>
    <row r="489" spans="1:10" x14ac:dyDescent="0.3">
      <c r="A489">
        <v>487</v>
      </c>
      <c r="B489">
        <v>8263</v>
      </c>
      <c r="C489" t="b">
        <v>1</v>
      </c>
      <c r="D489">
        <v>8104</v>
      </c>
      <c r="E489">
        <v>8200</v>
      </c>
      <c r="F489">
        <v>282.13333</v>
      </c>
      <c r="G489">
        <v>285.53332999999998</v>
      </c>
      <c r="H489">
        <v>0.98809250000000004</v>
      </c>
      <c r="I489">
        <v>1.1907521000000001E-2</v>
      </c>
      <c r="J489">
        <v>0.50299470000000002</v>
      </c>
    </row>
    <row r="490" spans="1:10" x14ac:dyDescent="0.3">
      <c r="A490">
        <v>488</v>
      </c>
      <c r="B490">
        <v>8279</v>
      </c>
      <c r="C490" t="b">
        <v>1</v>
      </c>
      <c r="D490">
        <v>8152</v>
      </c>
      <c r="E490">
        <v>8176</v>
      </c>
      <c r="F490">
        <v>280.53332999999998</v>
      </c>
      <c r="G490">
        <v>285.53332999999998</v>
      </c>
      <c r="H490">
        <v>0.98248893000000004</v>
      </c>
      <c r="I490">
        <v>1.751109E-2</v>
      </c>
      <c r="J490">
        <v>0.50441647000000001</v>
      </c>
    </row>
    <row r="491" spans="1:10" x14ac:dyDescent="0.3">
      <c r="A491">
        <v>489</v>
      </c>
      <c r="B491">
        <v>8294</v>
      </c>
      <c r="C491" t="b">
        <v>1</v>
      </c>
      <c r="D491">
        <v>8128</v>
      </c>
      <c r="E491">
        <v>8168</v>
      </c>
      <c r="F491">
        <v>278.93331999999998</v>
      </c>
      <c r="G491">
        <v>284.46667000000002</v>
      </c>
      <c r="H491">
        <v>0.98054830000000004</v>
      </c>
      <c r="I491">
        <v>1.9451683000000001E-2</v>
      </c>
      <c r="J491">
        <v>0.50491065000000002</v>
      </c>
    </row>
    <row r="492" spans="1:10" x14ac:dyDescent="0.3">
      <c r="A492">
        <v>490</v>
      </c>
      <c r="B492">
        <v>8310</v>
      </c>
      <c r="C492" t="b">
        <v>1</v>
      </c>
      <c r="D492">
        <v>8120</v>
      </c>
      <c r="E492">
        <v>8200</v>
      </c>
      <c r="F492">
        <v>278.39999999999998</v>
      </c>
      <c r="G492">
        <v>283.93331999999998</v>
      </c>
      <c r="H492">
        <v>0.98051189999999999</v>
      </c>
      <c r="I492">
        <v>1.9488115E-2</v>
      </c>
      <c r="J492">
        <v>0.50491995000000001</v>
      </c>
    </row>
    <row r="493" spans="1:10" x14ac:dyDescent="0.3">
      <c r="A493">
        <v>491</v>
      </c>
      <c r="B493">
        <v>8326</v>
      </c>
      <c r="C493" t="b">
        <v>1</v>
      </c>
      <c r="D493">
        <v>8152</v>
      </c>
      <c r="E493">
        <v>8208</v>
      </c>
      <c r="F493">
        <v>278.39999999999998</v>
      </c>
      <c r="G493">
        <v>282.86667</v>
      </c>
      <c r="H493">
        <v>0.98420923999999999</v>
      </c>
      <c r="I493">
        <v>1.5790742E-2</v>
      </c>
      <c r="J493">
        <v>0.50397910000000001</v>
      </c>
    </row>
    <row r="494" spans="1:10" x14ac:dyDescent="0.3">
      <c r="A494">
        <v>492</v>
      </c>
      <c r="B494">
        <v>8342</v>
      </c>
      <c r="C494" t="b">
        <v>1</v>
      </c>
      <c r="D494">
        <v>8128</v>
      </c>
      <c r="E494">
        <v>8200</v>
      </c>
      <c r="F494">
        <v>278.39999999999998</v>
      </c>
      <c r="G494">
        <v>282.33334000000002</v>
      </c>
      <c r="H494">
        <v>0.98606839999999996</v>
      </c>
      <c r="I494">
        <v>1.3931580000000001E-2</v>
      </c>
      <c r="J494">
        <v>0.50350729999999999</v>
      </c>
    </row>
    <row r="495" spans="1:10" x14ac:dyDescent="0.3">
      <c r="A495">
        <v>493</v>
      </c>
      <c r="B495">
        <v>8358</v>
      </c>
      <c r="C495" t="b">
        <v>1</v>
      </c>
      <c r="D495">
        <v>8104</v>
      </c>
      <c r="E495">
        <v>8200</v>
      </c>
      <c r="F495">
        <v>278.39999999999998</v>
      </c>
      <c r="G495">
        <v>281.8</v>
      </c>
      <c r="H495">
        <v>0.98793470000000005</v>
      </c>
      <c r="I495">
        <v>1.2065274000000001E-2</v>
      </c>
      <c r="J495">
        <v>0.50303465000000003</v>
      </c>
    </row>
    <row r="496" spans="1:10" x14ac:dyDescent="0.3">
      <c r="A496">
        <v>494</v>
      </c>
      <c r="B496">
        <v>8373</v>
      </c>
      <c r="C496" t="b">
        <v>1</v>
      </c>
      <c r="D496">
        <v>8128</v>
      </c>
      <c r="E496">
        <v>8168</v>
      </c>
      <c r="F496">
        <v>278.39999999999998</v>
      </c>
      <c r="G496">
        <v>281.26666</v>
      </c>
      <c r="H496">
        <v>0.98980800000000002</v>
      </c>
      <c r="I496">
        <v>1.0191996E-2</v>
      </c>
      <c r="J496">
        <v>0.50256109999999998</v>
      </c>
    </row>
    <row r="497" spans="1:10" x14ac:dyDescent="0.3">
      <c r="A497">
        <v>495</v>
      </c>
      <c r="B497">
        <v>8389</v>
      </c>
      <c r="C497" t="b">
        <v>1</v>
      </c>
      <c r="D497">
        <v>8152</v>
      </c>
      <c r="E497">
        <v>8176</v>
      </c>
      <c r="F497">
        <v>278.39999999999998</v>
      </c>
      <c r="G497">
        <v>281.26666</v>
      </c>
      <c r="H497">
        <v>0.98980800000000002</v>
      </c>
      <c r="I497">
        <v>1.0191996E-2</v>
      </c>
      <c r="J497">
        <v>0.50256109999999998</v>
      </c>
    </row>
    <row r="498" spans="1:10" x14ac:dyDescent="0.3">
      <c r="A498">
        <v>496</v>
      </c>
      <c r="B498">
        <v>8405</v>
      </c>
      <c r="C498" t="b">
        <v>1</v>
      </c>
      <c r="D498">
        <v>8120</v>
      </c>
      <c r="E498">
        <v>8176</v>
      </c>
      <c r="F498">
        <v>278.93331999999998</v>
      </c>
      <c r="G498">
        <v>280.2</v>
      </c>
      <c r="H498">
        <v>0.99547934999999999</v>
      </c>
      <c r="I498">
        <v>4.5206747000000004E-3</v>
      </c>
      <c r="J498">
        <v>0.50113269999999999</v>
      </c>
    </row>
    <row r="499" spans="1:10" x14ac:dyDescent="0.3">
      <c r="A499">
        <v>497</v>
      </c>
      <c r="B499">
        <v>8421</v>
      </c>
      <c r="C499" t="b">
        <v>1</v>
      </c>
      <c r="D499">
        <v>8112</v>
      </c>
      <c r="E499">
        <v>8200</v>
      </c>
      <c r="F499">
        <v>278.39999999999998</v>
      </c>
      <c r="G499">
        <v>279.13333</v>
      </c>
      <c r="H499">
        <v>0.99737279999999995</v>
      </c>
      <c r="I499">
        <v>2.6271939999999998E-3</v>
      </c>
      <c r="J499">
        <v>0.50065769999999998</v>
      </c>
    </row>
    <row r="500" spans="1:10" x14ac:dyDescent="0.3">
      <c r="A500">
        <v>498</v>
      </c>
      <c r="B500">
        <v>8437</v>
      </c>
      <c r="C500" t="b">
        <v>1</v>
      </c>
      <c r="D500">
        <v>8104</v>
      </c>
      <c r="E500">
        <v>8152</v>
      </c>
      <c r="F500">
        <v>278.39999999999998</v>
      </c>
      <c r="G500">
        <v>278.06668000000002</v>
      </c>
      <c r="H500">
        <v>1.0011985999999999</v>
      </c>
      <c r="I500">
        <v>-1.1986799999999999E-3</v>
      </c>
      <c r="J500">
        <v>0.49970051999999998</v>
      </c>
    </row>
    <row r="501" spans="1:10" x14ac:dyDescent="0.3">
      <c r="A501">
        <v>499</v>
      </c>
      <c r="B501">
        <v>8453</v>
      </c>
      <c r="C501" t="b">
        <v>1</v>
      </c>
      <c r="D501">
        <v>8128</v>
      </c>
      <c r="E501">
        <v>8192</v>
      </c>
      <c r="F501">
        <v>277.86667</v>
      </c>
      <c r="G501">
        <v>277</v>
      </c>
      <c r="H501">
        <v>1.0031288</v>
      </c>
      <c r="I501">
        <v>-3.1287680000000001E-3</v>
      </c>
      <c r="J501">
        <v>0.49921900000000002</v>
      </c>
    </row>
    <row r="502" spans="1:10" x14ac:dyDescent="0.3">
      <c r="A502">
        <v>500</v>
      </c>
      <c r="B502">
        <v>8469</v>
      </c>
      <c r="C502" t="b">
        <v>1</v>
      </c>
      <c r="D502">
        <v>8128</v>
      </c>
      <c r="E502">
        <v>8208</v>
      </c>
      <c r="F502">
        <v>278.93331999999998</v>
      </c>
      <c r="G502">
        <v>277</v>
      </c>
      <c r="H502">
        <v>1.0069794999999999</v>
      </c>
      <c r="I502">
        <v>-6.979491E-3</v>
      </c>
      <c r="J502">
        <v>0.49826114999999999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AACE4-45E5-4342-B3D2-CF302266ED3C}">
  <dimension ref="A1:J502"/>
  <sheetViews>
    <sheetView workbookViewId="0"/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10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 t="b">
        <v>1</v>
      </c>
      <c r="D2">
        <v>8048</v>
      </c>
      <c r="E2">
        <v>8134</v>
      </c>
      <c r="F2">
        <v>8</v>
      </c>
      <c r="G2">
        <v>19</v>
      </c>
      <c r="H2">
        <v>0.42105262999999998</v>
      </c>
      <c r="I2">
        <v>0.57894736999999996</v>
      </c>
      <c r="J2">
        <v>0.70370370000000004</v>
      </c>
    </row>
    <row r="3" spans="1:10" x14ac:dyDescent="0.3">
      <c r="A3">
        <v>1</v>
      </c>
      <c r="B3">
        <v>24</v>
      </c>
      <c r="C3" t="b">
        <v>1</v>
      </c>
      <c r="D3">
        <v>8048</v>
      </c>
      <c r="E3">
        <v>8123</v>
      </c>
      <c r="F3">
        <v>8</v>
      </c>
      <c r="G3">
        <v>19</v>
      </c>
      <c r="H3">
        <v>0.42105262999999998</v>
      </c>
      <c r="I3">
        <v>0.57894736999999996</v>
      </c>
      <c r="J3">
        <v>0.70370370000000004</v>
      </c>
    </row>
    <row r="4" spans="1:10" x14ac:dyDescent="0.3">
      <c r="A4">
        <v>2</v>
      </c>
      <c r="B4">
        <v>55</v>
      </c>
      <c r="C4" t="b">
        <v>1</v>
      </c>
      <c r="D4">
        <v>8054</v>
      </c>
      <c r="E4">
        <v>8123</v>
      </c>
      <c r="F4">
        <v>8</v>
      </c>
      <c r="G4">
        <v>15.333333</v>
      </c>
      <c r="H4">
        <v>0.52173910000000001</v>
      </c>
      <c r="I4">
        <v>0.47826084000000002</v>
      </c>
      <c r="J4">
        <v>0.65714289999999997</v>
      </c>
    </row>
    <row r="5" spans="1:10" x14ac:dyDescent="0.3">
      <c r="A5">
        <v>3</v>
      </c>
      <c r="B5">
        <v>71</v>
      </c>
      <c r="C5" t="b">
        <v>1</v>
      </c>
      <c r="D5">
        <v>8048</v>
      </c>
      <c r="E5">
        <v>8123</v>
      </c>
      <c r="F5">
        <v>8</v>
      </c>
      <c r="G5">
        <v>13.5</v>
      </c>
      <c r="H5">
        <v>0.59259260000000002</v>
      </c>
      <c r="I5">
        <v>0.40740739999999998</v>
      </c>
      <c r="J5">
        <v>0.62790699999999999</v>
      </c>
    </row>
    <row r="6" spans="1:10" x14ac:dyDescent="0.3">
      <c r="A6">
        <v>4</v>
      </c>
      <c r="B6">
        <v>87</v>
      </c>
      <c r="C6" t="b">
        <v>1</v>
      </c>
      <c r="D6">
        <v>8048</v>
      </c>
      <c r="E6">
        <v>8123</v>
      </c>
      <c r="F6">
        <v>8</v>
      </c>
      <c r="G6">
        <v>12.4</v>
      </c>
      <c r="H6">
        <v>0.64516132999999998</v>
      </c>
      <c r="I6">
        <v>0.35483870000000001</v>
      </c>
      <c r="J6">
        <v>0.60784309999999997</v>
      </c>
    </row>
    <row r="7" spans="1:10" x14ac:dyDescent="0.3">
      <c r="A7">
        <v>5</v>
      </c>
      <c r="B7">
        <v>103</v>
      </c>
      <c r="C7" t="b">
        <v>1</v>
      </c>
      <c r="D7">
        <v>8048</v>
      </c>
      <c r="E7">
        <v>8123</v>
      </c>
      <c r="F7">
        <v>8</v>
      </c>
      <c r="G7">
        <v>11.666667</v>
      </c>
      <c r="H7">
        <v>0.68571424000000003</v>
      </c>
      <c r="I7">
        <v>0.31428572999999999</v>
      </c>
      <c r="J7">
        <v>0.59322030000000003</v>
      </c>
    </row>
    <row r="8" spans="1:10" x14ac:dyDescent="0.3">
      <c r="A8">
        <v>6</v>
      </c>
      <c r="B8">
        <v>119</v>
      </c>
      <c r="C8" t="b">
        <v>1</v>
      </c>
      <c r="D8">
        <v>8048</v>
      </c>
      <c r="E8">
        <v>8123</v>
      </c>
      <c r="F8">
        <v>8</v>
      </c>
      <c r="G8">
        <v>11.142858</v>
      </c>
      <c r="H8">
        <v>0.7179487</v>
      </c>
      <c r="I8">
        <v>0.2820513</v>
      </c>
      <c r="J8">
        <v>0.58208959999999998</v>
      </c>
    </row>
    <row r="9" spans="1:10" x14ac:dyDescent="0.3">
      <c r="A9">
        <v>7</v>
      </c>
      <c r="B9">
        <v>135</v>
      </c>
      <c r="C9" t="b">
        <v>1</v>
      </c>
      <c r="D9">
        <v>8048</v>
      </c>
      <c r="E9">
        <v>8123</v>
      </c>
      <c r="F9">
        <v>8</v>
      </c>
      <c r="G9">
        <v>10.75</v>
      </c>
      <c r="H9">
        <v>0.74418603999999999</v>
      </c>
      <c r="I9">
        <v>0.25581396000000001</v>
      </c>
      <c r="J9">
        <v>0.57333330000000005</v>
      </c>
    </row>
    <row r="10" spans="1:10" x14ac:dyDescent="0.3">
      <c r="A10">
        <v>8</v>
      </c>
      <c r="B10">
        <v>151</v>
      </c>
      <c r="C10" t="b">
        <v>1</v>
      </c>
      <c r="D10">
        <v>8042</v>
      </c>
      <c r="E10">
        <v>8129</v>
      </c>
      <c r="F10">
        <v>8</v>
      </c>
      <c r="G10">
        <v>10.444445</v>
      </c>
      <c r="H10">
        <v>0.76595740000000001</v>
      </c>
      <c r="I10">
        <v>0.23404257000000001</v>
      </c>
      <c r="J10">
        <v>0.56626505000000005</v>
      </c>
    </row>
    <row r="11" spans="1:10" x14ac:dyDescent="0.3">
      <c r="A11">
        <v>9</v>
      </c>
      <c r="B11">
        <v>167</v>
      </c>
      <c r="C11" t="b">
        <v>1</v>
      </c>
      <c r="D11">
        <v>8054</v>
      </c>
      <c r="E11">
        <v>8123</v>
      </c>
      <c r="F11">
        <v>8</v>
      </c>
      <c r="G11">
        <v>10.199999999999999</v>
      </c>
      <c r="H11">
        <v>0.78431373999999998</v>
      </c>
      <c r="I11">
        <v>0.21568625999999999</v>
      </c>
      <c r="J11">
        <v>0.56043949999999998</v>
      </c>
    </row>
    <row r="12" spans="1:10" x14ac:dyDescent="0.3">
      <c r="A12">
        <v>10</v>
      </c>
      <c r="B12">
        <v>183</v>
      </c>
      <c r="C12" t="b">
        <v>1</v>
      </c>
      <c r="D12">
        <v>8048</v>
      </c>
      <c r="E12">
        <v>8134</v>
      </c>
      <c r="F12">
        <v>8</v>
      </c>
      <c r="G12">
        <v>10</v>
      </c>
      <c r="H12">
        <v>0.8</v>
      </c>
      <c r="I12">
        <v>0.2</v>
      </c>
      <c r="J12">
        <v>0.55555560000000004</v>
      </c>
    </row>
    <row r="13" spans="1:10" x14ac:dyDescent="0.3">
      <c r="A13">
        <v>11</v>
      </c>
      <c r="B13">
        <v>199</v>
      </c>
      <c r="C13" t="b">
        <v>1</v>
      </c>
      <c r="D13">
        <v>8048</v>
      </c>
      <c r="E13">
        <v>8123</v>
      </c>
      <c r="F13">
        <v>8</v>
      </c>
      <c r="G13">
        <v>9.8333329999999997</v>
      </c>
      <c r="H13">
        <v>0.81355935000000001</v>
      </c>
      <c r="I13">
        <v>0.18644065000000001</v>
      </c>
      <c r="J13">
        <v>0.5514019</v>
      </c>
    </row>
    <row r="14" spans="1:10" x14ac:dyDescent="0.3">
      <c r="A14">
        <v>12</v>
      </c>
      <c r="B14">
        <v>215</v>
      </c>
      <c r="C14" t="b">
        <v>1</v>
      </c>
      <c r="D14">
        <v>8042</v>
      </c>
      <c r="E14">
        <v>8123</v>
      </c>
      <c r="F14">
        <v>8</v>
      </c>
      <c r="G14">
        <v>9.6923069999999996</v>
      </c>
      <c r="H14">
        <v>0.82539684000000002</v>
      </c>
      <c r="I14">
        <v>0.17460315000000001</v>
      </c>
      <c r="J14">
        <v>0.54782609999999998</v>
      </c>
    </row>
    <row r="15" spans="1:10" x14ac:dyDescent="0.3">
      <c r="A15">
        <v>13</v>
      </c>
      <c r="B15">
        <v>230</v>
      </c>
      <c r="C15" t="b">
        <v>1</v>
      </c>
      <c r="D15">
        <v>8048</v>
      </c>
      <c r="E15">
        <v>8117</v>
      </c>
      <c r="F15">
        <v>8</v>
      </c>
      <c r="G15">
        <v>9.5714279999999992</v>
      </c>
      <c r="H15">
        <v>0.83582089999999998</v>
      </c>
      <c r="I15">
        <v>0.16417909</v>
      </c>
      <c r="J15">
        <v>0.54471546000000004</v>
      </c>
    </row>
    <row r="16" spans="1:10" x14ac:dyDescent="0.3">
      <c r="A16">
        <v>14</v>
      </c>
      <c r="B16">
        <v>246</v>
      </c>
      <c r="C16" t="b">
        <v>1</v>
      </c>
      <c r="D16">
        <v>8048</v>
      </c>
      <c r="E16">
        <v>8123</v>
      </c>
      <c r="F16">
        <v>8</v>
      </c>
      <c r="G16">
        <v>9.466666</v>
      </c>
      <c r="H16">
        <v>0.84507049999999995</v>
      </c>
      <c r="I16">
        <v>0.15492953000000001</v>
      </c>
      <c r="J16">
        <v>0.54198469999999999</v>
      </c>
    </row>
    <row r="17" spans="1:10" x14ac:dyDescent="0.3">
      <c r="A17">
        <v>15</v>
      </c>
      <c r="B17">
        <v>262</v>
      </c>
      <c r="C17" t="b">
        <v>1</v>
      </c>
      <c r="D17">
        <v>8048</v>
      </c>
      <c r="E17">
        <v>8123</v>
      </c>
      <c r="F17">
        <v>8</v>
      </c>
      <c r="G17">
        <v>8.7333339999999993</v>
      </c>
      <c r="H17">
        <v>0.91603049999999997</v>
      </c>
      <c r="I17">
        <v>8.3969489999999994E-2</v>
      </c>
      <c r="J17">
        <v>0.52191233999999997</v>
      </c>
    </row>
    <row r="18" spans="1:10" x14ac:dyDescent="0.3">
      <c r="A18">
        <v>16</v>
      </c>
      <c r="B18">
        <v>278</v>
      </c>
      <c r="C18" t="b">
        <v>1</v>
      </c>
      <c r="D18">
        <v>8048</v>
      </c>
      <c r="E18">
        <v>8123</v>
      </c>
      <c r="F18">
        <v>8</v>
      </c>
      <c r="G18">
        <v>8</v>
      </c>
      <c r="H18">
        <v>1</v>
      </c>
      <c r="I18">
        <v>0</v>
      </c>
      <c r="J18">
        <v>0.5</v>
      </c>
    </row>
    <row r="19" spans="1:10" x14ac:dyDescent="0.3">
      <c r="A19">
        <v>17</v>
      </c>
      <c r="B19">
        <v>294</v>
      </c>
      <c r="C19" t="b">
        <v>1</v>
      </c>
      <c r="D19">
        <v>8048</v>
      </c>
      <c r="E19">
        <v>8123</v>
      </c>
      <c r="F19">
        <v>8</v>
      </c>
      <c r="G19">
        <v>8</v>
      </c>
      <c r="H19">
        <v>1</v>
      </c>
      <c r="I19">
        <v>0</v>
      </c>
      <c r="J19">
        <v>0.5</v>
      </c>
    </row>
    <row r="20" spans="1:10" x14ac:dyDescent="0.3">
      <c r="A20">
        <v>18</v>
      </c>
      <c r="B20">
        <v>310</v>
      </c>
      <c r="C20" t="b">
        <v>1</v>
      </c>
      <c r="D20">
        <v>8048</v>
      </c>
      <c r="E20">
        <v>8123</v>
      </c>
      <c r="F20">
        <v>8</v>
      </c>
      <c r="G20">
        <v>8</v>
      </c>
      <c r="H20">
        <v>1</v>
      </c>
      <c r="I20">
        <v>0</v>
      </c>
      <c r="J20">
        <v>0.5</v>
      </c>
    </row>
    <row r="21" spans="1:10" x14ac:dyDescent="0.3">
      <c r="A21">
        <v>19</v>
      </c>
      <c r="B21">
        <v>326</v>
      </c>
      <c r="C21" t="b">
        <v>1</v>
      </c>
      <c r="D21">
        <v>8048</v>
      </c>
      <c r="E21">
        <v>8129</v>
      </c>
      <c r="F21">
        <v>8</v>
      </c>
      <c r="G21">
        <v>8</v>
      </c>
      <c r="H21">
        <v>1</v>
      </c>
      <c r="I21">
        <v>0</v>
      </c>
      <c r="J21">
        <v>0.5</v>
      </c>
    </row>
    <row r="22" spans="1:10" x14ac:dyDescent="0.3">
      <c r="A22">
        <v>20</v>
      </c>
      <c r="B22">
        <v>341</v>
      </c>
      <c r="C22" t="b">
        <v>1</v>
      </c>
      <c r="D22">
        <v>8048</v>
      </c>
      <c r="E22">
        <v>8123</v>
      </c>
      <c r="F22">
        <v>8</v>
      </c>
      <c r="G22">
        <v>8</v>
      </c>
      <c r="H22">
        <v>1</v>
      </c>
      <c r="I22">
        <v>0</v>
      </c>
      <c r="J22">
        <v>0.5</v>
      </c>
    </row>
    <row r="23" spans="1:10" x14ac:dyDescent="0.3">
      <c r="A23">
        <v>21</v>
      </c>
      <c r="B23">
        <v>358</v>
      </c>
      <c r="C23" t="b">
        <v>1</v>
      </c>
      <c r="D23">
        <v>8048</v>
      </c>
      <c r="E23">
        <v>8123</v>
      </c>
      <c r="F23">
        <v>8</v>
      </c>
      <c r="G23">
        <v>8</v>
      </c>
      <c r="H23">
        <v>1</v>
      </c>
      <c r="I23">
        <v>0</v>
      </c>
      <c r="J23">
        <v>0.5</v>
      </c>
    </row>
    <row r="24" spans="1:10" x14ac:dyDescent="0.3">
      <c r="A24">
        <v>22</v>
      </c>
      <c r="B24">
        <v>373</v>
      </c>
      <c r="C24" t="b">
        <v>1</v>
      </c>
      <c r="D24">
        <v>8048</v>
      </c>
      <c r="E24">
        <v>8123</v>
      </c>
      <c r="F24">
        <v>8</v>
      </c>
      <c r="G24">
        <v>8</v>
      </c>
      <c r="H24">
        <v>1</v>
      </c>
      <c r="I24">
        <v>0</v>
      </c>
      <c r="J24">
        <v>0.5</v>
      </c>
    </row>
    <row r="25" spans="1:10" x14ac:dyDescent="0.3">
      <c r="A25">
        <v>23</v>
      </c>
      <c r="B25">
        <v>389</v>
      </c>
      <c r="C25" t="b">
        <v>1</v>
      </c>
      <c r="D25">
        <v>8042</v>
      </c>
      <c r="E25">
        <v>8123</v>
      </c>
      <c r="F25">
        <v>8</v>
      </c>
      <c r="G25">
        <v>8</v>
      </c>
      <c r="H25">
        <v>1</v>
      </c>
      <c r="I25">
        <v>0</v>
      </c>
      <c r="J25">
        <v>0.5</v>
      </c>
    </row>
    <row r="26" spans="1:10" x14ac:dyDescent="0.3">
      <c r="A26">
        <v>24</v>
      </c>
      <c r="B26">
        <v>405</v>
      </c>
      <c r="C26" t="b">
        <v>1</v>
      </c>
      <c r="D26">
        <v>8042</v>
      </c>
      <c r="E26">
        <v>8123</v>
      </c>
      <c r="F26">
        <v>8</v>
      </c>
      <c r="G26">
        <v>8</v>
      </c>
      <c r="H26">
        <v>1</v>
      </c>
      <c r="I26">
        <v>0</v>
      </c>
      <c r="J26">
        <v>0.5</v>
      </c>
    </row>
    <row r="27" spans="1:10" x14ac:dyDescent="0.3">
      <c r="A27">
        <v>25</v>
      </c>
      <c r="B27">
        <v>421</v>
      </c>
      <c r="C27" t="b">
        <v>1</v>
      </c>
      <c r="D27">
        <v>8042</v>
      </c>
      <c r="E27">
        <v>8123</v>
      </c>
      <c r="F27">
        <v>7.6</v>
      </c>
      <c r="G27">
        <v>8</v>
      </c>
      <c r="H27">
        <v>0.95</v>
      </c>
      <c r="I27">
        <v>5.0000012000000003E-2</v>
      </c>
      <c r="J27">
        <v>0.51282050000000001</v>
      </c>
    </row>
    <row r="28" spans="1:10" x14ac:dyDescent="0.3">
      <c r="A28">
        <v>26</v>
      </c>
      <c r="B28">
        <v>437</v>
      </c>
      <c r="C28" t="b">
        <v>1</v>
      </c>
      <c r="D28">
        <v>8042</v>
      </c>
      <c r="E28">
        <v>8123</v>
      </c>
      <c r="F28">
        <v>7.2</v>
      </c>
      <c r="G28">
        <v>8</v>
      </c>
      <c r="H28">
        <v>0.9</v>
      </c>
      <c r="I28">
        <v>0.10000002400000001</v>
      </c>
      <c r="J28">
        <v>0.5263158</v>
      </c>
    </row>
    <row r="29" spans="1:10" x14ac:dyDescent="0.3">
      <c r="A29">
        <v>27</v>
      </c>
      <c r="B29">
        <v>454</v>
      </c>
      <c r="C29" t="b">
        <v>1</v>
      </c>
      <c r="D29">
        <v>8042</v>
      </c>
      <c r="E29">
        <v>8117</v>
      </c>
      <c r="F29">
        <v>6.8</v>
      </c>
      <c r="G29">
        <v>8</v>
      </c>
      <c r="H29">
        <v>0.85</v>
      </c>
      <c r="I29">
        <v>0.14999998</v>
      </c>
      <c r="J29">
        <v>0.54054049999999998</v>
      </c>
    </row>
    <row r="30" spans="1:10" x14ac:dyDescent="0.3">
      <c r="A30">
        <v>28</v>
      </c>
      <c r="B30">
        <v>469</v>
      </c>
      <c r="C30" t="b">
        <v>1</v>
      </c>
      <c r="D30">
        <v>8042</v>
      </c>
      <c r="E30">
        <v>8123</v>
      </c>
      <c r="F30">
        <v>6.4</v>
      </c>
      <c r="G30">
        <v>8</v>
      </c>
      <c r="H30">
        <v>0.8</v>
      </c>
      <c r="I30">
        <v>0.19999998999999999</v>
      </c>
      <c r="J30">
        <v>0.55555560000000004</v>
      </c>
    </row>
    <row r="31" spans="1:10" x14ac:dyDescent="0.3">
      <c r="A31">
        <v>29</v>
      </c>
      <c r="B31">
        <v>485</v>
      </c>
      <c r="C31" t="b">
        <v>1</v>
      </c>
      <c r="D31">
        <v>8048</v>
      </c>
      <c r="E31">
        <v>8123</v>
      </c>
      <c r="F31">
        <v>6</v>
      </c>
      <c r="G31">
        <v>8</v>
      </c>
      <c r="H31">
        <v>0.75</v>
      </c>
      <c r="I31">
        <v>0.25</v>
      </c>
      <c r="J31">
        <v>0.57142859999999995</v>
      </c>
    </row>
    <row r="32" spans="1:10" x14ac:dyDescent="0.3">
      <c r="A32">
        <v>30</v>
      </c>
      <c r="B32">
        <v>501</v>
      </c>
      <c r="C32" t="b">
        <v>1</v>
      </c>
      <c r="D32">
        <v>8048</v>
      </c>
      <c r="E32">
        <v>8123</v>
      </c>
      <c r="F32">
        <v>5.6</v>
      </c>
      <c r="G32">
        <v>8</v>
      </c>
      <c r="H32">
        <v>0.7</v>
      </c>
      <c r="I32">
        <v>0.3</v>
      </c>
      <c r="J32">
        <v>0.58823526000000004</v>
      </c>
    </row>
    <row r="33" spans="1:10" x14ac:dyDescent="0.3">
      <c r="A33">
        <v>31</v>
      </c>
      <c r="B33">
        <v>517</v>
      </c>
      <c r="C33" t="b">
        <v>1</v>
      </c>
      <c r="D33">
        <v>8048</v>
      </c>
      <c r="E33">
        <v>8123</v>
      </c>
      <c r="F33">
        <v>5.6</v>
      </c>
      <c r="G33">
        <v>8</v>
      </c>
      <c r="H33">
        <v>0.7</v>
      </c>
      <c r="I33">
        <v>0.3</v>
      </c>
      <c r="J33">
        <v>0.58823526000000004</v>
      </c>
    </row>
    <row r="34" spans="1:10" x14ac:dyDescent="0.3">
      <c r="A34">
        <v>32</v>
      </c>
      <c r="B34">
        <v>532</v>
      </c>
      <c r="C34" t="b">
        <v>1</v>
      </c>
      <c r="D34">
        <v>8048</v>
      </c>
      <c r="E34">
        <v>8129</v>
      </c>
      <c r="F34">
        <v>5.6</v>
      </c>
      <c r="G34">
        <v>8</v>
      </c>
      <c r="H34">
        <v>0.7</v>
      </c>
      <c r="I34">
        <v>0.3</v>
      </c>
      <c r="J34">
        <v>0.58823526000000004</v>
      </c>
    </row>
    <row r="35" spans="1:10" x14ac:dyDescent="0.3">
      <c r="A35">
        <v>33</v>
      </c>
      <c r="B35">
        <v>548</v>
      </c>
      <c r="C35" t="b">
        <v>1</v>
      </c>
      <c r="D35">
        <v>8048</v>
      </c>
      <c r="E35">
        <v>8123</v>
      </c>
      <c r="F35">
        <v>5.6</v>
      </c>
      <c r="G35">
        <v>8</v>
      </c>
      <c r="H35">
        <v>0.7</v>
      </c>
      <c r="I35">
        <v>0.3</v>
      </c>
      <c r="J35">
        <v>0.58823526000000004</v>
      </c>
    </row>
    <row r="36" spans="1:10" x14ac:dyDescent="0.3">
      <c r="A36">
        <v>34</v>
      </c>
      <c r="B36">
        <v>564</v>
      </c>
      <c r="C36" t="b">
        <v>1</v>
      </c>
      <c r="D36">
        <v>8042</v>
      </c>
      <c r="E36">
        <v>8123</v>
      </c>
      <c r="F36">
        <v>5.6</v>
      </c>
      <c r="G36">
        <v>8</v>
      </c>
      <c r="H36">
        <v>0.7</v>
      </c>
      <c r="I36">
        <v>0.3</v>
      </c>
      <c r="J36">
        <v>0.58823526000000004</v>
      </c>
    </row>
    <row r="37" spans="1:10" x14ac:dyDescent="0.3">
      <c r="A37">
        <v>35</v>
      </c>
      <c r="B37">
        <v>580</v>
      </c>
      <c r="C37" t="b">
        <v>1</v>
      </c>
      <c r="D37">
        <v>8048</v>
      </c>
      <c r="E37">
        <v>8123</v>
      </c>
      <c r="F37">
        <v>5.6</v>
      </c>
      <c r="G37">
        <v>8</v>
      </c>
      <c r="H37">
        <v>0.7</v>
      </c>
      <c r="I37">
        <v>0.3</v>
      </c>
      <c r="J37">
        <v>0.58823526000000004</v>
      </c>
    </row>
    <row r="38" spans="1:10" x14ac:dyDescent="0.3">
      <c r="A38">
        <v>36</v>
      </c>
      <c r="B38">
        <v>596</v>
      </c>
      <c r="C38" t="b">
        <v>1</v>
      </c>
      <c r="D38">
        <v>8048</v>
      </c>
      <c r="E38">
        <v>8123</v>
      </c>
      <c r="F38">
        <v>5.6</v>
      </c>
      <c r="G38">
        <v>8</v>
      </c>
      <c r="H38">
        <v>0.7</v>
      </c>
      <c r="I38">
        <v>0.3</v>
      </c>
      <c r="J38">
        <v>0.58823526000000004</v>
      </c>
    </row>
    <row r="39" spans="1:10" x14ac:dyDescent="0.3">
      <c r="A39">
        <v>37</v>
      </c>
      <c r="B39">
        <v>611</v>
      </c>
      <c r="C39" t="b">
        <v>1</v>
      </c>
      <c r="D39">
        <v>8048</v>
      </c>
      <c r="E39">
        <v>8123</v>
      </c>
      <c r="F39">
        <v>5.6</v>
      </c>
      <c r="G39">
        <v>8</v>
      </c>
      <c r="H39">
        <v>0.7</v>
      </c>
      <c r="I39">
        <v>0.3</v>
      </c>
      <c r="J39">
        <v>0.58823526000000004</v>
      </c>
    </row>
    <row r="40" spans="1:10" x14ac:dyDescent="0.3">
      <c r="A40">
        <v>38</v>
      </c>
      <c r="B40">
        <v>628</v>
      </c>
      <c r="C40" t="b">
        <v>1</v>
      </c>
      <c r="D40">
        <v>8054</v>
      </c>
      <c r="E40">
        <v>8117</v>
      </c>
      <c r="F40">
        <v>5.6</v>
      </c>
      <c r="G40">
        <v>8</v>
      </c>
      <c r="H40">
        <v>0.7</v>
      </c>
      <c r="I40">
        <v>0.3</v>
      </c>
      <c r="J40">
        <v>0.58823526000000004</v>
      </c>
    </row>
    <row r="41" spans="1:10" x14ac:dyDescent="0.3">
      <c r="A41">
        <v>39</v>
      </c>
      <c r="B41">
        <v>644</v>
      </c>
      <c r="C41" t="b">
        <v>1</v>
      </c>
      <c r="D41">
        <v>8054</v>
      </c>
      <c r="E41">
        <v>8123</v>
      </c>
      <c r="F41">
        <v>5.6</v>
      </c>
      <c r="G41">
        <v>8</v>
      </c>
      <c r="H41">
        <v>0.7</v>
      </c>
      <c r="I41">
        <v>0.3</v>
      </c>
      <c r="J41">
        <v>0.58823526000000004</v>
      </c>
    </row>
    <row r="42" spans="1:10" x14ac:dyDescent="0.3">
      <c r="A42">
        <v>40</v>
      </c>
      <c r="B42">
        <v>660</v>
      </c>
      <c r="C42" t="b">
        <v>1</v>
      </c>
      <c r="D42">
        <v>8048</v>
      </c>
      <c r="E42">
        <v>8123</v>
      </c>
      <c r="F42">
        <v>6</v>
      </c>
      <c r="G42">
        <v>8</v>
      </c>
      <c r="H42">
        <v>0.75</v>
      </c>
      <c r="I42">
        <v>0.25</v>
      </c>
      <c r="J42">
        <v>0.57142859999999995</v>
      </c>
    </row>
    <row r="43" spans="1:10" x14ac:dyDescent="0.3">
      <c r="A43">
        <v>41</v>
      </c>
      <c r="B43">
        <v>676</v>
      </c>
      <c r="C43" t="b">
        <v>1</v>
      </c>
      <c r="D43">
        <v>8054</v>
      </c>
      <c r="E43">
        <v>8117</v>
      </c>
      <c r="F43">
        <v>6.8</v>
      </c>
      <c r="G43">
        <v>8</v>
      </c>
      <c r="H43">
        <v>0.85</v>
      </c>
      <c r="I43">
        <v>0.14999998</v>
      </c>
      <c r="J43">
        <v>0.54054049999999998</v>
      </c>
    </row>
    <row r="44" spans="1:10" x14ac:dyDescent="0.3">
      <c r="A44">
        <v>42</v>
      </c>
      <c r="B44">
        <v>692</v>
      </c>
      <c r="C44" t="b">
        <v>1</v>
      </c>
      <c r="D44">
        <v>8042</v>
      </c>
      <c r="E44">
        <v>8117</v>
      </c>
      <c r="F44">
        <v>7.6</v>
      </c>
      <c r="G44">
        <v>7.6</v>
      </c>
      <c r="H44">
        <v>1</v>
      </c>
      <c r="I44">
        <v>0</v>
      </c>
      <c r="J44">
        <v>0.5</v>
      </c>
    </row>
    <row r="45" spans="1:10" x14ac:dyDescent="0.3">
      <c r="A45">
        <v>43</v>
      </c>
      <c r="B45">
        <v>708</v>
      </c>
      <c r="C45" t="b">
        <v>1</v>
      </c>
      <c r="D45">
        <v>8042</v>
      </c>
      <c r="E45">
        <v>8117</v>
      </c>
      <c r="F45">
        <v>8</v>
      </c>
      <c r="G45">
        <v>7.2</v>
      </c>
      <c r="H45">
        <v>1.1111112000000001</v>
      </c>
      <c r="I45">
        <v>-0.11111114</v>
      </c>
      <c r="J45">
        <v>0.4736842</v>
      </c>
    </row>
    <row r="46" spans="1:10" x14ac:dyDescent="0.3">
      <c r="A46">
        <v>44</v>
      </c>
      <c r="B46">
        <v>724</v>
      </c>
      <c r="C46" t="b">
        <v>1</v>
      </c>
      <c r="D46">
        <v>8048</v>
      </c>
      <c r="E46">
        <v>8134</v>
      </c>
      <c r="F46">
        <v>8.4</v>
      </c>
      <c r="G46">
        <v>6.8</v>
      </c>
      <c r="H46">
        <v>1.2352939999999999</v>
      </c>
      <c r="I46">
        <v>-0.23529402999999999</v>
      </c>
      <c r="J46">
        <v>0.44736843999999998</v>
      </c>
    </row>
    <row r="47" spans="1:10" x14ac:dyDescent="0.3">
      <c r="A47">
        <v>45</v>
      </c>
      <c r="B47">
        <v>740</v>
      </c>
      <c r="C47" t="b">
        <v>1</v>
      </c>
      <c r="D47">
        <v>8042</v>
      </c>
      <c r="E47">
        <v>8123</v>
      </c>
      <c r="F47">
        <v>8.4</v>
      </c>
      <c r="G47">
        <v>6.4</v>
      </c>
      <c r="H47">
        <v>1.3124998999999999</v>
      </c>
      <c r="I47">
        <v>-0.3124999</v>
      </c>
      <c r="J47">
        <v>0.43243247000000001</v>
      </c>
    </row>
    <row r="48" spans="1:10" x14ac:dyDescent="0.3">
      <c r="A48">
        <v>46</v>
      </c>
      <c r="B48">
        <v>756</v>
      </c>
      <c r="C48" t="b">
        <v>1</v>
      </c>
      <c r="D48">
        <v>8042</v>
      </c>
      <c r="E48">
        <v>8123</v>
      </c>
      <c r="F48">
        <v>8</v>
      </c>
      <c r="G48">
        <v>6.4</v>
      </c>
      <c r="H48">
        <v>1.25</v>
      </c>
      <c r="I48">
        <v>-0.24999999000000001</v>
      </c>
      <c r="J48">
        <v>0.44444447999999998</v>
      </c>
    </row>
    <row r="49" spans="1:10" x14ac:dyDescent="0.3">
      <c r="A49">
        <v>47</v>
      </c>
      <c r="B49">
        <v>772</v>
      </c>
      <c r="C49" t="b">
        <v>1</v>
      </c>
      <c r="D49">
        <v>8042</v>
      </c>
      <c r="E49">
        <v>8117</v>
      </c>
      <c r="F49">
        <v>7.6</v>
      </c>
      <c r="G49">
        <v>6.4</v>
      </c>
      <c r="H49">
        <v>1.1875</v>
      </c>
      <c r="I49">
        <v>-0.18749996999999999</v>
      </c>
      <c r="J49">
        <v>0.45714285999999998</v>
      </c>
    </row>
    <row r="50" spans="1:10" x14ac:dyDescent="0.3">
      <c r="A50">
        <v>48</v>
      </c>
      <c r="B50">
        <v>788</v>
      </c>
      <c r="C50" t="b">
        <v>1</v>
      </c>
      <c r="D50">
        <v>8048</v>
      </c>
      <c r="E50">
        <v>8123</v>
      </c>
      <c r="F50">
        <v>7.2</v>
      </c>
      <c r="G50">
        <v>6.4</v>
      </c>
      <c r="H50">
        <v>1.125</v>
      </c>
      <c r="I50">
        <v>-0.124999955</v>
      </c>
      <c r="J50">
        <v>0.47058823999999999</v>
      </c>
    </row>
    <row r="51" spans="1:10" x14ac:dyDescent="0.3">
      <c r="A51">
        <v>49</v>
      </c>
      <c r="B51">
        <v>804</v>
      </c>
      <c r="C51" t="b">
        <v>1</v>
      </c>
      <c r="D51">
        <v>8048</v>
      </c>
      <c r="E51">
        <v>8123</v>
      </c>
      <c r="F51">
        <v>6.8</v>
      </c>
      <c r="G51">
        <v>6.4</v>
      </c>
      <c r="H51">
        <v>1.0625</v>
      </c>
      <c r="I51">
        <v>-6.2500015000000006E-2</v>
      </c>
      <c r="J51">
        <v>0.48484846999999998</v>
      </c>
    </row>
    <row r="52" spans="1:10" x14ac:dyDescent="0.3">
      <c r="A52">
        <v>50</v>
      </c>
      <c r="B52">
        <v>820</v>
      </c>
      <c r="C52" t="b">
        <v>1</v>
      </c>
      <c r="D52">
        <v>8048</v>
      </c>
      <c r="E52">
        <v>8129</v>
      </c>
      <c r="F52">
        <v>6.8</v>
      </c>
      <c r="G52">
        <v>6.4</v>
      </c>
      <c r="H52">
        <v>1.0625</v>
      </c>
      <c r="I52">
        <v>-6.2500015000000006E-2</v>
      </c>
      <c r="J52">
        <v>0.48484846999999998</v>
      </c>
    </row>
    <row r="53" spans="1:10" x14ac:dyDescent="0.3">
      <c r="A53">
        <v>51</v>
      </c>
      <c r="B53">
        <v>835</v>
      </c>
      <c r="C53" t="b">
        <v>1</v>
      </c>
      <c r="D53">
        <v>8048</v>
      </c>
      <c r="E53">
        <v>8123</v>
      </c>
      <c r="F53">
        <v>6.8</v>
      </c>
      <c r="G53">
        <v>6.4</v>
      </c>
      <c r="H53">
        <v>1.0625</v>
      </c>
      <c r="I53">
        <v>-6.2500015000000006E-2</v>
      </c>
      <c r="J53">
        <v>0.48484846999999998</v>
      </c>
    </row>
    <row r="54" spans="1:10" x14ac:dyDescent="0.3">
      <c r="A54">
        <v>52</v>
      </c>
      <c r="B54">
        <v>851</v>
      </c>
      <c r="C54" t="b">
        <v>1</v>
      </c>
      <c r="D54">
        <v>8054</v>
      </c>
      <c r="E54">
        <v>8123</v>
      </c>
      <c r="F54">
        <v>6.8</v>
      </c>
      <c r="G54">
        <v>6.4</v>
      </c>
      <c r="H54">
        <v>1.0625</v>
      </c>
      <c r="I54">
        <v>-6.2500015000000006E-2</v>
      </c>
      <c r="J54">
        <v>0.48484846999999998</v>
      </c>
    </row>
    <row r="55" spans="1:10" x14ac:dyDescent="0.3">
      <c r="A55">
        <v>53</v>
      </c>
      <c r="B55">
        <v>867</v>
      </c>
      <c r="C55" t="b">
        <v>1</v>
      </c>
      <c r="D55">
        <v>8048</v>
      </c>
      <c r="E55">
        <v>8123</v>
      </c>
      <c r="F55">
        <v>6.8</v>
      </c>
      <c r="G55">
        <v>6.4</v>
      </c>
      <c r="H55">
        <v>1.0625</v>
      </c>
      <c r="I55">
        <v>-6.2500015000000006E-2</v>
      </c>
      <c r="J55">
        <v>0.48484846999999998</v>
      </c>
    </row>
    <row r="56" spans="1:10" x14ac:dyDescent="0.3">
      <c r="A56">
        <v>54</v>
      </c>
      <c r="B56">
        <v>883</v>
      </c>
      <c r="C56" t="b">
        <v>1</v>
      </c>
      <c r="D56">
        <v>8054</v>
      </c>
      <c r="E56">
        <v>8123</v>
      </c>
      <c r="F56">
        <v>6.8</v>
      </c>
      <c r="G56">
        <v>6.4</v>
      </c>
      <c r="H56">
        <v>1.0625</v>
      </c>
      <c r="I56">
        <v>-6.2500015000000006E-2</v>
      </c>
      <c r="J56">
        <v>0.48484846999999998</v>
      </c>
    </row>
    <row r="57" spans="1:10" x14ac:dyDescent="0.3">
      <c r="A57">
        <v>55</v>
      </c>
      <c r="B57">
        <v>899</v>
      </c>
      <c r="C57" t="b">
        <v>1</v>
      </c>
      <c r="D57">
        <v>8048</v>
      </c>
      <c r="E57">
        <v>8123</v>
      </c>
      <c r="F57">
        <v>6.8</v>
      </c>
      <c r="G57">
        <v>6.4</v>
      </c>
      <c r="H57">
        <v>1.0625</v>
      </c>
      <c r="I57">
        <v>-6.2500015000000006E-2</v>
      </c>
      <c r="J57">
        <v>0.48484846999999998</v>
      </c>
    </row>
    <row r="58" spans="1:10" x14ac:dyDescent="0.3">
      <c r="A58">
        <v>56</v>
      </c>
      <c r="B58">
        <v>915</v>
      </c>
      <c r="C58" t="b">
        <v>1</v>
      </c>
      <c r="D58">
        <v>8042</v>
      </c>
      <c r="E58">
        <v>8123</v>
      </c>
      <c r="F58">
        <v>6.4</v>
      </c>
      <c r="G58">
        <v>6.4</v>
      </c>
      <c r="H58">
        <v>1</v>
      </c>
      <c r="I58">
        <v>0</v>
      </c>
      <c r="J58">
        <v>0.5</v>
      </c>
    </row>
    <row r="59" spans="1:10" x14ac:dyDescent="0.3">
      <c r="A59">
        <v>57</v>
      </c>
      <c r="B59">
        <v>930</v>
      </c>
      <c r="C59" t="b">
        <v>1</v>
      </c>
      <c r="D59">
        <v>8042</v>
      </c>
      <c r="E59">
        <v>8123</v>
      </c>
      <c r="F59">
        <v>6</v>
      </c>
      <c r="G59">
        <v>6.8</v>
      </c>
      <c r="H59">
        <v>0.8823529</v>
      </c>
      <c r="I59">
        <v>0.11764708</v>
      </c>
      <c r="J59">
        <v>0.53125</v>
      </c>
    </row>
    <row r="60" spans="1:10" x14ac:dyDescent="0.3">
      <c r="A60">
        <v>58</v>
      </c>
      <c r="B60">
        <v>946</v>
      </c>
      <c r="C60" t="b">
        <v>1</v>
      </c>
      <c r="D60">
        <v>8042</v>
      </c>
      <c r="E60">
        <v>8123</v>
      </c>
      <c r="F60">
        <v>5.6</v>
      </c>
      <c r="G60">
        <v>7.2</v>
      </c>
      <c r="H60">
        <v>0.77777779999999996</v>
      </c>
      <c r="I60">
        <v>0.22222221</v>
      </c>
      <c r="J60">
        <v>0.5625</v>
      </c>
    </row>
    <row r="61" spans="1:10" x14ac:dyDescent="0.3">
      <c r="A61">
        <v>59</v>
      </c>
      <c r="B61">
        <v>962</v>
      </c>
      <c r="C61" t="b">
        <v>1</v>
      </c>
      <c r="D61">
        <v>8048</v>
      </c>
      <c r="E61">
        <v>8129</v>
      </c>
      <c r="F61">
        <v>5.2</v>
      </c>
      <c r="G61">
        <v>7.6</v>
      </c>
      <c r="H61">
        <v>0.68421054000000003</v>
      </c>
      <c r="I61">
        <v>0.3157895</v>
      </c>
      <c r="J61">
        <v>0.59375</v>
      </c>
    </row>
    <row r="62" spans="1:10" x14ac:dyDescent="0.3">
      <c r="A62">
        <v>60</v>
      </c>
      <c r="B62">
        <v>978</v>
      </c>
      <c r="C62" t="b">
        <v>1</v>
      </c>
      <c r="D62">
        <v>8048</v>
      </c>
      <c r="E62">
        <v>8123</v>
      </c>
      <c r="F62">
        <v>5.2</v>
      </c>
      <c r="G62">
        <v>8</v>
      </c>
      <c r="H62">
        <v>0.65</v>
      </c>
      <c r="I62">
        <v>0.35000002000000002</v>
      </c>
      <c r="J62">
        <v>0.60606059999999995</v>
      </c>
    </row>
    <row r="63" spans="1:10" x14ac:dyDescent="0.3">
      <c r="A63">
        <v>61</v>
      </c>
      <c r="B63">
        <v>994</v>
      </c>
      <c r="C63" t="b">
        <v>1</v>
      </c>
      <c r="D63">
        <v>8048</v>
      </c>
      <c r="E63">
        <v>8123</v>
      </c>
      <c r="F63">
        <v>5.6</v>
      </c>
      <c r="G63">
        <v>8</v>
      </c>
      <c r="H63">
        <v>0.7</v>
      </c>
      <c r="I63">
        <v>0.3</v>
      </c>
      <c r="J63">
        <v>0.58823526000000004</v>
      </c>
    </row>
    <row r="64" spans="1:10" x14ac:dyDescent="0.3">
      <c r="A64">
        <v>62</v>
      </c>
      <c r="B64">
        <v>1010</v>
      </c>
      <c r="C64" t="b">
        <v>1</v>
      </c>
      <c r="D64">
        <v>8048</v>
      </c>
      <c r="E64">
        <v>8123</v>
      </c>
      <c r="F64">
        <v>6</v>
      </c>
      <c r="G64">
        <v>8</v>
      </c>
      <c r="H64">
        <v>0.75</v>
      </c>
      <c r="I64">
        <v>0.25</v>
      </c>
      <c r="J64">
        <v>0.57142859999999995</v>
      </c>
    </row>
    <row r="65" spans="1:10" x14ac:dyDescent="0.3">
      <c r="A65">
        <v>63</v>
      </c>
      <c r="B65">
        <v>1026</v>
      </c>
      <c r="C65" t="b">
        <v>1</v>
      </c>
      <c r="D65">
        <v>8054</v>
      </c>
      <c r="E65">
        <v>8123</v>
      </c>
      <c r="F65">
        <v>6.4</v>
      </c>
      <c r="G65">
        <v>8</v>
      </c>
      <c r="H65">
        <v>0.8</v>
      </c>
      <c r="I65">
        <v>0.19999998999999999</v>
      </c>
      <c r="J65">
        <v>0.55555560000000004</v>
      </c>
    </row>
    <row r="66" spans="1:10" x14ac:dyDescent="0.3">
      <c r="A66">
        <v>64</v>
      </c>
      <c r="B66">
        <v>1042</v>
      </c>
      <c r="C66" t="b">
        <v>1</v>
      </c>
      <c r="D66">
        <v>8048</v>
      </c>
      <c r="E66">
        <v>8129</v>
      </c>
      <c r="F66">
        <v>6.8</v>
      </c>
      <c r="G66">
        <v>8</v>
      </c>
      <c r="H66">
        <v>0.85</v>
      </c>
      <c r="I66">
        <v>0.14999998</v>
      </c>
      <c r="J66">
        <v>0.54054049999999998</v>
      </c>
    </row>
    <row r="67" spans="1:10" x14ac:dyDescent="0.3">
      <c r="A67">
        <v>65</v>
      </c>
      <c r="B67">
        <v>1058</v>
      </c>
      <c r="C67" t="b">
        <v>1</v>
      </c>
      <c r="D67">
        <v>8054</v>
      </c>
      <c r="E67">
        <v>8123</v>
      </c>
      <c r="F67">
        <v>6.8</v>
      </c>
      <c r="G67">
        <v>8</v>
      </c>
      <c r="H67">
        <v>0.85</v>
      </c>
      <c r="I67">
        <v>0.14999998</v>
      </c>
      <c r="J67">
        <v>0.54054049999999998</v>
      </c>
    </row>
    <row r="68" spans="1:10" x14ac:dyDescent="0.3">
      <c r="A68">
        <v>66</v>
      </c>
      <c r="B68">
        <v>1074</v>
      </c>
      <c r="C68" t="b">
        <v>1</v>
      </c>
      <c r="D68">
        <v>8048</v>
      </c>
      <c r="E68">
        <v>8123</v>
      </c>
      <c r="F68">
        <v>6.8</v>
      </c>
      <c r="G68">
        <v>8</v>
      </c>
      <c r="H68">
        <v>0.85</v>
      </c>
      <c r="I68">
        <v>0.14999998</v>
      </c>
      <c r="J68">
        <v>0.54054049999999998</v>
      </c>
    </row>
    <row r="69" spans="1:10" x14ac:dyDescent="0.3">
      <c r="A69">
        <v>67</v>
      </c>
      <c r="B69">
        <v>1090</v>
      </c>
      <c r="C69" t="b">
        <v>1</v>
      </c>
      <c r="D69">
        <v>8048</v>
      </c>
      <c r="E69">
        <v>8134</v>
      </c>
      <c r="F69">
        <v>6.8</v>
      </c>
      <c r="G69">
        <v>8</v>
      </c>
      <c r="H69">
        <v>0.85</v>
      </c>
      <c r="I69">
        <v>0.14999998</v>
      </c>
      <c r="J69">
        <v>0.54054049999999998</v>
      </c>
    </row>
    <row r="70" spans="1:10" x14ac:dyDescent="0.3">
      <c r="A70">
        <v>68</v>
      </c>
      <c r="B70">
        <v>1106</v>
      </c>
      <c r="C70" t="b">
        <v>1</v>
      </c>
      <c r="D70">
        <v>8048</v>
      </c>
      <c r="E70">
        <v>8123</v>
      </c>
      <c r="F70">
        <v>6.8</v>
      </c>
      <c r="G70">
        <v>8</v>
      </c>
      <c r="H70">
        <v>0.85</v>
      </c>
      <c r="I70">
        <v>0.14999998</v>
      </c>
      <c r="J70">
        <v>0.54054049999999998</v>
      </c>
    </row>
    <row r="71" spans="1:10" x14ac:dyDescent="0.3">
      <c r="A71">
        <v>69</v>
      </c>
      <c r="B71">
        <v>1122</v>
      </c>
      <c r="C71" t="b">
        <v>1</v>
      </c>
      <c r="D71">
        <v>8048</v>
      </c>
      <c r="E71">
        <v>8123</v>
      </c>
      <c r="F71">
        <v>6.8</v>
      </c>
      <c r="G71">
        <v>8</v>
      </c>
      <c r="H71">
        <v>0.85</v>
      </c>
      <c r="I71">
        <v>0.14999998</v>
      </c>
      <c r="J71">
        <v>0.54054049999999998</v>
      </c>
    </row>
    <row r="72" spans="1:10" x14ac:dyDescent="0.3">
      <c r="A72">
        <v>70</v>
      </c>
      <c r="B72">
        <v>1138</v>
      </c>
      <c r="C72" t="b">
        <v>1</v>
      </c>
      <c r="D72">
        <v>8048</v>
      </c>
      <c r="E72">
        <v>8123</v>
      </c>
      <c r="F72">
        <v>6.8</v>
      </c>
      <c r="G72">
        <v>8</v>
      </c>
      <c r="H72">
        <v>0.85</v>
      </c>
      <c r="I72">
        <v>0.14999998</v>
      </c>
      <c r="J72">
        <v>0.54054049999999998</v>
      </c>
    </row>
    <row r="73" spans="1:10" x14ac:dyDescent="0.3">
      <c r="A73">
        <v>71</v>
      </c>
      <c r="B73">
        <v>1154</v>
      </c>
      <c r="C73" t="b">
        <v>1</v>
      </c>
      <c r="D73">
        <v>8048</v>
      </c>
      <c r="E73">
        <v>8123</v>
      </c>
      <c r="F73">
        <v>6.8</v>
      </c>
      <c r="G73">
        <v>8</v>
      </c>
      <c r="H73">
        <v>0.85</v>
      </c>
      <c r="I73">
        <v>0.14999998</v>
      </c>
      <c r="J73">
        <v>0.54054049999999998</v>
      </c>
    </row>
    <row r="74" spans="1:10" x14ac:dyDescent="0.3">
      <c r="A74">
        <v>72</v>
      </c>
      <c r="B74">
        <v>1169</v>
      </c>
      <c r="C74" t="b">
        <v>1</v>
      </c>
      <c r="D74">
        <v>8048</v>
      </c>
      <c r="E74">
        <v>8123</v>
      </c>
      <c r="F74">
        <v>6.8</v>
      </c>
      <c r="G74">
        <v>8</v>
      </c>
      <c r="H74">
        <v>0.85</v>
      </c>
      <c r="I74">
        <v>0.14999998</v>
      </c>
      <c r="J74">
        <v>0.54054049999999998</v>
      </c>
    </row>
    <row r="75" spans="1:10" x14ac:dyDescent="0.3">
      <c r="A75">
        <v>73</v>
      </c>
      <c r="B75">
        <v>1185</v>
      </c>
      <c r="C75" t="b">
        <v>1</v>
      </c>
      <c r="D75">
        <v>8048</v>
      </c>
      <c r="E75">
        <v>8117</v>
      </c>
      <c r="F75">
        <v>7.2</v>
      </c>
      <c r="G75">
        <v>8</v>
      </c>
      <c r="H75">
        <v>0.9</v>
      </c>
      <c r="I75">
        <v>0.10000002400000001</v>
      </c>
      <c r="J75">
        <v>0.5263158</v>
      </c>
    </row>
    <row r="76" spans="1:10" x14ac:dyDescent="0.3">
      <c r="A76">
        <v>74</v>
      </c>
      <c r="B76">
        <v>1201</v>
      </c>
      <c r="C76" t="b">
        <v>1</v>
      </c>
      <c r="D76">
        <v>8048</v>
      </c>
      <c r="E76">
        <v>8123</v>
      </c>
      <c r="F76">
        <v>7.6</v>
      </c>
      <c r="G76">
        <v>8</v>
      </c>
      <c r="H76">
        <v>0.95</v>
      </c>
      <c r="I76">
        <v>5.0000012000000003E-2</v>
      </c>
      <c r="J76">
        <v>0.51282050000000001</v>
      </c>
    </row>
    <row r="77" spans="1:10" x14ac:dyDescent="0.3">
      <c r="A77">
        <v>75</v>
      </c>
      <c r="B77">
        <v>1217</v>
      </c>
      <c r="C77" t="b">
        <v>1</v>
      </c>
      <c r="D77">
        <v>8048</v>
      </c>
      <c r="E77">
        <v>8123</v>
      </c>
      <c r="F77">
        <v>8</v>
      </c>
      <c r="G77">
        <v>8</v>
      </c>
      <c r="H77">
        <v>1</v>
      </c>
      <c r="I77">
        <v>0</v>
      </c>
      <c r="J77">
        <v>0.5</v>
      </c>
    </row>
    <row r="78" spans="1:10" x14ac:dyDescent="0.3">
      <c r="A78">
        <v>76</v>
      </c>
      <c r="B78">
        <v>1233</v>
      </c>
      <c r="C78" t="b">
        <v>1</v>
      </c>
      <c r="D78">
        <v>8048</v>
      </c>
      <c r="E78">
        <v>8123</v>
      </c>
      <c r="F78">
        <v>8</v>
      </c>
      <c r="G78">
        <v>8</v>
      </c>
      <c r="H78">
        <v>1</v>
      </c>
      <c r="I78">
        <v>0</v>
      </c>
      <c r="J78">
        <v>0.5</v>
      </c>
    </row>
    <row r="79" spans="1:10" x14ac:dyDescent="0.3">
      <c r="A79">
        <v>77</v>
      </c>
      <c r="B79">
        <v>1248</v>
      </c>
      <c r="C79" t="b">
        <v>1</v>
      </c>
      <c r="D79">
        <v>8048</v>
      </c>
      <c r="E79">
        <v>8123</v>
      </c>
      <c r="F79">
        <v>8</v>
      </c>
      <c r="G79">
        <v>8</v>
      </c>
      <c r="H79">
        <v>1</v>
      </c>
      <c r="I79">
        <v>0</v>
      </c>
      <c r="J79">
        <v>0.5</v>
      </c>
    </row>
    <row r="80" spans="1:10" x14ac:dyDescent="0.3">
      <c r="A80">
        <v>78</v>
      </c>
      <c r="B80">
        <v>1265</v>
      </c>
      <c r="C80" t="b">
        <v>1</v>
      </c>
      <c r="D80">
        <v>8048</v>
      </c>
      <c r="E80">
        <v>8123</v>
      </c>
      <c r="F80">
        <v>8</v>
      </c>
      <c r="G80">
        <v>8</v>
      </c>
      <c r="H80">
        <v>1</v>
      </c>
      <c r="I80">
        <v>0</v>
      </c>
      <c r="J80">
        <v>0.5</v>
      </c>
    </row>
    <row r="81" spans="1:10" x14ac:dyDescent="0.3">
      <c r="A81">
        <v>79</v>
      </c>
      <c r="B81">
        <v>1280</v>
      </c>
      <c r="C81" t="b">
        <v>1</v>
      </c>
      <c r="D81">
        <v>8048</v>
      </c>
      <c r="E81">
        <v>8123</v>
      </c>
      <c r="F81">
        <v>8</v>
      </c>
      <c r="G81">
        <v>8</v>
      </c>
      <c r="H81">
        <v>1</v>
      </c>
      <c r="I81">
        <v>0</v>
      </c>
      <c r="J81">
        <v>0.5</v>
      </c>
    </row>
    <row r="82" spans="1:10" x14ac:dyDescent="0.3">
      <c r="A82">
        <v>80</v>
      </c>
      <c r="B82">
        <v>1296</v>
      </c>
      <c r="C82" t="b">
        <v>1</v>
      </c>
      <c r="D82">
        <v>8048</v>
      </c>
      <c r="E82">
        <v>8129</v>
      </c>
      <c r="F82">
        <v>8</v>
      </c>
      <c r="G82">
        <v>8</v>
      </c>
      <c r="H82">
        <v>1</v>
      </c>
      <c r="I82">
        <v>0</v>
      </c>
      <c r="J82">
        <v>0.5</v>
      </c>
    </row>
    <row r="83" spans="1:10" x14ac:dyDescent="0.3">
      <c r="A83">
        <v>81</v>
      </c>
      <c r="B83">
        <v>1311</v>
      </c>
      <c r="C83" t="b">
        <v>1</v>
      </c>
      <c r="D83">
        <v>8048</v>
      </c>
      <c r="E83">
        <v>8117</v>
      </c>
      <c r="F83">
        <v>8</v>
      </c>
      <c r="G83">
        <v>8</v>
      </c>
      <c r="H83">
        <v>1</v>
      </c>
      <c r="I83">
        <v>0</v>
      </c>
      <c r="J83">
        <v>0.5</v>
      </c>
    </row>
    <row r="84" spans="1:10" x14ac:dyDescent="0.3">
      <c r="A84">
        <v>82</v>
      </c>
      <c r="B84">
        <v>1327</v>
      </c>
      <c r="C84" t="b">
        <v>1</v>
      </c>
      <c r="D84">
        <v>8048</v>
      </c>
      <c r="E84">
        <v>8123</v>
      </c>
      <c r="F84">
        <v>8</v>
      </c>
      <c r="G84">
        <v>8</v>
      </c>
      <c r="H84">
        <v>1</v>
      </c>
      <c r="I84">
        <v>0</v>
      </c>
      <c r="J84">
        <v>0.5</v>
      </c>
    </row>
    <row r="85" spans="1:10" x14ac:dyDescent="0.3">
      <c r="A85">
        <v>83</v>
      </c>
      <c r="B85">
        <v>1343</v>
      </c>
      <c r="C85" t="b">
        <v>1</v>
      </c>
      <c r="D85">
        <v>8048</v>
      </c>
      <c r="E85">
        <v>8117</v>
      </c>
      <c r="F85">
        <v>8</v>
      </c>
      <c r="G85">
        <v>8</v>
      </c>
      <c r="H85">
        <v>1</v>
      </c>
      <c r="I85">
        <v>0</v>
      </c>
      <c r="J85">
        <v>0.5</v>
      </c>
    </row>
    <row r="86" spans="1:10" x14ac:dyDescent="0.3">
      <c r="A86">
        <v>84</v>
      </c>
      <c r="B86">
        <v>1359</v>
      </c>
      <c r="C86" t="b">
        <v>1</v>
      </c>
      <c r="D86">
        <v>8048</v>
      </c>
      <c r="E86">
        <v>8117</v>
      </c>
      <c r="F86">
        <v>8</v>
      </c>
      <c r="G86">
        <v>7.6</v>
      </c>
      <c r="H86">
        <v>1.0526316</v>
      </c>
      <c r="I86">
        <v>-5.2631589999999999E-2</v>
      </c>
      <c r="J86">
        <v>0.48717946000000001</v>
      </c>
    </row>
    <row r="87" spans="1:10" x14ac:dyDescent="0.3">
      <c r="A87">
        <v>85</v>
      </c>
      <c r="B87">
        <v>1375</v>
      </c>
      <c r="C87" t="b">
        <v>1</v>
      </c>
      <c r="D87">
        <v>8048</v>
      </c>
      <c r="E87">
        <v>8117</v>
      </c>
      <c r="F87">
        <v>8</v>
      </c>
      <c r="G87">
        <v>7.2</v>
      </c>
      <c r="H87">
        <v>1.1111112000000001</v>
      </c>
      <c r="I87">
        <v>-0.11111114</v>
      </c>
      <c r="J87">
        <v>0.4736842</v>
      </c>
    </row>
    <row r="88" spans="1:10" x14ac:dyDescent="0.3">
      <c r="A88">
        <v>86</v>
      </c>
      <c r="B88">
        <v>1391</v>
      </c>
      <c r="C88" t="b">
        <v>1</v>
      </c>
      <c r="D88">
        <v>8048</v>
      </c>
      <c r="E88">
        <v>8117</v>
      </c>
      <c r="F88">
        <v>8</v>
      </c>
      <c r="G88">
        <v>6.8</v>
      </c>
      <c r="H88">
        <v>1.1764705</v>
      </c>
      <c r="I88">
        <v>-0.17647055</v>
      </c>
      <c r="J88">
        <v>0.45945944999999999</v>
      </c>
    </row>
    <row r="89" spans="1:10" x14ac:dyDescent="0.3">
      <c r="A89">
        <v>87</v>
      </c>
      <c r="B89">
        <v>1407</v>
      </c>
      <c r="C89" t="b">
        <v>1</v>
      </c>
      <c r="D89">
        <v>8054</v>
      </c>
      <c r="E89">
        <v>8134</v>
      </c>
      <c r="F89">
        <v>8</v>
      </c>
      <c r="G89">
        <v>6.4</v>
      </c>
      <c r="H89">
        <v>1.25</v>
      </c>
      <c r="I89">
        <v>-0.24999999000000001</v>
      </c>
      <c r="J89">
        <v>0.44444447999999998</v>
      </c>
    </row>
    <row r="90" spans="1:10" x14ac:dyDescent="0.3">
      <c r="A90">
        <v>88</v>
      </c>
      <c r="B90">
        <v>1423</v>
      </c>
      <c r="C90" t="b">
        <v>1</v>
      </c>
      <c r="D90">
        <v>8048</v>
      </c>
      <c r="E90">
        <v>8123</v>
      </c>
      <c r="F90">
        <v>8</v>
      </c>
      <c r="G90">
        <v>6</v>
      </c>
      <c r="H90">
        <v>1.3333333999999999</v>
      </c>
      <c r="I90">
        <v>-0.33333333999999998</v>
      </c>
      <c r="J90">
        <v>0.42857142999999998</v>
      </c>
    </row>
    <row r="91" spans="1:10" x14ac:dyDescent="0.3">
      <c r="A91">
        <v>89</v>
      </c>
      <c r="B91">
        <v>1439</v>
      </c>
      <c r="C91" t="b">
        <v>1</v>
      </c>
      <c r="D91">
        <v>8048</v>
      </c>
      <c r="E91">
        <v>8123</v>
      </c>
      <c r="F91">
        <v>8</v>
      </c>
      <c r="G91">
        <v>6</v>
      </c>
      <c r="H91">
        <v>1.3333333999999999</v>
      </c>
      <c r="I91">
        <v>-0.33333333999999998</v>
      </c>
      <c r="J91">
        <v>0.42857142999999998</v>
      </c>
    </row>
    <row r="92" spans="1:10" x14ac:dyDescent="0.3">
      <c r="A92">
        <v>90</v>
      </c>
      <c r="B92">
        <v>1455</v>
      </c>
      <c r="C92" t="b">
        <v>1</v>
      </c>
      <c r="D92">
        <v>8048</v>
      </c>
      <c r="E92">
        <v>8117</v>
      </c>
      <c r="F92">
        <v>8</v>
      </c>
      <c r="G92">
        <v>6</v>
      </c>
      <c r="H92">
        <v>1.3333333999999999</v>
      </c>
      <c r="I92">
        <v>-0.33333333999999998</v>
      </c>
      <c r="J92">
        <v>0.42857142999999998</v>
      </c>
    </row>
    <row r="93" spans="1:10" x14ac:dyDescent="0.3">
      <c r="A93">
        <v>91</v>
      </c>
      <c r="B93">
        <v>1471</v>
      </c>
      <c r="C93" t="b">
        <v>1</v>
      </c>
      <c r="D93">
        <v>8048</v>
      </c>
      <c r="E93">
        <v>8123</v>
      </c>
      <c r="F93">
        <v>8</v>
      </c>
      <c r="G93">
        <v>6</v>
      </c>
      <c r="H93">
        <v>1.3333333999999999</v>
      </c>
      <c r="I93">
        <v>-0.33333333999999998</v>
      </c>
      <c r="J93">
        <v>0.42857142999999998</v>
      </c>
    </row>
    <row r="94" spans="1:10" x14ac:dyDescent="0.3">
      <c r="A94">
        <v>92</v>
      </c>
      <c r="B94">
        <v>1487</v>
      </c>
      <c r="C94" t="b">
        <v>1</v>
      </c>
      <c r="D94">
        <v>8048</v>
      </c>
      <c r="E94">
        <v>8123</v>
      </c>
      <c r="F94">
        <v>8</v>
      </c>
      <c r="G94">
        <v>6</v>
      </c>
      <c r="H94">
        <v>1.3333333999999999</v>
      </c>
      <c r="I94">
        <v>-0.33333333999999998</v>
      </c>
      <c r="J94">
        <v>0.42857142999999998</v>
      </c>
    </row>
    <row r="95" spans="1:10" x14ac:dyDescent="0.3">
      <c r="A95">
        <v>93</v>
      </c>
      <c r="B95">
        <v>1503</v>
      </c>
      <c r="C95" t="b">
        <v>1</v>
      </c>
      <c r="D95">
        <v>8042</v>
      </c>
      <c r="E95">
        <v>8123</v>
      </c>
      <c r="F95">
        <v>8</v>
      </c>
      <c r="G95">
        <v>6</v>
      </c>
      <c r="H95">
        <v>1.3333333999999999</v>
      </c>
      <c r="I95">
        <v>-0.33333333999999998</v>
      </c>
      <c r="J95">
        <v>0.42857142999999998</v>
      </c>
    </row>
    <row r="96" spans="1:10" x14ac:dyDescent="0.3">
      <c r="A96">
        <v>94</v>
      </c>
      <c r="B96">
        <v>1519</v>
      </c>
      <c r="C96" t="b">
        <v>1</v>
      </c>
      <c r="D96">
        <v>8048</v>
      </c>
      <c r="E96">
        <v>8123</v>
      </c>
      <c r="F96">
        <v>8</v>
      </c>
      <c r="G96">
        <v>6</v>
      </c>
      <c r="H96">
        <v>1.3333333999999999</v>
      </c>
      <c r="I96">
        <v>-0.33333333999999998</v>
      </c>
      <c r="J96">
        <v>0.42857142999999998</v>
      </c>
    </row>
    <row r="97" spans="1:10" x14ac:dyDescent="0.3">
      <c r="A97">
        <v>95</v>
      </c>
      <c r="B97">
        <v>1535</v>
      </c>
      <c r="C97" t="b">
        <v>1</v>
      </c>
      <c r="D97">
        <v>8048</v>
      </c>
      <c r="E97">
        <v>8123</v>
      </c>
      <c r="F97">
        <v>8</v>
      </c>
      <c r="G97">
        <v>6</v>
      </c>
      <c r="H97">
        <v>1.3333333999999999</v>
      </c>
      <c r="I97">
        <v>-0.33333333999999998</v>
      </c>
      <c r="J97">
        <v>0.42857142999999998</v>
      </c>
    </row>
    <row r="98" spans="1:10" x14ac:dyDescent="0.3">
      <c r="A98">
        <v>96</v>
      </c>
      <c r="B98">
        <v>1550</v>
      </c>
      <c r="C98" t="b">
        <v>1</v>
      </c>
      <c r="D98">
        <v>8042</v>
      </c>
      <c r="E98">
        <v>8129</v>
      </c>
      <c r="F98">
        <v>8</v>
      </c>
      <c r="G98">
        <v>6</v>
      </c>
      <c r="H98">
        <v>1.3333333999999999</v>
      </c>
      <c r="I98">
        <v>-0.33333333999999998</v>
      </c>
      <c r="J98">
        <v>0.42857142999999998</v>
      </c>
    </row>
    <row r="99" spans="1:10" x14ac:dyDescent="0.3">
      <c r="A99">
        <v>97</v>
      </c>
      <c r="B99">
        <v>1566</v>
      </c>
      <c r="C99" t="b">
        <v>1</v>
      </c>
      <c r="D99">
        <v>8042</v>
      </c>
      <c r="E99">
        <v>8129</v>
      </c>
      <c r="F99">
        <v>7.6</v>
      </c>
      <c r="G99">
        <v>6</v>
      </c>
      <c r="H99">
        <v>1.2666667</v>
      </c>
      <c r="I99">
        <v>-0.26666665000000001</v>
      </c>
      <c r="J99">
        <v>0.44117644</v>
      </c>
    </row>
    <row r="100" spans="1:10" x14ac:dyDescent="0.3">
      <c r="A100">
        <v>98</v>
      </c>
      <c r="B100">
        <v>1582</v>
      </c>
      <c r="C100" t="b">
        <v>1</v>
      </c>
      <c r="D100">
        <v>8042</v>
      </c>
      <c r="E100">
        <v>8123</v>
      </c>
      <c r="F100">
        <v>7.2</v>
      </c>
      <c r="G100">
        <v>6</v>
      </c>
      <c r="H100">
        <v>1.1999998999999999</v>
      </c>
      <c r="I100">
        <v>-0.19999997</v>
      </c>
      <c r="J100">
        <v>0.45454547000000001</v>
      </c>
    </row>
    <row r="101" spans="1:10" x14ac:dyDescent="0.3">
      <c r="A101">
        <v>99</v>
      </c>
      <c r="B101">
        <v>1598</v>
      </c>
      <c r="C101" t="b">
        <v>1</v>
      </c>
      <c r="D101">
        <v>8048</v>
      </c>
      <c r="E101">
        <v>8123</v>
      </c>
      <c r="F101">
        <v>6.8</v>
      </c>
      <c r="G101">
        <v>6.4</v>
      </c>
      <c r="H101">
        <v>1.0625</v>
      </c>
      <c r="I101">
        <v>-6.2500015000000006E-2</v>
      </c>
      <c r="J101">
        <v>0.48484846999999998</v>
      </c>
    </row>
    <row r="102" spans="1:10" x14ac:dyDescent="0.3">
      <c r="A102">
        <v>100</v>
      </c>
      <c r="B102">
        <v>1614</v>
      </c>
      <c r="C102" t="b">
        <v>1</v>
      </c>
      <c r="D102">
        <v>8048</v>
      </c>
      <c r="E102">
        <v>8123</v>
      </c>
      <c r="F102">
        <v>6.4</v>
      </c>
      <c r="G102">
        <v>6.8</v>
      </c>
      <c r="H102">
        <v>0.94117649999999997</v>
      </c>
      <c r="I102">
        <v>5.8823540000000001E-2</v>
      </c>
      <c r="J102">
        <v>0.51515149999999998</v>
      </c>
    </row>
    <row r="103" spans="1:10" x14ac:dyDescent="0.3">
      <c r="A103">
        <v>101</v>
      </c>
      <c r="B103">
        <v>1630</v>
      </c>
      <c r="C103" t="b">
        <v>1</v>
      </c>
      <c r="D103">
        <v>8054</v>
      </c>
      <c r="E103">
        <v>8123</v>
      </c>
      <c r="F103">
        <v>6.4</v>
      </c>
      <c r="G103">
        <v>7.2</v>
      </c>
      <c r="H103">
        <v>0.88888895999999995</v>
      </c>
      <c r="I103">
        <v>0.111111075</v>
      </c>
      <c r="J103">
        <v>0.52941172999999997</v>
      </c>
    </row>
    <row r="104" spans="1:10" x14ac:dyDescent="0.3">
      <c r="A104">
        <v>102</v>
      </c>
      <c r="B104">
        <v>1646</v>
      </c>
      <c r="C104" t="b">
        <v>1</v>
      </c>
      <c r="D104">
        <v>8048</v>
      </c>
      <c r="E104">
        <v>8123</v>
      </c>
      <c r="F104">
        <v>6.4</v>
      </c>
      <c r="G104">
        <v>7.6</v>
      </c>
      <c r="H104">
        <v>0.84210527000000002</v>
      </c>
      <c r="I104">
        <v>0.15789471999999999</v>
      </c>
      <c r="J104">
        <v>0.54285709999999998</v>
      </c>
    </row>
    <row r="105" spans="1:10" x14ac:dyDescent="0.3">
      <c r="A105">
        <v>103</v>
      </c>
      <c r="B105">
        <v>1662</v>
      </c>
      <c r="C105" t="b">
        <v>1</v>
      </c>
      <c r="D105">
        <v>8048</v>
      </c>
      <c r="E105">
        <v>8123</v>
      </c>
      <c r="F105">
        <v>6.4</v>
      </c>
      <c r="G105">
        <v>8</v>
      </c>
      <c r="H105">
        <v>0.8</v>
      </c>
      <c r="I105">
        <v>0.19999998999999999</v>
      </c>
      <c r="J105">
        <v>0.55555560000000004</v>
      </c>
    </row>
    <row r="106" spans="1:10" x14ac:dyDescent="0.3">
      <c r="A106">
        <v>104</v>
      </c>
      <c r="B106">
        <v>1678</v>
      </c>
      <c r="C106" t="b">
        <v>1</v>
      </c>
      <c r="D106">
        <v>8048</v>
      </c>
      <c r="E106">
        <v>8123</v>
      </c>
      <c r="F106">
        <v>6.4</v>
      </c>
      <c r="G106">
        <v>8</v>
      </c>
      <c r="H106">
        <v>0.8</v>
      </c>
      <c r="I106">
        <v>0.19999998999999999</v>
      </c>
      <c r="J106">
        <v>0.55555560000000004</v>
      </c>
    </row>
    <row r="107" spans="1:10" x14ac:dyDescent="0.3">
      <c r="A107">
        <v>105</v>
      </c>
      <c r="B107">
        <v>1693</v>
      </c>
      <c r="C107" t="b">
        <v>1</v>
      </c>
      <c r="D107">
        <v>8048</v>
      </c>
      <c r="E107">
        <v>8123</v>
      </c>
      <c r="F107">
        <v>6.4</v>
      </c>
      <c r="G107">
        <v>8</v>
      </c>
      <c r="H107">
        <v>0.8</v>
      </c>
      <c r="I107">
        <v>0.19999998999999999</v>
      </c>
      <c r="J107">
        <v>0.55555560000000004</v>
      </c>
    </row>
    <row r="108" spans="1:10" x14ac:dyDescent="0.3">
      <c r="A108">
        <v>106</v>
      </c>
      <c r="B108">
        <v>1709</v>
      </c>
      <c r="C108" t="b">
        <v>1</v>
      </c>
      <c r="D108">
        <v>8048</v>
      </c>
      <c r="E108">
        <v>8123</v>
      </c>
      <c r="F108">
        <v>6.4</v>
      </c>
      <c r="G108">
        <v>8</v>
      </c>
      <c r="H108">
        <v>0.8</v>
      </c>
      <c r="I108">
        <v>0.19999998999999999</v>
      </c>
      <c r="J108">
        <v>0.55555560000000004</v>
      </c>
    </row>
    <row r="109" spans="1:10" x14ac:dyDescent="0.3">
      <c r="A109">
        <v>107</v>
      </c>
      <c r="B109">
        <v>1725</v>
      </c>
      <c r="C109" t="b">
        <v>1</v>
      </c>
      <c r="D109">
        <v>8048</v>
      </c>
      <c r="E109">
        <v>8129</v>
      </c>
      <c r="F109">
        <v>6.4</v>
      </c>
      <c r="G109">
        <v>8</v>
      </c>
      <c r="H109">
        <v>0.8</v>
      </c>
      <c r="I109">
        <v>0.19999998999999999</v>
      </c>
      <c r="J109">
        <v>0.55555560000000004</v>
      </c>
    </row>
    <row r="110" spans="1:10" x14ac:dyDescent="0.3">
      <c r="A110">
        <v>108</v>
      </c>
      <c r="B110">
        <v>1741</v>
      </c>
      <c r="C110" t="b">
        <v>1</v>
      </c>
      <c r="D110">
        <v>8048</v>
      </c>
      <c r="E110">
        <v>8123</v>
      </c>
      <c r="F110">
        <v>6.4</v>
      </c>
      <c r="G110">
        <v>8</v>
      </c>
      <c r="H110">
        <v>0.8</v>
      </c>
      <c r="I110">
        <v>0.19999998999999999</v>
      </c>
      <c r="J110">
        <v>0.55555560000000004</v>
      </c>
    </row>
    <row r="111" spans="1:10" x14ac:dyDescent="0.3">
      <c r="A111">
        <v>109</v>
      </c>
      <c r="B111">
        <v>1757</v>
      </c>
      <c r="C111" t="b">
        <v>1</v>
      </c>
      <c r="D111">
        <v>8048</v>
      </c>
      <c r="E111">
        <v>8123</v>
      </c>
      <c r="F111">
        <v>6.4</v>
      </c>
      <c r="G111">
        <v>8</v>
      </c>
      <c r="H111">
        <v>0.8</v>
      </c>
      <c r="I111">
        <v>0.19999998999999999</v>
      </c>
      <c r="J111">
        <v>0.55555560000000004</v>
      </c>
    </row>
    <row r="112" spans="1:10" x14ac:dyDescent="0.3">
      <c r="A112">
        <v>110</v>
      </c>
      <c r="B112">
        <v>1773</v>
      </c>
      <c r="C112" t="b">
        <v>1</v>
      </c>
      <c r="D112">
        <v>8042</v>
      </c>
      <c r="E112">
        <v>8123</v>
      </c>
      <c r="F112">
        <v>6.4</v>
      </c>
      <c r="G112">
        <v>8</v>
      </c>
      <c r="H112">
        <v>0.8</v>
      </c>
      <c r="I112">
        <v>0.19999998999999999</v>
      </c>
      <c r="J112">
        <v>0.55555560000000004</v>
      </c>
    </row>
    <row r="113" spans="1:10" x14ac:dyDescent="0.3">
      <c r="A113">
        <v>111</v>
      </c>
      <c r="B113">
        <v>1789</v>
      </c>
      <c r="C113" t="b">
        <v>1</v>
      </c>
      <c r="D113">
        <v>8048</v>
      </c>
      <c r="E113">
        <v>8123</v>
      </c>
      <c r="F113">
        <v>6.4</v>
      </c>
      <c r="G113">
        <v>8</v>
      </c>
      <c r="H113">
        <v>0.8</v>
      </c>
      <c r="I113">
        <v>0.19999998999999999</v>
      </c>
      <c r="J113">
        <v>0.55555560000000004</v>
      </c>
    </row>
    <row r="114" spans="1:10" x14ac:dyDescent="0.3">
      <c r="A114">
        <v>112</v>
      </c>
      <c r="B114">
        <v>1805</v>
      </c>
      <c r="C114" t="b">
        <v>1</v>
      </c>
      <c r="D114">
        <v>8048</v>
      </c>
      <c r="E114">
        <v>8123</v>
      </c>
      <c r="F114">
        <v>6.8</v>
      </c>
      <c r="G114">
        <v>8</v>
      </c>
      <c r="H114">
        <v>0.85</v>
      </c>
      <c r="I114">
        <v>0.14999998</v>
      </c>
      <c r="J114">
        <v>0.54054049999999998</v>
      </c>
    </row>
    <row r="115" spans="1:10" x14ac:dyDescent="0.3">
      <c r="A115">
        <v>113</v>
      </c>
      <c r="B115">
        <v>1820</v>
      </c>
      <c r="C115" t="b">
        <v>1</v>
      </c>
      <c r="D115">
        <v>8048</v>
      </c>
      <c r="E115">
        <v>8123</v>
      </c>
      <c r="F115">
        <v>7.2</v>
      </c>
      <c r="G115">
        <v>8</v>
      </c>
      <c r="H115">
        <v>0.9</v>
      </c>
      <c r="I115">
        <v>0.10000002400000001</v>
      </c>
      <c r="J115">
        <v>0.5263158</v>
      </c>
    </row>
    <row r="116" spans="1:10" x14ac:dyDescent="0.3">
      <c r="A116">
        <v>114</v>
      </c>
      <c r="B116">
        <v>1836</v>
      </c>
      <c r="C116" t="b">
        <v>1</v>
      </c>
      <c r="D116">
        <v>8048</v>
      </c>
      <c r="E116">
        <v>8123</v>
      </c>
      <c r="F116">
        <v>7.6</v>
      </c>
      <c r="G116">
        <v>8</v>
      </c>
      <c r="H116">
        <v>0.95</v>
      </c>
      <c r="I116">
        <v>5.0000012000000003E-2</v>
      </c>
      <c r="J116">
        <v>0.51282050000000001</v>
      </c>
    </row>
    <row r="117" spans="1:10" x14ac:dyDescent="0.3">
      <c r="A117">
        <v>115</v>
      </c>
      <c r="B117">
        <v>1852</v>
      </c>
      <c r="C117" t="b">
        <v>1</v>
      </c>
      <c r="D117">
        <v>8048</v>
      </c>
      <c r="E117">
        <v>8123</v>
      </c>
      <c r="F117">
        <v>8</v>
      </c>
      <c r="G117">
        <v>8</v>
      </c>
      <c r="H117">
        <v>1</v>
      </c>
      <c r="I117">
        <v>0</v>
      </c>
      <c r="J117">
        <v>0.5</v>
      </c>
    </row>
    <row r="118" spans="1:10" x14ac:dyDescent="0.3">
      <c r="A118">
        <v>116</v>
      </c>
      <c r="B118">
        <v>1868</v>
      </c>
      <c r="C118" t="b">
        <v>1</v>
      </c>
      <c r="D118">
        <v>8048</v>
      </c>
      <c r="E118">
        <v>8123</v>
      </c>
      <c r="F118">
        <v>8</v>
      </c>
      <c r="G118">
        <v>8</v>
      </c>
      <c r="H118">
        <v>1</v>
      </c>
      <c r="I118">
        <v>0</v>
      </c>
      <c r="J118">
        <v>0.5</v>
      </c>
    </row>
    <row r="119" spans="1:10" x14ac:dyDescent="0.3">
      <c r="A119">
        <v>117</v>
      </c>
      <c r="B119">
        <v>1883</v>
      </c>
      <c r="C119" t="b">
        <v>1</v>
      </c>
      <c r="D119">
        <v>8048</v>
      </c>
      <c r="E119">
        <v>8123</v>
      </c>
      <c r="F119">
        <v>8</v>
      </c>
      <c r="G119">
        <v>8</v>
      </c>
      <c r="H119">
        <v>1</v>
      </c>
      <c r="I119">
        <v>0</v>
      </c>
      <c r="J119">
        <v>0.5</v>
      </c>
    </row>
    <row r="120" spans="1:10" x14ac:dyDescent="0.3">
      <c r="A120">
        <v>118</v>
      </c>
      <c r="B120">
        <v>1899</v>
      </c>
      <c r="C120" t="b">
        <v>1</v>
      </c>
      <c r="D120">
        <v>8048</v>
      </c>
      <c r="E120">
        <v>8129</v>
      </c>
      <c r="F120">
        <v>8</v>
      </c>
      <c r="G120">
        <v>8</v>
      </c>
      <c r="H120">
        <v>1</v>
      </c>
      <c r="I120">
        <v>0</v>
      </c>
      <c r="J120">
        <v>0.5</v>
      </c>
    </row>
    <row r="121" spans="1:10" x14ac:dyDescent="0.3">
      <c r="A121">
        <v>119</v>
      </c>
      <c r="B121">
        <v>1915</v>
      </c>
      <c r="C121" t="b">
        <v>1</v>
      </c>
      <c r="D121">
        <v>8048</v>
      </c>
      <c r="E121">
        <v>8123</v>
      </c>
      <c r="F121">
        <v>8</v>
      </c>
      <c r="G121">
        <v>8</v>
      </c>
      <c r="H121">
        <v>1</v>
      </c>
      <c r="I121">
        <v>0</v>
      </c>
      <c r="J121">
        <v>0.5</v>
      </c>
    </row>
    <row r="122" spans="1:10" x14ac:dyDescent="0.3">
      <c r="A122">
        <v>120</v>
      </c>
      <c r="B122">
        <v>1931</v>
      </c>
      <c r="C122" t="b">
        <v>1</v>
      </c>
      <c r="D122">
        <v>8048</v>
      </c>
      <c r="E122">
        <v>8123</v>
      </c>
      <c r="F122">
        <v>8</v>
      </c>
      <c r="G122">
        <v>8</v>
      </c>
      <c r="H122">
        <v>1</v>
      </c>
      <c r="I122">
        <v>0</v>
      </c>
      <c r="J122">
        <v>0.5</v>
      </c>
    </row>
    <row r="123" spans="1:10" x14ac:dyDescent="0.3">
      <c r="A123">
        <v>121</v>
      </c>
      <c r="B123">
        <v>1947</v>
      </c>
      <c r="C123" t="b">
        <v>1</v>
      </c>
      <c r="D123">
        <v>8048</v>
      </c>
      <c r="E123">
        <v>8123</v>
      </c>
      <c r="F123">
        <v>8</v>
      </c>
      <c r="G123">
        <v>8</v>
      </c>
      <c r="H123">
        <v>1</v>
      </c>
      <c r="I123">
        <v>0</v>
      </c>
      <c r="J123">
        <v>0.5</v>
      </c>
    </row>
    <row r="124" spans="1:10" x14ac:dyDescent="0.3">
      <c r="A124">
        <v>122</v>
      </c>
      <c r="B124">
        <v>1963</v>
      </c>
      <c r="C124" t="b">
        <v>1</v>
      </c>
      <c r="D124">
        <v>8048</v>
      </c>
      <c r="E124">
        <v>8123</v>
      </c>
      <c r="F124">
        <v>8</v>
      </c>
      <c r="G124">
        <v>8</v>
      </c>
      <c r="H124">
        <v>1</v>
      </c>
      <c r="I124">
        <v>0</v>
      </c>
      <c r="J124">
        <v>0.5</v>
      </c>
    </row>
    <row r="125" spans="1:10" x14ac:dyDescent="0.3">
      <c r="A125">
        <v>123</v>
      </c>
      <c r="B125">
        <v>1979</v>
      </c>
      <c r="C125" t="b">
        <v>1</v>
      </c>
      <c r="D125">
        <v>8048</v>
      </c>
      <c r="E125">
        <v>8123</v>
      </c>
      <c r="F125">
        <v>8</v>
      </c>
      <c r="G125">
        <v>8</v>
      </c>
      <c r="H125">
        <v>1</v>
      </c>
      <c r="I125">
        <v>0</v>
      </c>
      <c r="J125">
        <v>0.5</v>
      </c>
    </row>
    <row r="126" spans="1:10" x14ac:dyDescent="0.3">
      <c r="A126">
        <v>124</v>
      </c>
      <c r="B126">
        <v>1995</v>
      </c>
      <c r="C126" t="b">
        <v>1</v>
      </c>
      <c r="D126">
        <v>8048</v>
      </c>
      <c r="E126">
        <v>8129</v>
      </c>
      <c r="F126">
        <v>8</v>
      </c>
      <c r="G126">
        <v>8</v>
      </c>
      <c r="H126">
        <v>1</v>
      </c>
      <c r="I126">
        <v>0</v>
      </c>
      <c r="J126">
        <v>0.5</v>
      </c>
    </row>
    <row r="127" spans="1:10" x14ac:dyDescent="0.3">
      <c r="A127">
        <v>125</v>
      </c>
      <c r="B127">
        <v>2011</v>
      </c>
      <c r="C127" t="b">
        <v>1</v>
      </c>
      <c r="D127">
        <v>8048</v>
      </c>
      <c r="E127">
        <v>8129</v>
      </c>
      <c r="F127">
        <v>8</v>
      </c>
      <c r="G127">
        <v>8</v>
      </c>
      <c r="H127">
        <v>1</v>
      </c>
      <c r="I127">
        <v>0</v>
      </c>
      <c r="J127">
        <v>0.5</v>
      </c>
    </row>
    <row r="128" spans="1:10" x14ac:dyDescent="0.3">
      <c r="A128">
        <v>126</v>
      </c>
      <c r="B128">
        <v>2027</v>
      </c>
      <c r="C128" t="b">
        <v>1</v>
      </c>
      <c r="D128">
        <v>8048</v>
      </c>
      <c r="E128">
        <v>8123</v>
      </c>
      <c r="F128">
        <v>8</v>
      </c>
      <c r="G128">
        <v>8</v>
      </c>
      <c r="H128">
        <v>1</v>
      </c>
      <c r="I128">
        <v>0</v>
      </c>
      <c r="J128">
        <v>0.5</v>
      </c>
    </row>
    <row r="129" spans="1:10" x14ac:dyDescent="0.3">
      <c r="A129">
        <v>127</v>
      </c>
      <c r="B129">
        <v>2043</v>
      </c>
      <c r="C129" t="b">
        <v>1</v>
      </c>
      <c r="D129">
        <v>8048</v>
      </c>
      <c r="E129">
        <v>8123</v>
      </c>
      <c r="F129">
        <v>8</v>
      </c>
      <c r="G129">
        <v>8</v>
      </c>
      <c r="H129">
        <v>1</v>
      </c>
      <c r="I129">
        <v>0</v>
      </c>
      <c r="J129">
        <v>0.5</v>
      </c>
    </row>
    <row r="130" spans="1:10" x14ac:dyDescent="0.3">
      <c r="A130">
        <v>128</v>
      </c>
      <c r="B130">
        <v>2059</v>
      </c>
      <c r="C130" t="b">
        <v>1</v>
      </c>
      <c r="D130">
        <v>8048</v>
      </c>
      <c r="E130">
        <v>8123</v>
      </c>
      <c r="F130">
        <v>8</v>
      </c>
      <c r="G130">
        <v>8</v>
      </c>
      <c r="H130">
        <v>1</v>
      </c>
      <c r="I130">
        <v>0</v>
      </c>
      <c r="J130">
        <v>0.5</v>
      </c>
    </row>
    <row r="131" spans="1:10" x14ac:dyDescent="0.3">
      <c r="A131">
        <v>129</v>
      </c>
      <c r="B131">
        <v>2075</v>
      </c>
      <c r="C131" t="b">
        <v>1</v>
      </c>
      <c r="D131">
        <v>8048</v>
      </c>
      <c r="E131">
        <v>8123</v>
      </c>
      <c r="F131">
        <v>8</v>
      </c>
      <c r="G131">
        <v>8</v>
      </c>
      <c r="H131">
        <v>1</v>
      </c>
      <c r="I131">
        <v>0</v>
      </c>
      <c r="J131">
        <v>0.5</v>
      </c>
    </row>
    <row r="132" spans="1:10" x14ac:dyDescent="0.3">
      <c r="A132">
        <v>130</v>
      </c>
      <c r="B132">
        <v>2091</v>
      </c>
      <c r="C132" t="b">
        <v>1</v>
      </c>
      <c r="D132">
        <v>8042</v>
      </c>
      <c r="E132">
        <v>8123</v>
      </c>
      <c r="F132">
        <v>8</v>
      </c>
      <c r="G132">
        <v>8</v>
      </c>
      <c r="H132">
        <v>1</v>
      </c>
      <c r="I132">
        <v>0</v>
      </c>
      <c r="J132">
        <v>0.5</v>
      </c>
    </row>
    <row r="133" spans="1:10" x14ac:dyDescent="0.3">
      <c r="A133">
        <v>131</v>
      </c>
      <c r="B133">
        <v>2106</v>
      </c>
      <c r="C133" t="b">
        <v>1</v>
      </c>
      <c r="D133">
        <v>8048</v>
      </c>
      <c r="E133">
        <v>8123</v>
      </c>
      <c r="F133">
        <v>8</v>
      </c>
      <c r="G133">
        <v>8</v>
      </c>
      <c r="H133">
        <v>1</v>
      </c>
      <c r="I133">
        <v>0</v>
      </c>
      <c r="J133">
        <v>0.5</v>
      </c>
    </row>
    <row r="134" spans="1:10" x14ac:dyDescent="0.3">
      <c r="A134">
        <v>132</v>
      </c>
      <c r="B134">
        <v>2122</v>
      </c>
      <c r="C134" t="b">
        <v>1</v>
      </c>
      <c r="D134">
        <v>8048</v>
      </c>
      <c r="E134">
        <v>8123</v>
      </c>
      <c r="F134">
        <v>8</v>
      </c>
      <c r="G134">
        <v>8</v>
      </c>
      <c r="H134">
        <v>1</v>
      </c>
      <c r="I134">
        <v>0</v>
      </c>
      <c r="J134">
        <v>0.5</v>
      </c>
    </row>
    <row r="135" spans="1:10" x14ac:dyDescent="0.3">
      <c r="A135">
        <v>133</v>
      </c>
      <c r="B135">
        <v>2138</v>
      </c>
      <c r="C135" t="b">
        <v>1</v>
      </c>
      <c r="D135">
        <v>8048</v>
      </c>
      <c r="E135">
        <v>8123</v>
      </c>
      <c r="F135">
        <v>8</v>
      </c>
      <c r="G135">
        <v>8</v>
      </c>
      <c r="H135">
        <v>1</v>
      </c>
      <c r="I135">
        <v>0</v>
      </c>
      <c r="J135">
        <v>0.5</v>
      </c>
    </row>
    <row r="136" spans="1:10" x14ac:dyDescent="0.3">
      <c r="A136">
        <v>134</v>
      </c>
      <c r="B136">
        <v>2154</v>
      </c>
      <c r="C136" t="b">
        <v>1</v>
      </c>
      <c r="D136">
        <v>8048</v>
      </c>
      <c r="E136">
        <v>8123</v>
      </c>
      <c r="F136">
        <v>8</v>
      </c>
      <c r="G136">
        <v>8</v>
      </c>
      <c r="H136">
        <v>1</v>
      </c>
      <c r="I136">
        <v>0</v>
      </c>
      <c r="J136">
        <v>0.5</v>
      </c>
    </row>
    <row r="137" spans="1:10" x14ac:dyDescent="0.3">
      <c r="A137">
        <v>135</v>
      </c>
      <c r="B137">
        <v>2170</v>
      </c>
      <c r="C137" t="b">
        <v>1</v>
      </c>
      <c r="D137">
        <v>8048</v>
      </c>
      <c r="E137">
        <v>8123</v>
      </c>
      <c r="F137">
        <v>8</v>
      </c>
      <c r="G137">
        <v>8</v>
      </c>
      <c r="H137">
        <v>1</v>
      </c>
      <c r="I137">
        <v>0</v>
      </c>
      <c r="J137">
        <v>0.5</v>
      </c>
    </row>
    <row r="138" spans="1:10" x14ac:dyDescent="0.3">
      <c r="A138">
        <v>136</v>
      </c>
      <c r="B138">
        <v>2186</v>
      </c>
      <c r="C138" t="b">
        <v>1</v>
      </c>
      <c r="D138">
        <v>8048</v>
      </c>
      <c r="E138">
        <v>8123</v>
      </c>
      <c r="F138">
        <v>8</v>
      </c>
      <c r="G138">
        <v>8</v>
      </c>
      <c r="H138">
        <v>1</v>
      </c>
      <c r="I138">
        <v>0</v>
      </c>
      <c r="J138">
        <v>0.5</v>
      </c>
    </row>
    <row r="139" spans="1:10" x14ac:dyDescent="0.3">
      <c r="A139">
        <v>137</v>
      </c>
      <c r="B139">
        <v>2202</v>
      </c>
      <c r="C139" t="b">
        <v>1</v>
      </c>
      <c r="D139">
        <v>8048</v>
      </c>
      <c r="E139">
        <v>8123</v>
      </c>
      <c r="F139">
        <v>8</v>
      </c>
      <c r="G139">
        <v>8</v>
      </c>
      <c r="H139">
        <v>1</v>
      </c>
      <c r="I139">
        <v>0</v>
      </c>
      <c r="J139">
        <v>0.5</v>
      </c>
    </row>
    <row r="140" spans="1:10" x14ac:dyDescent="0.3">
      <c r="A140">
        <v>138</v>
      </c>
      <c r="B140">
        <v>2218</v>
      </c>
      <c r="C140" t="b">
        <v>1</v>
      </c>
      <c r="D140">
        <v>8048</v>
      </c>
      <c r="E140">
        <v>8123</v>
      </c>
      <c r="F140">
        <v>8</v>
      </c>
      <c r="G140">
        <v>8</v>
      </c>
      <c r="H140">
        <v>1</v>
      </c>
      <c r="I140">
        <v>0</v>
      </c>
      <c r="J140">
        <v>0.5</v>
      </c>
    </row>
    <row r="141" spans="1:10" x14ac:dyDescent="0.3">
      <c r="A141">
        <v>139</v>
      </c>
      <c r="B141">
        <v>2234</v>
      </c>
      <c r="C141" t="b">
        <v>1</v>
      </c>
      <c r="D141">
        <v>8048</v>
      </c>
      <c r="E141">
        <v>8123</v>
      </c>
      <c r="F141">
        <v>8</v>
      </c>
      <c r="G141">
        <v>8</v>
      </c>
      <c r="H141">
        <v>1</v>
      </c>
      <c r="I141">
        <v>0</v>
      </c>
      <c r="J141">
        <v>0.5</v>
      </c>
    </row>
    <row r="142" spans="1:10" x14ac:dyDescent="0.3">
      <c r="A142">
        <v>140</v>
      </c>
      <c r="B142">
        <v>2250</v>
      </c>
      <c r="C142" t="b">
        <v>1</v>
      </c>
      <c r="D142">
        <v>8048</v>
      </c>
      <c r="E142">
        <v>8123</v>
      </c>
      <c r="F142">
        <v>8</v>
      </c>
      <c r="G142">
        <v>8</v>
      </c>
      <c r="H142">
        <v>1</v>
      </c>
      <c r="I142">
        <v>0</v>
      </c>
      <c r="J142">
        <v>0.5</v>
      </c>
    </row>
    <row r="143" spans="1:10" x14ac:dyDescent="0.3">
      <c r="A143">
        <v>141</v>
      </c>
      <c r="B143">
        <v>2266</v>
      </c>
      <c r="C143" t="b">
        <v>1</v>
      </c>
      <c r="D143">
        <v>8048</v>
      </c>
      <c r="E143">
        <v>8123</v>
      </c>
      <c r="F143">
        <v>8</v>
      </c>
      <c r="G143">
        <v>8</v>
      </c>
      <c r="H143">
        <v>1</v>
      </c>
      <c r="I143">
        <v>0</v>
      </c>
      <c r="J143">
        <v>0.5</v>
      </c>
    </row>
    <row r="144" spans="1:10" x14ac:dyDescent="0.3">
      <c r="A144">
        <v>142</v>
      </c>
      <c r="B144">
        <v>2281</v>
      </c>
      <c r="C144" t="b">
        <v>1</v>
      </c>
      <c r="D144">
        <v>8048</v>
      </c>
      <c r="E144">
        <v>8123</v>
      </c>
      <c r="F144">
        <v>8</v>
      </c>
      <c r="G144">
        <v>8</v>
      </c>
      <c r="H144">
        <v>1</v>
      </c>
      <c r="I144">
        <v>0</v>
      </c>
      <c r="J144">
        <v>0.5</v>
      </c>
    </row>
    <row r="145" spans="1:10" x14ac:dyDescent="0.3">
      <c r="A145">
        <v>143</v>
      </c>
      <c r="B145">
        <v>2297</v>
      </c>
      <c r="C145" t="b">
        <v>1</v>
      </c>
      <c r="D145">
        <v>8048</v>
      </c>
      <c r="E145">
        <v>8123</v>
      </c>
      <c r="F145">
        <v>8</v>
      </c>
      <c r="G145">
        <v>8</v>
      </c>
      <c r="H145">
        <v>1</v>
      </c>
      <c r="I145">
        <v>0</v>
      </c>
      <c r="J145">
        <v>0.5</v>
      </c>
    </row>
    <row r="146" spans="1:10" x14ac:dyDescent="0.3">
      <c r="A146">
        <v>144</v>
      </c>
      <c r="B146">
        <v>2313</v>
      </c>
      <c r="C146" t="b">
        <v>1</v>
      </c>
      <c r="D146">
        <v>8054</v>
      </c>
      <c r="E146">
        <v>8123</v>
      </c>
      <c r="F146">
        <v>8</v>
      </c>
      <c r="G146">
        <v>8</v>
      </c>
      <c r="H146">
        <v>1</v>
      </c>
      <c r="I146">
        <v>0</v>
      </c>
      <c r="J146">
        <v>0.5</v>
      </c>
    </row>
    <row r="147" spans="1:10" x14ac:dyDescent="0.3">
      <c r="A147">
        <v>145</v>
      </c>
      <c r="B147">
        <v>2329</v>
      </c>
      <c r="C147" t="b">
        <v>1</v>
      </c>
      <c r="D147">
        <v>8054</v>
      </c>
      <c r="E147">
        <v>8123</v>
      </c>
      <c r="F147">
        <v>8</v>
      </c>
      <c r="G147">
        <v>8</v>
      </c>
      <c r="H147">
        <v>1</v>
      </c>
      <c r="I147">
        <v>0</v>
      </c>
      <c r="J147">
        <v>0.5</v>
      </c>
    </row>
    <row r="148" spans="1:10" x14ac:dyDescent="0.3">
      <c r="A148">
        <v>146</v>
      </c>
      <c r="B148">
        <v>2345</v>
      </c>
      <c r="C148" t="b">
        <v>1</v>
      </c>
      <c r="D148">
        <v>8054</v>
      </c>
      <c r="E148">
        <v>8129</v>
      </c>
      <c r="F148">
        <v>8.4</v>
      </c>
      <c r="G148">
        <v>8</v>
      </c>
      <c r="H148">
        <v>1.05</v>
      </c>
      <c r="I148">
        <v>-4.9999952E-2</v>
      </c>
      <c r="J148">
        <v>0.48780489999999999</v>
      </c>
    </row>
    <row r="149" spans="1:10" x14ac:dyDescent="0.3">
      <c r="A149">
        <v>147</v>
      </c>
      <c r="B149">
        <v>2361</v>
      </c>
      <c r="C149" t="b">
        <v>1</v>
      </c>
      <c r="D149">
        <v>8054</v>
      </c>
      <c r="E149">
        <v>8129</v>
      </c>
      <c r="F149">
        <v>8.8000000000000007</v>
      </c>
      <c r="G149">
        <v>8</v>
      </c>
      <c r="H149">
        <v>1.1000000000000001</v>
      </c>
      <c r="I149">
        <v>-0.10000002400000001</v>
      </c>
      <c r="J149">
        <v>0.47619050000000002</v>
      </c>
    </row>
    <row r="150" spans="1:10" x14ac:dyDescent="0.3">
      <c r="A150">
        <v>148</v>
      </c>
      <c r="B150">
        <v>2377</v>
      </c>
      <c r="C150" t="b">
        <v>1</v>
      </c>
      <c r="D150">
        <v>8054</v>
      </c>
      <c r="E150">
        <v>8123</v>
      </c>
      <c r="F150">
        <v>9.1999999999999993</v>
      </c>
      <c r="G150">
        <v>8</v>
      </c>
      <c r="H150">
        <v>1.1499999999999999</v>
      </c>
      <c r="I150">
        <v>-0.14999998</v>
      </c>
      <c r="J150">
        <v>0.46511626</v>
      </c>
    </row>
    <row r="151" spans="1:10" x14ac:dyDescent="0.3">
      <c r="A151">
        <v>149</v>
      </c>
      <c r="B151">
        <v>2393</v>
      </c>
      <c r="C151" t="b">
        <v>1</v>
      </c>
      <c r="D151">
        <v>8060</v>
      </c>
      <c r="E151">
        <v>8123</v>
      </c>
      <c r="F151">
        <v>9.6</v>
      </c>
      <c r="G151">
        <v>8</v>
      </c>
      <c r="H151">
        <v>1.2</v>
      </c>
      <c r="I151">
        <v>-0.20000005000000001</v>
      </c>
      <c r="J151">
        <v>0.45454544000000002</v>
      </c>
    </row>
    <row r="152" spans="1:10" x14ac:dyDescent="0.3">
      <c r="A152">
        <v>150</v>
      </c>
      <c r="B152">
        <v>2409</v>
      </c>
      <c r="C152" t="b">
        <v>1</v>
      </c>
      <c r="D152">
        <v>8042</v>
      </c>
      <c r="E152">
        <v>8123</v>
      </c>
      <c r="F152">
        <v>10</v>
      </c>
      <c r="G152">
        <v>8</v>
      </c>
      <c r="H152">
        <v>1.25</v>
      </c>
      <c r="I152">
        <v>-0.25</v>
      </c>
      <c r="J152">
        <v>0.44444444999999999</v>
      </c>
    </row>
    <row r="153" spans="1:10" x14ac:dyDescent="0.3">
      <c r="A153">
        <v>151</v>
      </c>
      <c r="B153">
        <v>2426</v>
      </c>
      <c r="C153" t="b">
        <v>1</v>
      </c>
      <c r="D153">
        <v>8042</v>
      </c>
      <c r="E153">
        <v>8123</v>
      </c>
      <c r="F153">
        <v>10.4</v>
      </c>
      <c r="G153">
        <v>8</v>
      </c>
      <c r="H153">
        <v>1.3</v>
      </c>
      <c r="I153">
        <v>-0.29999995000000002</v>
      </c>
      <c r="J153">
        <v>0.43478262000000001</v>
      </c>
    </row>
    <row r="154" spans="1:10" x14ac:dyDescent="0.3">
      <c r="A154">
        <v>152</v>
      </c>
      <c r="B154">
        <v>2441</v>
      </c>
      <c r="C154" t="b">
        <v>1</v>
      </c>
      <c r="D154">
        <v>8042</v>
      </c>
      <c r="E154">
        <v>8123</v>
      </c>
      <c r="F154">
        <v>10</v>
      </c>
      <c r="G154">
        <v>8</v>
      </c>
      <c r="H154">
        <v>1.25</v>
      </c>
      <c r="I154">
        <v>-0.25</v>
      </c>
      <c r="J154">
        <v>0.44444444999999999</v>
      </c>
    </row>
    <row r="155" spans="1:10" x14ac:dyDescent="0.3">
      <c r="A155">
        <v>153</v>
      </c>
      <c r="B155">
        <v>2457</v>
      </c>
      <c r="C155" t="b">
        <v>1</v>
      </c>
      <c r="D155">
        <v>8042</v>
      </c>
      <c r="E155">
        <v>8123</v>
      </c>
      <c r="F155">
        <v>9.6</v>
      </c>
      <c r="G155">
        <v>8</v>
      </c>
      <c r="H155">
        <v>1.2</v>
      </c>
      <c r="I155">
        <v>-0.20000005000000001</v>
      </c>
      <c r="J155">
        <v>0.45454544000000002</v>
      </c>
    </row>
    <row r="156" spans="1:10" x14ac:dyDescent="0.3">
      <c r="A156">
        <v>154</v>
      </c>
      <c r="B156">
        <v>2473</v>
      </c>
      <c r="C156" t="b">
        <v>1</v>
      </c>
      <c r="D156">
        <v>8042</v>
      </c>
      <c r="E156">
        <v>8123</v>
      </c>
      <c r="F156">
        <v>9.1999999999999993</v>
      </c>
      <c r="G156">
        <v>8</v>
      </c>
      <c r="H156">
        <v>1.1499999999999999</v>
      </c>
      <c r="I156">
        <v>-0.14999998</v>
      </c>
      <c r="J156">
        <v>0.46511626</v>
      </c>
    </row>
    <row r="157" spans="1:10" x14ac:dyDescent="0.3">
      <c r="A157">
        <v>155</v>
      </c>
      <c r="B157">
        <v>2489</v>
      </c>
      <c r="C157" t="b">
        <v>1</v>
      </c>
      <c r="D157">
        <v>8042</v>
      </c>
      <c r="E157">
        <v>8123</v>
      </c>
      <c r="F157">
        <v>8.8000000000000007</v>
      </c>
      <c r="G157">
        <v>8</v>
      </c>
      <c r="H157">
        <v>1.1000000000000001</v>
      </c>
      <c r="I157">
        <v>-0.10000002400000001</v>
      </c>
      <c r="J157">
        <v>0.47619050000000002</v>
      </c>
    </row>
    <row r="158" spans="1:10" x14ac:dyDescent="0.3">
      <c r="A158">
        <v>156</v>
      </c>
      <c r="B158">
        <v>2505</v>
      </c>
      <c r="C158" t="b">
        <v>1</v>
      </c>
      <c r="D158">
        <v>8042</v>
      </c>
      <c r="E158">
        <v>8123</v>
      </c>
      <c r="F158">
        <v>8.4</v>
      </c>
      <c r="G158">
        <v>8</v>
      </c>
      <c r="H158">
        <v>1.05</v>
      </c>
      <c r="I158">
        <v>-4.9999952E-2</v>
      </c>
      <c r="J158">
        <v>0.48780489999999999</v>
      </c>
    </row>
    <row r="159" spans="1:10" x14ac:dyDescent="0.3">
      <c r="A159">
        <v>157</v>
      </c>
      <c r="B159">
        <v>2521</v>
      </c>
      <c r="C159" t="b">
        <v>1</v>
      </c>
      <c r="D159">
        <v>8048</v>
      </c>
      <c r="E159">
        <v>8129</v>
      </c>
      <c r="F159">
        <v>8</v>
      </c>
      <c r="G159">
        <v>8</v>
      </c>
      <c r="H159">
        <v>1</v>
      </c>
      <c r="I159">
        <v>0</v>
      </c>
      <c r="J159">
        <v>0.5</v>
      </c>
    </row>
    <row r="160" spans="1:10" x14ac:dyDescent="0.3">
      <c r="A160">
        <v>158</v>
      </c>
      <c r="B160">
        <v>2537</v>
      </c>
      <c r="C160" t="b">
        <v>1</v>
      </c>
      <c r="D160">
        <v>8048</v>
      </c>
      <c r="E160">
        <v>8129</v>
      </c>
      <c r="F160">
        <v>7.6</v>
      </c>
      <c r="G160">
        <v>8</v>
      </c>
      <c r="H160">
        <v>0.95</v>
      </c>
      <c r="I160">
        <v>5.0000012000000003E-2</v>
      </c>
      <c r="J160">
        <v>0.51282050000000001</v>
      </c>
    </row>
    <row r="161" spans="1:10" x14ac:dyDescent="0.3">
      <c r="A161">
        <v>159</v>
      </c>
      <c r="B161">
        <v>2552</v>
      </c>
      <c r="C161" t="b">
        <v>1</v>
      </c>
      <c r="D161">
        <v>8048</v>
      </c>
      <c r="E161">
        <v>8123</v>
      </c>
      <c r="F161">
        <v>7.6</v>
      </c>
      <c r="G161">
        <v>8</v>
      </c>
      <c r="H161">
        <v>0.95</v>
      </c>
      <c r="I161">
        <v>5.0000012000000003E-2</v>
      </c>
      <c r="J161">
        <v>0.51282050000000001</v>
      </c>
    </row>
    <row r="162" spans="1:10" x14ac:dyDescent="0.3">
      <c r="A162">
        <v>160</v>
      </c>
      <c r="B162">
        <v>2568</v>
      </c>
      <c r="C162" t="b">
        <v>1</v>
      </c>
      <c r="D162">
        <v>8048</v>
      </c>
      <c r="E162">
        <v>8123</v>
      </c>
      <c r="F162">
        <v>7.6</v>
      </c>
      <c r="G162">
        <v>8</v>
      </c>
      <c r="H162">
        <v>0.95</v>
      </c>
      <c r="I162">
        <v>5.0000012000000003E-2</v>
      </c>
      <c r="J162">
        <v>0.51282050000000001</v>
      </c>
    </row>
    <row r="163" spans="1:10" x14ac:dyDescent="0.3">
      <c r="A163">
        <v>161</v>
      </c>
      <c r="B163">
        <v>2584</v>
      </c>
      <c r="C163" t="b">
        <v>1</v>
      </c>
      <c r="D163">
        <v>8048</v>
      </c>
      <c r="E163">
        <v>8129</v>
      </c>
      <c r="F163">
        <v>7.2</v>
      </c>
      <c r="G163">
        <v>8.4</v>
      </c>
      <c r="H163">
        <v>0.85714287</v>
      </c>
      <c r="I163">
        <v>0.14285712</v>
      </c>
      <c r="J163">
        <v>0.53846150000000004</v>
      </c>
    </row>
    <row r="164" spans="1:10" x14ac:dyDescent="0.3">
      <c r="A164">
        <v>162</v>
      </c>
      <c r="B164">
        <v>2600</v>
      </c>
      <c r="C164" t="b">
        <v>1</v>
      </c>
      <c r="D164">
        <v>8048</v>
      </c>
      <c r="E164">
        <v>8123</v>
      </c>
      <c r="F164">
        <v>6.8</v>
      </c>
      <c r="G164">
        <v>8.4</v>
      </c>
      <c r="H164">
        <v>0.80952389999999996</v>
      </c>
      <c r="I164">
        <v>0.19047612999999999</v>
      </c>
      <c r="J164">
        <v>0.55263156000000002</v>
      </c>
    </row>
    <row r="165" spans="1:10" x14ac:dyDescent="0.3">
      <c r="A165">
        <v>163</v>
      </c>
      <c r="B165">
        <v>2616</v>
      </c>
      <c r="C165" t="b">
        <v>1</v>
      </c>
      <c r="D165">
        <v>8048</v>
      </c>
      <c r="E165">
        <v>8123</v>
      </c>
      <c r="F165">
        <v>6.4</v>
      </c>
      <c r="G165">
        <v>8.4</v>
      </c>
      <c r="H165">
        <v>0.76190484000000003</v>
      </c>
      <c r="I165">
        <v>0.23809520000000001</v>
      </c>
      <c r="J165">
        <v>0.56756759999999995</v>
      </c>
    </row>
    <row r="166" spans="1:10" x14ac:dyDescent="0.3">
      <c r="A166">
        <v>164</v>
      </c>
      <c r="B166">
        <v>2632</v>
      </c>
      <c r="C166" t="b">
        <v>1</v>
      </c>
      <c r="D166">
        <v>8048</v>
      </c>
      <c r="E166">
        <v>8123</v>
      </c>
      <c r="F166">
        <v>6</v>
      </c>
      <c r="G166">
        <v>8.4</v>
      </c>
      <c r="H166">
        <v>0.71428572999999995</v>
      </c>
      <c r="I166">
        <v>0.28571424000000001</v>
      </c>
      <c r="J166">
        <v>0.58333330000000005</v>
      </c>
    </row>
    <row r="167" spans="1:10" x14ac:dyDescent="0.3">
      <c r="A167">
        <v>165</v>
      </c>
      <c r="B167">
        <v>2648</v>
      </c>
      <c r="C167" t="b">
        <v>1</v>
      </c>
      <c r="D167">
        <v>8048</v>
      </c>
      <c r="E167">
        <v>8129</v>
      </c>
      <c r="F167">
        <v>5.6</v>
      </c>
      <c r="G167">
        <v>8.4</v>
      </c>
      <c r="H167">
        <v>0.66666669999999995</v>
      </c>
      <c r="I167">
        <v>0.3333333</v>
      </c>
      <c r="J167">
        <v>0.59999996</v>
      </c>
    </row>
    <row r="168" spans="1:10" x14ac:dyDescent="0.3">
      <c r="A168">
        <v>166</v>
      </c>
      <c r="B168">
        <v>2664</v>
      </c>
      <c r="C168" t="b">
        <v>1</v>
      </c>
      <c r="D168">
        <v>8048</v>
      </c>
      <c r="E168">
        <v>8123</v>
      </c>
      <c r="F168">
        <v>5.2</v>
      </c>
      <c r="G168">
        <v>8.4</v>
      </c>
      <c r="H168">
        <v>0.61904764000000001</v>
      </c>
      <c r="I168">
        <v>0.38095240000000002</v>
      </c>
      <c r="J168">
        <v>0.61764704999999998</v>
      </c>
    </row>
    <row r="169" spans="1:10" x14ac:dyDescent="0.3">
      <c r="A169">
        <v>167</v>
      </c>
      <c r="B169">
        <v>2680</v>
      </c>
      <c r="C169" t="b">
        <v>1</v>
      </c>
      <c r="D169">
        <v>8048</v>
      </c>
      <c r="E169">
        <v>8123</v>
      </c>
      <c r="F169">
        <v>5.6</v>
      </c>
      <c r="G169">
        <v>8.4</v>
      </c>
      <c r="H169">
        <v>0.66666669999999995</v>
      </c>
      <c r="I169">
        <v>0.3333333</v>
      </c>
      <c r="J169">
        <v>0.59999996</v>
      </c>
    </row>
    <row r="170" spans="1:10" x14ac:dyDescent="0.3">
      <c r="A170">
        <v>168</v>
      </c>
      <c r="B170">
        <v>2696</v>
      </c>
      <c r="C170" t="b">
        <v>1</v>
      </c>
      <c r="D170">
        <v>8048</v>
      </c>
      <c r="E170">
        <v>8123</v>
      </c>
      <c r="F170">
        <v>6</v>
      </c>
      <c r="G170">
        <v>8.4</v>
      </c>
      <c r="H170">
        <v>0.71428572999999995</v>
      </c>
      <c r="I170">
        <v>0.28571424000000001</v>
      </c>
      <c r="J170">
        <v>0.58333330000000005</v>
      </c>
    </row>
    <row r="171" spans="1:10" x14ac:dyDescent="0.3">
      <c r="A171">
        <v>169</v>
      </c>
      <c r="B171">
        <v>2712</v>
      </c>
      <c r="C171" t="b">
        <v>1</v>
      </c>
      <c r="D171">
        <v>8048</v>
      </c>
      <c r="E171">
        <v>8129</v>
      </c>
      <c r="F171">
        <v>6.4</v>
      </c>
      <c r="G171">
        <v>8.4</v>
      </c>
      <c r="H171">
        <v>0.76190484000000003</v>
      </c>
      <c r="I171">
        <v>0.23809520000000001</v>
      </c>
      <c r="J171">
        <v>0.56756759999999995</v>
      </c>
    </row>
    <row r="172" spans="1:10" x14ac:dyDescent="0.3">
      <c r="A172">
        <v>170</v>
      </c>
      <c r="B172">
        <v>2728</v>
      </c>
      <c r="C172" t="b">
        <v>1</v>
      </c>
      <c r="D172">
        <v>8048</v>
      </c>
      <c r="E172">
        <v>8129</v>
      </c>
      <c r="F172">
        <v>6.8</v>
      </c>
      <c r="G172">
        <v>8.4</v>
      </c>
      <c r="H172">
        <v>0.80952389999999996</v>
      </c>
      <c r="I172">
        <v>0.19047612999999999</v>
      </c>
      <c r="J172">
        <v>0.55263156000000002</v>
      </c>
    </row>
    <row r="173" spans="1:10" x14ac:dyDescent="0.3">
      <c r="A173">
        <v>171</v>
      </c>
      <c r="B173">
        <v>2744</v>
      </c>
      <c r="C173" t="b">
        <v>1</v>
      </c>
      <c r="D173">
        <v>8048</v>
      </c>
      <c r="E173">
        <v>8123</v>
      </c>
      <c r="F173">
        <v>7.2</v>
      </c>
      <c r="G173">
        <v>8.4</v>
      </c>
      <c r="H173">
        <v>0.85714287</v>
      </c>
      <c r="I173">
        <v>0.14285712</v>
      </c>
      <c r="J173">
        <v>0.53846150000000004</v>
      </c>
    </row>
    <row r="174" spans="1:10" x14ac:dyDescent="0.3">
      <c r="A174">
        <v>172</v>
      </c>
      <c r="B174">
        <v>2759</v>
      </c>
      <c r="C174" t="b">
        <v>1</v>
      </c>
      <c r="D174">
        <v>8048</v>
      </c>
      <c r="E174">
        <v>8123</v>
      </c>
      <c r="F174">
        <v>7.6</v>
      </c>
      <c r="G174">
        <v>8.4</v>
      </c>
      <c r="H174">
        <v>0.90476190000000001</v>
      </c>
      <c r="I174">
        <v>9.5238069999999994E-2</v>
      </c>
      <c r="J174">
        <v>0.52500000000000002</v>
      </c>
    </row>
    <row r="175" spans="1:10" x14ac:dyDescent="0.3">
      <c r="A175">
        <v>173</v>
      </c>
      <c r="B175">
        <v>2775</v>
      </c>
      <c r="C175" t="b">
        <v>1</v>
      </c>
      <c r="D175">
        <v>8048</v>
      </c>
      <c r="E175">
        <v>8123</v>
      </c>
      <c r="F175">
        <v>8</v>
      </c>
      <c r="G175">
        <v>8.4</v>
      </c>
      <c r="H175">
        <v>0.95238100000000003</v>
      </c>
      <c r="I175">
        <v>4.7619003999999999E-2</v>
      </c>
      <c r="J175">
        <v>0.51219510000000001</v>
      </c>
    </row>
    <row r="176" spans="1:10" x14ac:dyDescent="0.3">
      <c r="A176">
        <v>174</v>
      </c>
      <c r="B176">
        <v>2791</v>
      </c>
      <c r="C176" t="b">
        <v>1</v>
      </c>
      <c r="D176">
        <v>8048</v>
      </c>
      <c r="E176">
        <v>8123</v>
      </c>
      <c r="F176">
        <v>8</v>
      </c>
      <c r="G176">
        <v>8.4</v>
      </c>
      <c r="H176">
        <v>0.95238100000000003</v>
      </c>
      <c r="I176">
        <v>4.7619003999999999E-2</v>
      </c>
      <c r="J176">
        <v>0.51219510000000001</v>
      </c>
    </row>
    <row r="177" spans="1:10" x14ac:dyDescent="0.3">
      <c r="A177">
        <v>175</v>
      </c>
      <c r="B177">
        <v>2807</v>
      </c>
      <c r="C177" t="b">
        <v>1</v>
      </c>
      <c r="D177">
        <v>8048</v>
      </c>
      <c r="E177">
        <v>8123</v>
      </c>
      <c r="F177">
        <v>8</v>
      </c>
      <c r="G177">
        <v>8.4</v>
      </c>
      <c r="H177">
        <v>0.95238100000000003</v>
      </c>
      <c r="I177">
        <v>4.7619003999999999E-2</v>
      </c>
      <c r="J177">
        <v>0.51219510000000001</v>
      </c>
    </row>
    <row r="178" spans="1:10" x14ac:dyDescent="0.3">
      <c r="A178">
        <v>176</v>
      </c>
      <c r="B178">
        <v>2822</v>
      </c>
      <c r="C178" t="b">
        <v>1</v>
      </c>
      <c r="D178">
        <v>8042</v>
      </c>
      <c r="E178">
        <v>8123</v>
      </c>
      <c r="F178">
        <v>8</v>
      </c>
      <c r="G178">
        <v>8</v>
      </c>
      <c r="H178">
        <v>1</v>
      </c>
      <c r="I178">
        <v>0</v>
      </c>
      <c r="J178">
        <v>0.5</v>
      </c>
    </row>
    <row r="179" spans="1:10" x14ac:dyDescent="0.3">
      <c r="A179">
        <v>177</v>
      </c>
      <c r="B179">
        <v>2838</v>
      </c>
      <c r="C179" t="b">
        <v>1</v>
      </c>
      <c r="D179">
        <v>8042</v>
      </c>
      <c r="E179">
        <v>8123</v>
      </c>
      <c r="F179">
        <v>8</v>
      </c>
      <c r="G179">
        <v>8</v>
      </c>
      <c r="H179">
        <v>1</v>
      </c>
      <c r="I179">
        <v>0</v>
      </c>
      <c r="J179">
        <v>0.5</v>
      </c>
    </row>
    <row r="180" spans="1:10" x14ac:dyDescent="0.3">
      <c r="A180">
        <v>178</v>
      </c>
      <c r="B180">
        <v>2855</v>
      </c>
      <c r="C180" t="b">
        <v>1</v>
      </c>
      <c r="D180">
        <v>8042</v>
      </c>
      <c r="E180">
        <v>8123</v>
      </c>
      <c r="F180">
        <v>7.6</v>
      </c>
      <c r="G180">
        <v>8</v>
      </c>
      <c r="H180">
        <v>0.95</v>
      </c>
      <c r="I180">
        <v>5.0000012000000003E-2</v>
      </c>
      <c r="J180">
        <v>0.51282050000000001</v>
      </c>
    </row>
    <row r="181" spans="1:10" x14ac:dyDescent="0.3">
      <c r="A181">
        <v>179</v>
      </c>
      <c r="B181">
        <v>2871</v>
      </c>
      <c r="C181" t="b">
        <v>1</v>
      </c>
      <c r="D181">
        <v>8042</v>
      </c>
      <c r="E181">
        <v>8123</v>
      </c>
      <c r="F181">
        <v>7.2</v>
      </c>
      <c r="G181">
        <v>8</v>
      </c>
      <c r="H181">
        <v>0.9</v>
      </c>
      <c r="I181">
        <v>0.10000002400000001</v>
      </c>
      <c r="J181">
        <v>0.5263158</v>
      </c>
    </row>
    <row r="182" spans="1:10" x14ac:dyDescent="0.3">
      <c r="A182">
        <v>180</v>
      </c>
      <c r="B182">
        <v>2886</v>
      </c>
      <c r="C182" t="b">
        <v>1</v>
      </c>
      <c r="D182">
        <v>8042</v>
      </c>
      <c r="E182">
        <v>8117</v>
      </c>
      <c r="F182">
        <v>6.8</v>
      </c>
      <c r="G182">
        <v>8</v>
      </c>
      <c r="H182">
        <v>0.85</v>
      </c>
      <c r="I182">
        <v>0.14999998</v>
      </c>
      <c r="J182">
        <v>0.54054049999999998</v>
      </c>
    </row>
    <row r="183" spans="1:10" x14ac:dyDescent="0.3">
      <c r="A183">
        <v>181</v>
      </c>
      <c r="B183">
        <v>2902</v>
      </c>
      <c r="C183" t="b">
        <v>1</v>
      </c>
      <c r="D183">
        <v>8042</v>
      </c>
      <c r="E183">
        <v>8123</v>
      </c>
      <c r="F183">
        <v>6.4</v>
      </c>
      <c r="G183">
        <v>8</v>
      </c>
      <c r="H183">
        <v>0.8</v>
      </c>
      <c r="I183">
        <v>0.19999998999999999</v>
      </c>
      <c r="J183">
        <v>0.55555560000000004</v>
      </c>
    </row>
    <row r="184" spans="1:10" x14ac:dyDescent="0.3">
      <c r="A184">
        <v>182</v>
      </c>
      <c r="B184">
        <v>2918</v>
      </c>
      <c r="C184" t="b">
        <v>1</v>
      </c>
      <c r="D184">
        <v>8048</v>
      </c>
      <c r="E184">
        <v>8117</v>
      </c>
      <c r="F184">
        <v>6</v>
      </c>
      <c r="G184">
        <v>8</v>
      </c>
      <c r="H184">
        <v>0.75</v>
      </c>
      <c r="I184">
        <v>0.25</v>
      </c>
      <c r="J184">
        <v>0.57142859999999995</v>
      </c>
    </row>
    <row r="185" spans="1:10" x14ac:dyDescent="0.3">
      <c r="A185">
        <v>183</v>
      </c>
      <c r="B185">
        <v>2934</v>
      </c>
      <c r="C185" t="b">
        <v>1</v>
      </c>
      <c r="D185">
        <v>8048</v>
      </c>
      <c r="E185">
        <v>8123</v>
      </c>
      <c r="F185">
        <v>5.6</v>
      </c>
      <c r="G185">
        <v>8</v>
      </c>
      <c r="H185">
        <v>0.7</v>
      </c>
      <c r="I185">
        <v>0.3</v>
      </c>
      <c r="J185">
        <v>0.58823526000000004</v>
      </c>
    </row>
    <row r="186" spans="1:10" x14ac:dyDescent="0.3">
      <c r="A186">
        <v>184</v>
      </c>
      <c r="B186">
        <v>2949</v>
      </c>
      <c r="C186" t="b">
        <v>1</v>
      </c>
      <c r="D186">
        <v>8048</v>
      </c>
      <c r="E186">
        <v>8111</v>
      </c>
      <c r="F186">
        <v>5.6</v>
      </c>
      <c r="G186">
        <v>7.6</v>
      </c>
      <c r="H186">
        <v>0.73684210000000006</v>
      </c>
      <c r="I186">
        <v>0.2631579</v>
      </c>
      <c r="J186">
        <v>0.57575756</v>
      </c>
    </row>
    <row r="187" spans="1:10" x14ac:dyDescent="0.3">
      <c r="A187">
        <v>185</v>
      </c>
      <c r="B187">
        <v>2965</v>
      </c>
      <c r="C187" t="b">
        <v>1</v>
      </c>
      <c r="D187">
        <v>8048</v>
      </c>
      <c r="E187">
        <v>8117</v>
      </c>
      <c r="F187">
        <v>5.6</v>
      </c>
      <c r="G187">
        <v>7.2</v>
      </c>
      <c r="H187">
        <v>0.77777779999999996</v>
      </c>
      <c r="I187">
        <v>0.22222221</v>
      </c>
      <c r="J187">
        <v>0.5625</v>
      </c>
    </row>
    <row r="188" spans="1:10" x14ac:dyDescent="0.3">
      <c r="A188">
        <v>186</v>
      </c>
      <c r="B188">
        <v>2981</v>
      </c>
      <c r="C188" t="b">
        <v>1</v>
      </c>
      <c r="D188">
        <v>8048</v>
      </c>
      <c r="E188">
        <v>8117</v>
      </c>
      <c r="F188">
        <v>5.6</v>
      </c>
      <c r="G188">
        <v>6.8</v>
      </c>
      <c r="H188">
        <v>0.82352935999999999</v>
      </c>
      <c r="I188">
        <v>0.17647061999999999</v>
      </c>
      <c r="J188">
        <v>0.54838710000000002</v>
      </c>
    </row>
    <row r="189" spans="1:10" x14ac:dyDescent="0.3">
      <c r="A189">
        <v>187</v>
      </c>
      <c r="B189">
        <v>2997</v>
      </c>
      <c r="C189" t="b">
        <v>1</v>
      </c>
      <c r="D189">
        <v>8048</v>
      </c>
      <c r="E189">
        <v>8123</v>
      </c>
      <c r="F189">
        <v>5.6</v>
      </c>
      <c r="G189">
        <v>6.4</v>
      </c>
      <c r="H189">
        <v>0.875</v>
      </c>
      <c r="I189">
        <v>0.12500003000000001</v>
      </c>
      <c r="J189">
        <v>0.53333335999999998</v>
      </c>
    </row>
    <row r="190" spans="1:10" x14ac:dyDescent="0.3">
      <c r="A190">
        <v>188</v>
      </c>
      <c r="B190">
        <v>3012</v>
      </c>
      <c r="C190" t="b">
        <v>1</v>
      </c>
      <c r="D190">
        <v>8048</v>
      </c>
      <c r="E190">
        <v>8117</v>
      </c>
      <c r="F190">
        <v>5.6</v>
      </c>
      <c r="G190">
        <v>6</v>
      </c>
      <c r="H190">
        <v>0.93333334000000001</v>
      </c>
      <c r="I190">
        <v>6.6666685000000003E-2</v>
      </c>
      <c r="J190">
        <v>0.51724135999999998</v>
      </c>
    </row>
    <row r="191" spans="1:10" x14ac:dyDescent="0.3">
      <c r="A191">
        <v>189</v>
      </c>
      <c r="B191">
        <v>3028</v>
      </c>
      <c r="C191" t="b">
        <v>1</v>
      </c>
      <c r="D191">
        <v>8048</v>
      </c>
      <c r="E191">
        <v>8117</v>
      </c>
      <c r="F191">
        <v>5.6</v>
      </c>
      <c r="G191">
        <v>5.6</v>
      </c>
      <c r="H191">
        <v>1</v>
      </c>
      <c r="I191">
        <v>0</v>
      </c>
      <c r="J191">
        <v>0.5</v>
      </c>
    </row>
    <row r="192" spans="1:10" x14ac:dyDescent="0.3">
      <c r="A192">
        <v>190</v>
      </c>
      <c r="B192">
        <v>3044</v>
      </c>
      <c r="C192" t="b">
        <v>1</v>
      </c>
      <c r="D192">
        <v>8054</v>
      </c>
      <c r="E192">
        <v>8117</v>
      </c>
      <c r="F192">
        <v>5.6</v>
      </c>
      <c r="G192">
        <v>5.2</v>
      </c>
      <c r="H192">
        <v>1.0769230999999999</v>
      </c>
      <c r="I192">
        <v>-7.6923094999999997E-2</v>
      </c>
      <c r="J192">
        <v>0.48148150000000001</v>
      </c>
    </row>
    <row r="193" spans="1:10" x14ac:dyDescent="0.3">
      <c r="A193">
        <v>191</v>
      </c>
      <c r="B193">
        <v>3060</v>
      </c>
      <c r="C193" t="b">
        <v>1</v>
      </c>
      <c r="D193">
        <v>8054</v>
      </c>
      <c r="E193">
        <v>8123</v>
      </c>
      <c r="F193">
        <v>5.6</v>
      </c>
      <c r="G193">
        <v>4.8</v>
      </c>
      <c r="H193">
        <v>1.1666666000000001</v>
      </c>
      <c r="I193">
        <v>-0.1666666</v>
      </c>
      <c r="J193">
        <v>0.46153850000000002</v>
      </c>
    </row>
    <row r="194" spans="1:10" x14ac:dyDescent="0.3">
      <c r="A194">
        <v>192</v>
      </c>
      <c r="B194">
        <v>3076</v>
      </c>
      <c r="C194" t="b">
        <v>1</v>
      </c>
      <c r="D194">
        <v>8054</v>
      </c>
      <c r="E194">
        <v>8129</v>
      </c>
      <c r="F194">
        <v>6</v>
      </c>
      <c r="G194">
        <v>4.4000000000000004</v>
      </c>
      <c r="H194">
        <v>1.3636364000000001</v>
      </c>
      <c r="I194">
        <v>-0.36363634</v>
      </c>
      <c r="J194">
        <v>0.42307696</v>
      </c>
    </row>
    <row r="195" spans="1:10" x14ac:dyDescent="0.3">
      <c r="A195">
        <v>193</v>
      </c>
      <c r="B195">
        <v>3091</v>
      </c>
      <c r="C195" t="b">
        <v>1</v>
      </c>
      <c r="D195">
        <v>8054</v>
      </c>
      <c r="E195">
        <v>8123</v>
      </c>
      <c r="F195">
        <v>6.8</v>
      </c>
      <c r="G195">
        <v>4.4000000000000004</v>
      </c>
      <c r="H195">
        <v>1.5454545</v>
      </c>
      <c r="I195">
        <v>-0.54545456000000003</v>
      </c>
      <c r="J195">
        <v>0.39285713</v>
      </c>
    </row>
    <row r="196" spans="1:10" x14ac:dyDescent="0.3">
      <c r="A196">
        <v>194</v>
      </c>
      <c r="B196">
        <v>3107</v>
      </c>
      <c r="C196" t="b">
        <v>1</v>
      </c>
      <c r="D196">
        <v>8054</v>
      </c>
      <c r="E196">
        <v>8123</v>
      </c>
      <c r="F196">
        <v>7.6</v>
      </c>
      <c r="G196">
        <v>4.4000000000000004</v>
      </c>
      <c r="H196">
        <v>1.7272726</v>
      </c>
      <c r="I196">
        <v>-0.72727269999999999</v>
      </c>
      <c r="J196">
        <v>0.36666666999999997</v>
      </c>
    </row>
    <row r="197" spans="1:10" x14ac:dyDescent="0.3">
      <c r="A197">
        <v>195</v>
      </c>
      <c r="B197">
        <v>3123</v>
      </c>
      <c r="C197" t="b">
        <v>1</v>
      </c>
      <c r="D197">
        <v>8048</v>
      </c>
      <c r="E197">
        <v>8129</v>
      </c>
      <c r="F197">
        <v>8.4</v>
      </c>
      <c r="G197">
        <v>4.4000000000000004</v>
      </c>
      <c r="H197">
        <v>1.9090908</v>
      </c>
      <c r="I197">
        <v>-0.90909076</v>
      </c>
      <c r="J197">
        <v>0.34375002999999998</v>
      </c>
    </row>
    <row r="198" spans="1:10" x14ac:dyDescent="0.3">
      <c r="A198">
        <v>196</v>
      </c>
      <c r="B198">
        <v>3139</v>
      </c>
      <c r="C198" t="b">
        <v>1</v>
      </c>
      <c r="D198">
        <v>8048</v>
      </c>
      <c r="E198">
        <v>8129</v>
      </c>
      <c r="F198">
        <v>9.1999999999999993</v>
      </c>
      <c r="G198">
        <v>4.8</v>
      </c>
      <c r="H198">
        <v>1.9166665000000001</v>
      </c>
      <c r="I198">
        <v>-0.91666656999999996</v>
      </c>
      <c r="J198">
        <v>0.34285715</v>
      </c>
    </row>
    <row r="199" spans="1:10" x14ac:dyDescent="0.3">
      <c r="A199">
        <v>197</v>
      </c>
      <c r="B199">
        <v>3155</v>
      </c>
      <c r="C199" t="b">
        <v>1</v>
      </c>
      <c r="D199">
        <v>8048</v>
      </c>
      <c r="E199">
        <v>8123</v>
      </c>
      <c r="F199">
        <v>9.6</v>
      </c>
      <c r="G199">
        <v>4.8</v>
      </c>
      <c r="H199">
        <v>2</v>
      </c>
      <c r="I199">
        <v>-1</v>
      </c>
      <c r="J199">
        <v>0.33333333999999998</v>
      </c>
    </row>
    <row r="200" spans="1:10" x14ac:dyDescent="0.3">
      <c r="A200">
        <v>198</v>
      </c>
      <c r="B200">
        <v>3170</v>
      </c>
      <c r="C200" t="b">
        <v>1</v>
      </c>
      <c r="D200">
        <v>8048</v>
      </c>
      <c r="E200">
        <v>8123</v>
      </c>
      <c r="F200">
        <v>10</v>
      </c>
      <c r="G200">
        <v>4.8</v>
      </c>
      <c r="H200">
        <v>2.0833333000000001</v>
      </c>
      <c r="I200">
        <v>-1.0833333000000001</v>
      </c>
      <c r="J200">
        <v>0.32432433999999999</v>
      </c>
    </row>
    <row r="201" spans="1:10" x14ac:dyDescent="0.3">
      <c r="A201">
        <v>199</v>
      </c>
      <c r="B201">
        <v>3186</v>
      </c>
      <c r="C201" t="b">
        <v>1</v>
      </c>
      <c r="D201">
        <v>8048</v>
      </c>
      <c r="E201">
        <v>8123</v>
      </c>
      <c r="F201">
        <v>10</v>
      </c>
      <c r="G201">
        <v>5.2</v>
      </c>
      <c r="H201">
        <v>1.9230769999999999</v>
      </c>
      <c r="I201">
        <v>-0.92307700000000004</v>
      </c>
      <c r="J201">
        <v>0.34210527000000002</v>
      </c>
    </row>
    <row r="202" spans="1:10" x14ac:dyDescent="0.3">
      <c r="A202">
        <v>200</v>
      </c>
      <c r="B202">
        <v>3202</v>
      </c>
      <c r="C202" t="b">
        <v>1</v>
      </c>
      <c r="D202">
        <v>8054</v>
      </c>
      <c r="E202">
        <v>8123</v>
      </c>
      <c r="F202">
        <v>10</v>
      </c>
      <c r="G202">
        <v>5.6</v>
      </c>
      <c r="H202">
        <v>1.7857143</v>
      </c>
      <c r="I202">
        <v>-0.78571429999999998</v>
      </c>
      <c r="J202">
        <v>0.35897434</v>
      </c>
    </row>
    <row r="203" spans="1:10" x14ac:dyDescent="0.3">
      <c r="A203">
        <v>201</v>
      </c>
      <c r="B203">
        <v>3218</v>
      </c>
      <c r="C203" t="b">
        <v>1</v>
      </c>
      <c r="D203">
        <v>8048</v>
      </c>
      <c r="E203">
        <v>8123</v>
      </c>
      <c r="F203">
        <v>10</v>
      </c>
      <c r="G203">
        <v>6</v>
      </c>
      <c r="H203">
        <v>1.6666666000000001</v>
      </c>
      <c r="I203">
        <v>-0.66666669999999995</v>
      </c>
      <c r="J203">
        <v>0.375</v>
      </c>
    </row>
    <row r="204" spans="1:10" x14ac:dyDescent="0.3">
      <c r="A204">
        <v>202</v>
      </c>
      <c r="B204">
        <v>3234</v>
      </c>
      <c r="C204" t="b">
        <v>1</v>
      </c>
      <c r="D204">
        <v>8048</v>
      </c>
      <c r="E204">
        <v>8123</v>
      </c>
      <c r="F204">
        <v>10</v>
      </c>
      <c r="G204">
        <v>6.4</v>
      </c>
      <c r="H204">
        <v>1.5625</v>
      </c>
      <c r="I204">
        <v>-0.5625</v>
      </c>
      <c r="J204">
        <v>0.39024392000000002</v>
      </c>
    </row>
    <row r="205" spans="1:10" x14ac:dyDescent="0.3">
      <c r="A205">
        <v>203</v>
      </c>
      <c r="B205">
        <v>3250</v>
      </c>
      <c r="C205" t="b">
        <v>1</v>
      </c>
      <c r="D205">
        <v>8048</v>
      </c>
      <c r="E205">
        <v>8123</v>
      </c>
      <c r="F205">
        <v>10</v>
      </c>
      <c r="G205">
        <v>6.8</v>
      </c>
      <c r="H205">
        <v>1.4705881999999999</v>
      </c>
      <c r="I205">
        <v>-0.47058820000000001</v>
      </c>
      <c r="J205">
        <v>0.40476193999999999</v>
      </c>
    </row>
    <row r="206" spans="1:10" x14ac:dyDescent="0.3">
      <c r="A206">
        <v>204</v>
      </c>
      <c r="B206">
        <v>3266</v>
      </c>
      <c r="C206" t="b">
        <v>1</v>
      </c>
      <c r="D206">
        <v>8048</v>
      </c>
      <c r="E206">
        <v>8123</v>
      </c>
      <c r="F206">
        <v>10</v>
      </c>
      <c r="G206">
        <v>7.2</v>
      </c>
      <c r="H206">
        <v>1.388889</v>
      </c>
      <c r="I206">
        <v>-0.38888893000000002</v>
      </c>
      <c r="J206">
        <v>0.41860459999999999</v>
      </c>
    </row>
    <row r="207" spans="1:10" x14ac:dyDescent="0.3">
      <c r="A207">
        <v>205</v>
      </c>
      <c r="B207">
        <v>3282</v>
      </c>
      <c r="C207" t="b">
        <v>1</v>
      </c>
      <c r="D207">
        <v>8048</v>
      </c>
      <c r="E207">
        <v>8134</v>
      </c>
      <c r="F207">
        <v>10</v>
      </c>
      <c r="G207">
        <v>7.6</v>
      </c>
      <c r="H207">
        <v>1.3157894999999999</v>
      </c>
      <c r="I207">
        <v>-0.3157895</v>
      </c>
      <c r="J207">
        <v>0.43181816000000001</v>
      </c>
    </row>
    <row r="208" spans="1:10" x14ac:dyDescent="0.3">
      <c r="A208">
        <v>206</v>
      </c>
      <c r="B208">
        <v>3297</v>
      </c>
      <c r="C208" t="b">
        <v>1</v>
      </c>
      <c r="D208">
        <v>8048</v>
      </c>
      <c r="E208">
        <v>8123</v>
      </c>
      <c r="F208">
        <v>10</v>
      </c>
      <c r="G208">
        <v>8</v>
      </c>
      <c r="H208">
        <v>1.25</v>
      </c>
      <c r="I208">
        <v>-0.25</v>
      </c>
      <c r="J208">
        <v>0.44444444999999999</v>
      </c>
    </row>
    <row r="209" spans="1:10" x14ac:dyDescent="0.3">
      <c r="A209">
        <v>207</v>
      </c>
      <c r="B209">
        <v>3313</v>
      </c>
      <c r="C209" t="b">
        <v>1</v>
      </c>
      <c r="D209">
        <v>8048</v>
      </c>
      <c r="E209">
        <v>8123</v>
      </c>
      <c r="F209">
        <v>9.6</v>
      </c>
      <c r="G209">
        <v>8.4</v>
      </c>
      <c r="H209">
        <v>1.1428571999999999</v>
      </c>
      <c r="I209">
        <v>-0.14285724</v>
      </c>
      <c r="J209">
        <v>0.46666664000000002</v>
      </c>
    </row>
    <row r="210" spans="1:10" x14ac:dyDescent="0.3">
      <c r="A210">
        <v>208</v>
      </c>
      <c r="B210">
        <v>3329</v>
      </c>
      <c r="C210" t="b">
        <v>1</v>
      </c>
      <c r="D210">
        <v>8048</v>
      </c>
      <c r="E210">
        <v>8123</v>
      </c>
      <c r="F210">
        <v>9.1999999999999993</v>
      </c>
      <c r="G210">
        <v>8.4</v>
      </c>
      <c r="H210">
        <v>1.0952381</v>
      </c>
      <c r="I210">
        <v>-9.5238119999999996E-2</v>
      </c>
      <c r="J210">
        <v>0.47727275000000002</v>
      </c>
    </row>
    <row r="211" spans="1:10" x14ac:dyDescent="0.3">
      <c r="A211">
        <v>209</v>
      </c>
      <c r="B211">
        <v>3344</v>
      </c>
      <c r="C211" t="b">
        <v>1</v>
      </c>
      <c r="D211">
        <v>8048</v>
      </c>
      <c r="E211">
        <v>8123</v>
      </c>
      <c r="F211">
        <v>8.8000000000000007</v>
      </c>
      <c r="G211">
        <v>8.4</v>
      </c>
      <c r="H211">
        <v>1.0476190999999999</v>
      </c>
      <c r="I211">
        <v>-4.7619120000000001E-2</v>
      </c>
      <c r="J211">
        <v>0.48837206</v>
      </c>
    </row>
    <row r="212" spans="1:10" x14ac:dyDescent="0.3">
      <c r="A212">
        <v>210</v>
      </c>
      <c r="B212">
        <v>3360</v>
      </c>
      <c r="C212" t="b">
        <v>1</v>
      </c>
      <c r="D212">
        <v>8048</v>
      </c>
      <c r="E212">
        <v>8123</v>
      </c>
      <c r="F212">
        <v>8.4</v>
      </c>
      <c r="G212">
        <v>8.4</v>
      </c>
      <c r="H212">
        <v>1</v>
      </c>
      <c r="I212">
        <v>0</v>
      </c>
      <c r="J212">
        <v>0.5</v>
      </c>
    </row>
    <row r="213" spans="1:10" x14ac:dyDescent="0.3">
      <c r="A213">
        <v>211</v>
      </c>
      <c r="B213">
        <v>3376</v>
      </c>
      <c r="C213" t="b">
        <v>1</v>
      </c>
      <c r="D213">
        <v>8048</v>
      </c>
      <c r="E213">
        <v>8123</v>
      </c>
      <c r="F213">
        <v>8</v>
      </c>
      <c r="G213">
        <v>8</v>
      </c>
      <c r="H213">
        <v>1</v>
      </c>
      <c r="I213">
        <v>0</v>
      </c>
      <c r="J213">
        <v>0.5</v>
      </c>
    </row>
    <row r="214" spans="1:10" x14ac:dyDescent="0.3">
      <c r="A214">
        <v>212</v>
      </c>
      <c r="B214">
        <v>3392</v>
      </c>
      <c r="C214" t="b">
        <v>1</v>
      </c>
      <c r="D214">
        <v>8048</v>
      </c>
      <c r="E214">
        <v>8123</v>
      </c>
      <c r="F214">
        <v>8</v>
      </c>
      <c r="G214">
        <v>8</v>
      </c>
      <c r="H214">
        <v>1</v>
      </c>
      <c r="I214">
        <v>0</v>
      </c>
      <c r="J214">
        <v>0.5</v>
      </c>
    </row>
    <row r="215" spans="1:10" x14ac:dyDescent="0.3">
      <c r="A215">
        <v>213</v>
      </c>
      <c r="B215">
        <v>3408</v>
      </c>
      <c r="C215" t="b">
        <v>1</v>
      </c>
      <c r="D215">
        <v>8048</v>
      </c>
      <c r="E215">
        <v>8123</v>
      </c>
      <c r="F215">
        <v>8</v>
      </c>
      <c r="G215">
        <v>8</v>
      </c>
      <c r="H215">
        <v>1</v>
      </c>
      <c r="I215">
        <v>0</v>
      </c>
      <c r="J215">
        <v>0.5</v>
      </c>
    </row>
    <row r="216" spans="1:10" x14ac:dyDescent="0.3">
      <c r="A216">
        <v>214</v>
      </c>
      <c r="B216">
        <v>3424</v>
      </c>
      <c r="C216" t="b">
        <v>1</v>
      </c>
      <c r="D216">
        <v>8048</v>
      </c>
      <c r="E216">
        <v>8123</v>
      </c>
      <c r="F216">
        <v>8</v>
      </c>
      <c r="G216">
        <v>8</v>
      </c>
      <c r="H216">
        <v>1</v>
      </c>
      <c r="I216">
        <v>0</v>
      </c>
      <c r="J216">
        <v>0.5</v>
      </c>
    </row>
    <row r="217" spans="1:10" x14ac:dyDescent="0.3">
      <c r="A217">
        <v>215</v>
      </c>
      <c r="B217">
        <v>3440</v>
      </c>
      <c r="C217" t="b">
        <v>1</v>
      </c>
      <c r="D217">
        <v>8048</v>
      </c>
      <c r="E217">
        <v>8129</v>
      </c>
      <c r="F217">
        <v>8</v>
      </c>
      <c r="G217">
        <v>8</v>
      </c>
      <c r="H217">
        <v>1</v>
      </c>
      <c r="I217">
        <v>0</v>
      </c>
      <c r="J217">
        <v>0.5</v>
      </c>
    </row>
    <row r="218" spans="1:10" x14ac:dyDescent="0.3">
      <c r="A218">
        <v>216</v>
      </c>
      <c r="B218">
        <v>3456</v>
      </c>
      <c r="C218" t="b">
        <v>1</v>
      </c>
      <c r="D218">
        <v>8048</v>
      </c>
      <c r="E218">
        <v>8123</v>
      </c>
      <c r="F218">
        <v>8</v>
      </c>
      <c r="G218">
        <v>8</v>
      </c>
      <c r="H218">
        <v>1</v>
      </c>
      <c r="I218">
        <v>0</v>
      </c>
      <c r="J218">
        <v>0.5</v>
      </c>
    </row>
    <row r="219" spans="1:10" x14ac:dyDescent="0.3">
      <c r="A219">
        <v>217</v>
      </c>
      <c r="B219">
        <v>3472</v>
      </c>
      <c r="C219" t="b">
        <v>1</v>
      </c>
      <c r="D219">
        <v>8048</v>
      </c>
      <c r="E219">
        <v>8123</v>
      </c>
      <c r="F219">
        <v>8</v>
      </c>
      <c r="G219">
        <v>8</v>
      </c>
      <c r="H219">
        <v>1</v>
      </c>
      <c r="I219">
        <v>0</v>
      </c>
      <c r="J219">
        <v>0.5</v>
      </c>
    </row>
    <row r="220" spans="1:10" x14ac:dyDescent="0.3">
      <c r="A220">
        <v>218</v>
      </c>
      <c r="B220">
        <v>3487</v>
      </c>
      <c r="C220" t="b">
        <v>1</v>
      </c>
      <c r="D220">
        <v>8054</v>
      </c>
      <c r="E220">
        <v>8123</v>
      </c>
      <c r="F220">
        <v>8</v>
      </c>
      <c r="G220">
        <v>8</v>
      </c>
      <c r="H220">
        <v>1</v>
      </c>
      <c r="I220">
        <v>0</v>
      </c>
      <c r="J220">
        <v>0.5</v>
      </c>
    </row>
    <row r="221" spans="1:10" x14ac:dyDescent="0.3">
      <c r="A221">
        <v>219</v>
      </c>
      <c r="B221">
        <v>3504</v>
      </c>
      <c r="C221" t="b">
        <v>1</v>
      </c>
      <c r="D221">
        <v>8048</v>
      </c>
      <c r="E221">
        <v>8123</v>
      </c>
      <c r="F221">
        <v>8</v>
      </c>
      <c r="G221">
        <v>8</v>
      </c>
      <c r="H221">
        <v>1</v>
      </c>
      <c r="I221">
        <v>0</v>
      </c>
      <c r="J221">
        <v>0.5</v>
      </c>
    </row>
    <row r="222" spans="1:10" x14ac:dyDescent="0.3">
      <c r="A222">
        <v>220</v>
      </c>
      <c r="B222">
        <v>3519</v>
      </c>
      <c r="C222" t="b">
        <v>1</v>
      </c>
      <c r="D222">
        <v>8048</v>
      </c>
      <c r="E222">
        <v>8123</v>
      </c>
      <c r="F222">
        <v>8</v>
      </c>
      <c r="G222">
        <v>8</v>
      </c>
      <c r="H222">
        <v>1</v>
      </c>
      <c r="I222">
        <v>0</v>
      </c>
      <c r="J222">
        <v>0.5</v>
      </c>
    </row>
    <row r="223" spans="1:10" x14ac:dyDescent="0.3">
      <c r="A223">
        <v>221</v>
      </c>
      <c r="B223">
        <v>3535</v>
      </c>
      <c r="C223" t="b">
        <v>1</v>
      </c>
      <c r="D223">
        <v>8048</v>
      </c>
      <c r="E223">
        <v>8123</v>
      </c>
      <c r="F223">
        <v>8</v>
      </c>
      <c r="G223">
        <v>8</v>
      </c>
      <c r="H223">
        <v>1</v>
      </c>
      <c r="I223">
        <v>0</v>
      </c>
      <c r="J223">
        <v>0.5</v>
      </c>
    </row>
    <row r="224" spans="1:10" x14ac:dyDescent="0.3">
      <c r="A224">
        <v>222</v>
      </c>
      <c r="B224">
        <v>3551</v>
      </c>
      <c r="C224" t="b">
        <v>1</v>
      </c>
      <c r="D224">
        <v>8048</v>
      </c>
      <c r="E224">
        <v>8123</v>
      </c>
      <c r="F224">
        <v>8</v>
      </c>
      <c r="G224">
        <v>8</v>
      </c>
      <c r="H224">
        <v>1</v>
      </c>
      <c r="I224">
        <v>0</v>
      </c>
      <c r="J224">
        <v>0.5</v>
      </c>
    </row>
    <row r="225" spans="1:10" x14ac:dyDescent="0.3">
      <c r="A225">
        <v>223</v>
      </c>
      <c r="B225">
        <v>3567</v>
      </c>
      <c r="C225" t="b">
        <v>1</v>
      </c>
      <c r="D225">
        <v>8048</v>
      </c>
      <c r="E225">
        <v>8123</v>
      </c>
      <c r="F225">
        <v>8</v>
      </c>
      <c r="G225">
        <v>8</v>
      </c>
      <c r="H225">
        <v>1</v>
      </c>
      <c r="I225">
        <v>0</v>
      </c>
      <c r="J225">
        <v>0.5</v>
      </c>
    </row>
    <row r="226" spans="1:10" x14ac:dyDescent="0.3">
      <c r="A226">
        <v>224</v>
      </c>
      <c r="B226">
        <v>3583</v>
      </c>
      <c r="C226" t="b">
        <v>1</v>
      </c>
      <c r="D226">
        <v>8048</v>
      </c>
      <c r="E226">
        <v>8123</v>
      </c>
      <c r="F226">
        <v>8</v>
      </c>
      <c r="G226">
        <v>8</v>
      </c>
      <c r="H226">
        <v>1</v>
      </c>
      <c r="I226">
        <v>0</v>
      </c>
      <c r="J226">
        <v>0.5</v>
      </c>
    </row>
    <row r="227" spans="1:10" x14ac:dyDescent="0.3">
      <c r="A227">
        <v>225</v>
      </c>
      <c r="B227">
        <v>3599</v>
      </c>
      <c r="C227" t="b">
        <v>1</v>
      </c>
      <c r="D227">
        <v>8048</v>
      </c>
      <c r="E227">
        <v>8123</v>
      </c>
      <c r="F227">
        <v>8</v>
      </c>
      <c r="G227">
        <v>8</v>
      </c>
      <c r="H227">
        <v>1</v>
      </c>
      <c r="I227">
        <v>0</v>
      </c>
      <c r="J227">
        <v>0.5</v>
      </c>
    </row>
    <row r="228" spans="1:10" x14ac:dyDescent="0.3">
      <c r="A228">
        <v>226</v>
      </c>
      <c r="B228">
        <v>3615</v>
      </c>
      <c r="C228" t="b">
        <v>1</v>
      </c>
      <c r="D228">
        <v>8054</v>
      </c>
      <c r="E228">
        <v>8123</v>
      </c>
      <c r="F228">
        <v>8</v>
      </c>
      <c r="G228">
        <v>8</v>
      </c>
      <c r="H228">
        <v>1</v>
      </c>
      <c r="I228">
        <v>0</v>
      </c>
      <c r="J228">
        <v>0.5</v>
      </c>
    </row>
    <row r="229" spans="1:10" x14ac:dyDescent="0.3">
      <c r="A229">
        <v>227</v>
      </c>
      <c r="B229">
        <v>3631</v>
      </c>
      <c r="C229" t="b">
        <v>1</v>
      </c>
      <c r="D229">
        <v>8042</v>
      </c>
      <c r="E229">
        <v>8123</v>
      </c>
      <c r="F229">
        <v>8</v>
      </c>
      <c r="G229">
        <v>8</v>
      </c>
      <c r="H229">
        <v>1</v>
      </c>
      <c r="I229">
        <v>0</v>
      </c>
      <c r="J229">
        <v>0.5</v>
      </c>
    </row>
    <row r="230" spans="1:10" x14ac:dyDescent="0.3">
      <c r="A230">
        <v>228</v>
      </c>
      <c r="B230">
        <v>3647</v>
      </c>
      <c r="C230" t="b">
        <v>1</v>
      </c>
      <c r="D230">
        <v>8048</v>
      </c>
      <c r="E230">
        <v>8123</v>
      </c>
      <c r="F230">
        <v>8</v>
      </c>
      <c r="G230">
        <v>8</v>
      </c>
      <c r="H230">
        <v>1</v>
      </c>
      <c r="I230">
        <v>0</v>
      </c>
      <c r="J230">
        <v>0.5</v>
      </c>
    </row>
    <row r="231" spans="1:10" x14ac:dyDescent="0.3">
      <c r="A231">
        <v>229</v>
      </c>
      <c r="B231">
        <v>3663</v>
      </c>
      <c r="C231" t="b">
        <v>1</v>
      </c>
      <c r="D231">
        <v>8048</v>
      </c>
      <c r="E231">
        <v>8129</v>
      </c>
      <c r="F231">
        <v>8</v>
      </c>
      <c r="G231">
        <v>8</v>
      </c>
      <c r="H231">
        <v>1</v>
      </c>
      <c r="I231">
        <v>0</v>
      </c>
      <c r="J231">
        <v>0.5</v>
      </c>
    </row>
    <row r="232" spans="1:10" x14ac:dyDescent="0.3">
      <c r="A232">
        <v>230</v>
      </c>
      <c r="B232">
        <v>3679</v>
      </c>
      <c r="C232" t="b">
        <v>1</v>
      </c>
      <c r="D232">
        <v>8042</v>
      </c>
      <c r="E232">
        <v>8123</v>
      </c>
      <c r="F232">
        <v>8</v>
      </c>
      <c r="G232">
        <v>8</v>
      </c>
      <c r="H232">
        <v>1</v>
      </c>
      <c r="I232">
        <v>0</v>
      </c>
      <c r="J232">
        <v>0.5</v>
      </c>
    </row>
    <row r="233" spans="1:10" x14ac:dyDescent="0.3">
      <c r="A233">
        <v>231</v>
      </c>
      <c r="B233">
        <v>3694</v>
      </c>
      <c r="C233" t="b">
        <v>1</v>
      </c>
      <c r="D233">
        <v>8048</v>
      </c>
      <c r="E233">
        <v>8129</v>
      </c>
      <c r="F233">
        <v>8</v>
      </c>
      <c r="G233">
        <v>8</v>
      </c>
      <c r="H233">
        <v>1</v>
      </c>
      <c r="I233">
        <v>0</v>
      </c>
      <c r="J233">
        <v>0.5</v>
      </c>
    </row>
    <row r="234" spans="1:10" x14ac:dyDescent="0.3">
      <c r="A234">
        <v>232</v>
      </c>
      <c r="B234">
        <v>3710</v>
      </c>
      <c r="C234" t="b">
        <v>1</v>
      </c>
      <c r="D234">
        <v>8048</v>
      </c>
      <c r="E234">
        <v>8129</v>
      </c>
      <c r="F234">
        <v>8</v>
      </c>
      <c r="G234">
        <v>8.4</v>
      </c>
      <c r="H234">
        <v>0.95238100000000003</v>
      </c>
      <c r="I234">
        <v>4.7619003999999999E-2</v>
      </c>
      <c r="J234">
        <v>0.51219510000000001</v>
      </c>
    </row>
    <row r="235" spans="1:10" x14ac:dyDescent="0.3">
      <c r="A235">
        <v>233</v>
      </c>
      <c r="B235">
        <v>3726</v>
      </c>
      <c r="C235" t="b">
        <v>1</v>
      </c>
      <c r="D235">
        <v>8048</v>
      </c>
      <c r="E235">
        <v>8123</v>
      </c>
      <c r="F235">
        <v>8</v>
      </c>
      <c r="G235">
        <v>8.8000000000000007</v>
      </c>
      <c r="H235">
        <v>0.90909090000000004</v>
      </c>
      <c r="I235">
        <v>9.0909110000000001E-2</v>
      </c>
      <c r="J235">
        <v>0.52380954999999996</v>
      </c>
    </row>
    <row r="236" spans="1:10" x14ac:dyDescent="0.3">
      <c r="A236">
        <v>234</v>
      </c>
      <c r="B236">
        <v>3742</v>
      </c>
      <c r="C236" t="b">
        <v>1</v>
      </c>
      <c r="D236">
        <v>8048</v>
      </c>
      <c r="E236">
        <v>8129</v>
      </c>
      <c r="F236">
        <v>8</v>
      </c>
      <c r="G236">
        <v>9.1999999999999993</v>
      </c>
      <c r="H236">
        <v>0.86956524999999996</v>
      </c>
      <c r="I236">
        <v>0.13043477000000001</v>
      </c>
      <c r="J236">
        <v>0.53488369999999996</v>
      </c>
    </row>
    <row r="237" spans="1:10" x14ac:dyDescent="0.3">
      <c r="A237">
        <v>235</v>
      </c>
      <c r="B237">
        <v>3758</v>
      </c>
      <c r="C237" t="b">
        <v>1</v>
      </c>
      <c r="D237">
        <v>8048</v>
      </c>
      <c r="E237">
        <v>8123</v>
      </c>
      <c r="F237">
        <v>8</v>
      </c>
      <c r="G237">
        <v>9.6</v>
      </c>
      <c r="H237">
        <v>0.83333330000000005</v>
      </c>
      <c r="I237">
        <v>0.1666667</v>
      </c>
      <c r="J237">
        <v>0.54545456000000003</v>
      </c>
    </row>
    <row r="238" spans="1:10" x14ac:dyDescent="0.3">
      <c r="A238">
        <v>236</v>
      </c>
      <c r="B238">
        <v>3774</v>
      </c>
      <c r="C238" t="b">
        <v>1</v>
      </c>
      <c r="D238">
        <v>8048</v>
      </c>
      <c r="E238">
        <v>8123</v>
      </c>
      <c r="F238">
        <v>8</v>
      </c>
      <c r="G238">
        <v>9.6</v>
      </c>
      <c r="H238">
        <v>0.83333330000000005</v>
      </c>
      <c r="I238">
        <v>0.1666667</v>
      </c>
      <c r="J238">
        <v>0.54545456000000003</v>
      </c>
    </row>
    <row r="239" spans="1:10" x14ac:dyDescent="0.3">
      <c r="A239">
        <v>237</v>
      </c>
      <c r="B239">
        <v>3790</v>
      </c>
      <c r="C239" t="b">
        <v>1</v>
      </c>
      <c r="D239">
        <v>8048</v>
      </c>
      <c r="E239">
        <v>8123</v>
      </c>
      <c r="F239">
        <v>8</v>
      </c>
      <c r="G239">
        <v>9.6</v>
      </c>
      <c r="H239">
        <v>0.83333330000000005</v>
      </c>
      <c r="I239">
        <v>0.1666667</v>
      </c>
      <c r="J239">
        <v>0.54545456000000003</v>
      </c>
    </row>
    <row r="240" spans="1:10" x14ac:dyDescent="0.3">
      <c r="A240">
        <v>238</v>
      </c>
      <c r="B240">
        <v>3806</v>
      </c>
      <c r="C240" t="b">
        <v>1</v>
      </c>
      <c r="D240">
        <v>8054</v>
      </c>
      <c r="E240">
        <v>8123</v>
      </c>
      <c r="F240">
        <v>8</v>
      </c>
      <c r="G240">
        <v>9.6</v>
      </c>
      <c r="H240">
        <v>0.83333330000000005</v>
      </c>
      <c r="I240">
        <v>0.1666667</v>
      </c>
      <c r="J240">
        <v>0.54545456000000003</v>
      </c>
    </row>
    <row r="241" spans="1:10" x14ac:dyDescent="0.3">
      <c r="A241">
        <v>239</v>
      </c>
      <c r="B241">
        <v>3822</v>
      </c>
      <c r="C241" t="b">
        <v>1</v>
      </c>
      <c r="D241">
        <v>8048</v>
      </c>
      <c r="E241">
        <v>8123</v>
      </c>
      <c r="F241">
        <v>8</v>
      </c>
      <c r="G241">
        <v>9.6</v>
      </c>
      <c r="H241">
        <v>0.83333330000000005</v>
      </c>
      <c r="I241">
        <v>0.1666667</v>
      </c>
      <c r="J241">
        <v>0.54545456000000003</v>
      </c>
    </row>
    <row r="242" spans="1:10" x14ac:dyDescent="0.3">
      <c r="A242">
        <v>240</v>
      </c>
      <c r="B242">
        <v>3837</v>
      </c>
      <c r="C242" t="b">
        <v>1</v>
      </c>
      <c r="D242">
        <v>8048</v>
      </c>
      <c r="E242">
        <v>8129</v>
      </c>
      <c r="F242">
        <v>8</v>
      </c>
      <c r="G242">
        <v>9.6</v>
      </c>
      <c r="H242">
        <v>0.83333330000000005</v>
      </c>
      <c r="I242">
        <v>0.1666667</v>
      </c>
      <c r="J242">
        <v>0.54545456000000003</v>
      </c>
    </row>
    <row r="243" spans="1:10" x14ac:dyDescent="0.3">
      <c r="A243">
        <v>241</v>
      </c>
      <c r="B243">
        <v>3853</v>
      </c>
      <c r="C243" t="b">
        <v>1</v>
      </c>
      <c r="D243">
        <v>8048</v>
      </c>
      <c r="E243">
        <v>8123</v>
      </c>
      <c r="F243">
        <v>8</v>
      </c>
      <c r="G243">
        <v>9.6</v>
      </c>
      <c r="H243">
        <v>0.83333330000000005</v>
      </c>
      <c r="I243">
        <v>0.1666667</v>
      </c>
      <c r="J243">
        <v>0.54545456000000003</v>
      </c>
    </row>
    <row r="244" spans="1:10" x14ac:dyDescent="0.3">
      <c r="A244">
        <v>242</v>
      </c>
      <c r="B244">
        <v>3869</v>
      </c>
      <c r="C244" t="b">
        <v>1</v>
      </c>
      <c r="D244">
        <v>8048</v>
      </c>
      <c r="E244">
        <v>8117</v>
      </c>
      <c r="F244">
        <v>8</v>
      </c>
      <c r="G244">
        <v>9.6</v>
      </c>
      <c r="H244">
        <v>0.83333330000000005</v>
      </c>
      <c r="I244">
        <v>0.1666667</v>
      </c>
      <c r="J244">
        <v>0.54545456000000003</v>
      </c>
    </row>
    <row r="245" spans="1:10" x14ac:dyDescent="0.3">
      <c r="A245">
        <v>243</v>
      </c>
      <c r="B245">
        <v>3885</v>
      </c>
      <c r="C245" t="b">
        <v>1</v>
      </c>
      <c r="D245">
        <v>8048</v>
      </c>
      <c r="E245">
        <v>8123</v>
      </c>
      <c r="F245">
        <v>8</v>
      </c>
      <c r="G245">
        <v>9.6</v>
      </c>
      <c r="H245">
        <v>0.83333330000000005</v>
      </c>
      <c r="I245">
        <v>0.1666667</v>
      </c>
      <c r="J245">
        <v>0.54545456000000003</v>
      </c>
    </row>
    <row r="246" spans="1:10" x14ac:dyDescent="0.3">
      <c r="A246">
        <v>244</v>
      </c>
      <c r="B246">
        <v>3900</v>
      </c>
      <c r="C246" t="b">
        <v>1</v>
      </c>
      <c r="D246">
        <v>8048</v>
      </c>
      <c r="E246">
        <v>8117</v>
      </c>
      <c r="F246">
        <v>8</v>
      </c>
      <c r="G246">
        <v>9.6</v>
      </c>
      <c r="H246">
        <v>0.83333330000000005</v>
      </c>
      <c r="I246">
        <v>0.1666667</v>
      </c>
      <c r="J246">
        <v>0.54545456000000003</v>
      </c>
    </row>
    <row r="247" spans="1:10" x14ac:dyDescent="0.3">
      <c r="A247">
        <v>245</v>
      </c>
      <c r="B247">
        <v>3916</v>
      </c>
      <c r="C247" t="b">
        <v>1</v>
      </c>
      <c r="D247">
        <v>8048</v>
      </c>
      <c r="E247">
        <v>8117</v>
      </c>
      <c r="F247">
        <v>8</v>
      </c>
      <c r="G247">
        <v>9.1999999999999993</v>
      </c>
      <c r="H247">
        <v>0.86956524999999996</v>
      </c>
      <c r="I247">
        <v>0.13043477000000001</v>
      </c>
      <c r="J247">
        <v>0.53488369999999996</v>
      </c>
    </row>
    <row r="248" spans="1:10" x14ac:dyDescent="0.3">
      <c r="A248">
        <v>246</v>
      </c>
      <c r="B248">
        <v>3932</v>
      </c>
      <c r="C248" t="b">
        <v>1</v>
      </c>
      <c r="D248">
        <v>8054</v>
      </c>
      <c r="E248">
        <v>8117</v>
      </c>
      <c r="F248">
        <v>8</v>
      </c>
      <c r="G248">
        <v>8.8000000000000007</v>
      </c>
      <c r="H248">
        <v>0.90909090000000004</v>
      </c>
      <c r="I248">
        <v>9.0909110000000001E-2</v>
      </c>
      <c r="J248">
        <v>0.52380954999999996</v>
      </c>
    </row>
    <row r="249" spans="1:10" x14ac:dyDescent="0.3">
      <c r="A249">
        <v>247</v>
      </c>
      <c r="B249">
        <v>3948</v>
      </c>
      <c r="C249" t="b">
        <v>1</v>
      </c>
      <c r="D249">
        <v>8054</v>
      </c>
      <c r="E249">
        <v>8117</v>
      </c>
      <c r="F249">
        <v>8</v>
      </c>
      <c r="G249">
        <v>8</v>
      </c>
      <c r="H249">
        <v>1</v>
      </c>
      <c r="I249">
        <v>0</v>
      </c>
      <c r="J249">
        <v>0.5</v>
      </c>
    </row>
    <row r="250" spans="1:10" x14ac:dyDescent="0.3">
      <c r="A250">
        <v>248</v>
      </c>
      <c r="B250">
        <v>3964</v>
      </c>
      <c r="C250" t="b">
        <v>1</v>
      </c>
      <c r="D250">
        <v>8054</v>
      </c>
      <c r="E250">
        <v>8117</v>
      </c>
      <c r="F250">
        <v>8.4</v>
      </c>
      <c r="G250">
        <v>7.2</v>
      </c>
      <c r="H250">
        <v>1.1666666000000001</v>
      </c>
      <c r="I250">
        <v>-0.16666664</v>
      </c>
      <c r="J250">
        <v>0.46153845999999998</v>
      </c>
    </row>
    <row r="251" spans="1:10" x14ac:dyDescent="0.3">
      <c r="A251">
        <v>249</v>
      </c>
      <c r="B251">
        <v>3980</v>
      </c>
      <c r="C251" t="b">
        <v>1</v>
      </c>
      <c r="D251">
        <v>8054</v>
      </c>
      <c r="E251">
        <v>8123</v>
      </c>
      <c r="F251">
        <v>8.8000000000000007</v>
      </c>
      <c r="G251">
        <v>6.4</v>
      </c>
      <c r="H251">
        <v>1.375</v>
      </c>
      <c r="I251">
        <v>-0.375</v>
      </c>
      <c r="J251">
        <v>0.4210526</v>
      </c>
    </row>
    <row r="252" spans="1:10" x14ac:dyDescent="0.3">
      <c r="A252">
        <v>250</v>
      </c>
      <c r="B252">
        <v>3996</v>
      </c>
      <c r="C252" t="b">
        <v>1</v>
      </c>
      <c r="D252">
        <v>8054</v>
      </c>
      <c r="E252">
        <v>8117</v>
      </c>
      <c r="F252">
        <v>9.1999999999999993</v>
      </c>
      <c r="G252">
        <v>5.6</v>
      </c>
      <c r="H252">
        <v>1.6428571999999999</v>
      </c>
      <c r="I252">
        <v>-0.64285713</v>
      </c>
      <c r="J252">
        <v>0.3783784</v>
      </c>
    </row>
    <row r="253" spans="1:10" x14ac:dyDescent="0.3">
      <c r="A253">
        <v>251</v>
      </c>
      <c r="B253">
        <v>4012</v>
      </c>
      <c r="C253" t="b">
        <v>1</v>
      </c>
      <c r="D253">
        <v>8054</v>
      </c>
      <c r="E253">
        <v>8123</v>
      </c>
      <c r="F253">
        <v>9.6</v>
      </c>
      <c r="G253">
        <v>5.2</v>
      </c>
      <c r="H253">
        <v>1.8461540000000001</v>
      </c>
      <c r="I253">
        <v>-0.84615399999999996</v>
      </c>
      <c r="J253">
        <v>0.35135132000000002</v>
      </c>
    </row>
    <row r="254" spans="1:10" x14ac:dyDescent="0.3">
      <c r="A254">
        <v>252</v>
      </c>
      <c r="B254">
        <v>4027</v>
      </c>
      <c r="C254" t="b">
        <v>1</v>
      </c>
      <c r="D254">
        <v>8048</v>
      </c>
      <c r="E254">
        <v>8117</v>
      </c>
      <c r="F254">
        <v>10</v>
      </c>
      <c r="G254">
        <v>4.8</v>
      </c>
      <c r="H254">
        <v>2.0833333000000001</v>
      </c>
      <c r="I254">
        <v>-1.0833333000000001</v>
      </c>
      <c r="J254">
        <v>0.32432433999999999</v>
      </c>
    </row>
    <row r="255" spans="1:10" x14ac:dyDescent="0.3">
      <c r="A255">
        <v>253</v>
      </c>
      <c r="B255">
        <v>4043</v>
      </c>
      <c r="C255" t="b">
        <v>1</v>
      </c>
      <c r="D255">
        <v>8048</v>
      </c>
      <c r="E255">
        <v>8117</v>
      </c>
      <c r="F255">
        <v>10.4</v>
      </c>
      <c r="G255">
        <v>4.4000000000000004</v>
      </c>
      <c r="H255">
        <v>2.3636363</v>
      </c>
      <c r="I255">
        <v>-1.3636363</v>
      </c>
      <c r="J255">
        <v>0.29729733000000003</v>
      </c>
    </row>
    <row r="256" spans="1:10" x14ac:dyDescent="0.3">
      <c r="A256">
        <v>254</v>
      </c>
      <c r="B256">
        <v>4059</v>
      </c>
      <c r="C256" t="b">
        <v>1</v>
      </c>
      <c r="D256">
        <v>8054</v>
      </c>
      <c r="E256">
        <v>8117</v>
      </c>
      <c r="F256">
        <v>10.8</v>
      </c>
      <c r="G256">
        <v>4</v>
      </c>
      <c r="H256">
        <v>2.7</v>
      </c>
      <c r="I256">
        <v>-1.7</v>
      </c>
      <c r="J256">
        <v>0.27027025999999998</v>
      </c>
    </row>
    <row r="257" spans="1:10" x14ac:dyDescent="0.3">
      <c r="A257">
        <v>255</v>
      </c>
      <c r="B257">
        <v>4075</v>
      </c>
      <c r="C257" t="b">
        <v>1</v>
      </c>
      <c r="D257">
        <v>8048</v>
      </c>
      <c r="E257">
        <v>8123</v>
      </c>
      <c r="F257">
        <v>10.8</v>
      </c>
      <c r="G257">
        <v>3.6</v>
      </c>
      <c r="H257">
        <v>3.0000002000000001</v>
      </c>
      <c r="I257">
        <v>-2.0000002000000001</v>
      </c>
      <c r="J257">
        <v>0.25</v>
      </c>
    </row>
    <row r="258" spans="1:10" x14ac:dyDescent="0.3">
      <c r="A258">
        <v>256</v>
      </c>
      <c r="B258">
        <v>4091</v>
      </c>
      <c r="C258" t="b">
        <v>1</v>
      </c>
      <c r="D258">
        <v>8048</v>
      </c>
      <c r="E258">
        <v>8123</v>
      </c>
      <c r="F258">
        <v>10.8</v>
      </c>
      <c r="G258">
        <v>3.2</v>
      </c>
      <c r="H258">
        <v>3.375</v>
      </c>
      <c r="I258">
        <v>-2.375</v>
      </c>
      <c r="J258">
        <v>0.22857142999999999</v>
      </c>
    </row>
    <row r="259" spans="1:10" x14ac:dyDescent="0.3">
      <c r="A259">
        <v>257</v>
      </c>
      <c r="B259">
        <v>4107</v>
      </c>
      <c r="C259" t="b">
        <v>1</v>
      </c>
      <c r="D259">
        <v>8048</v>
      </c>
      <c r="E259">
        <v>8123</v>
      </c>
      <c r="F259">
        <v>10.8</v>
      </c>
      <c r="G259">
        <v>3.2</v>
      </c>
      <c r="H259">
        <v>3.375</v>
      </c>
      <c r="I259">
        <v>-2.375</v>
      </c>
      <c r="J259">
        <v>0.22857142999999999</v>
      </c>
    </row>
    <row r="260" spans="1:10" x14ac:dyDescent="0.3">
      <c r="A260">
        <v>258</v>
      </c>
      <c r="B260">
        <v>4122</v>
      </c>
      <c r="C260" t="b">
        <v>1</v>
      </c>
      <c r="D260">
        <v>8048</v>
      </c>
      <c r="E260">
        <v>8123</v>
      </c>
      <c r="F260">
        <v>10.8</v>
      </c>
      <c r="G260">
        <v>3.2</v>
      </c>
      <c r="H260">
        <v>3.375</v>
      </c>
      <c r="I260">
        <v>-2.375</v>
      </c>
      <c r="J260">
        <v>0.22857142999999999</v>
      </c>
    </row>
    <row r="261" spans="1:10" x14ac:dyDescent="0.3">
      <c r="A261">
        <v>259</v>
      </c>
      <c r="B261">
        <v>4138</v>
      </c>
      <c r="C261" t="b">
        <v>1</v>
      </c>
      <c r="D261">
        <v>8054</v>
      </c>
      <c r="E261">
        <v>8123</v>
      </c>
      <c r="F261">
        <v>10.8</v>
      </c>
      <c r="G261">
        <v>3.2</v>
      </c>
      <c r="H261">
        <v>3.375</v>
      </c>
      <c r="I261">
        <v>-2.375</v>
      </c>
      <c r="J261">
        <v>0.22857142999999999</v>
      </c>
    </row>
    <row r="262" spans="1:10" x14ac:dyDescent="0.3">
      <c r="A262">
        <v>260</v>
      </c>
      <c r="B262">
        <v>4154</v>
      </c>
      <c r="C262" t="b">
        <v>1</v>
      </c>
      <c r="D262">
        <v>8048</v>
      </c>
      <c r="E262">
        <v>8123</v>
      </c>
      <c r="F262">
        <v>10.8</v>
      </c>
      <c r="G262">
        <v>3.6</v>
      </c>
      <c r="H262">
        <v>3.0000002000000001</v>
      </c>
      <c r="I262">
        <v>-2.0000002000000001</v>
      </c>
      <c r="J262">
        <v>0.25</v>
      </c>
    </row>
    <row r="263" spans="1:10" x14ac:dyDescent="0.3">
      <c r="A263">
        <v>261</v>
      </c>
      <c r="B263">
        <v>4170</v>
      </c>
      <c r="C263" t="b">
        <v>1</v>
      </c>
      <c r="D263">
        <v>8048</v>
      </c>
      <c r="E263">
        <v>8129</v>
      </c>
      <c r="F263">
        <v>10.8</v>
      </c>
      <c r="G263">
        <v>4</v>
      </c>
      <c r="H263">
        <v>2.7</v>
      </c>
      <c r="I263">
        <v>-1.7</v>
      </c>
      <c r="J263">
        <v>0.27027025999999998</v>
      </c>
    </row>
    <row r="264" spans="1:10" x14ac:dyDescent="0.3">
      <c r="A264">
        <v>262</v>
      </c>
      <c r="B264">
        <v>4186</v>
      </c>
      <c r="C264" t="b">
        <v>1</v>
      </c>
      <c r="D264">
        <v>8048</v>
      </c>
      <c r="E264">
        <v>8129</v>
      </c>
      <c r="F264">
        <v>10.8</v>
      </c>
      <c r="G264">
        <v>4.4000000000000004</v>
      </c>
      <c r="H264">
        <v>2.4545455</v>
      </c>
      <c r="I264">
        <v>-1.4545455</v>
      </c>
      <c r="J264">
        <v>0.28947368000000001</v>
      </c>
    </row>
    <row r="265" spans="1:10" x14ac:dyDescent="0.3">
      <c r="A265">
        <v>263</v>
      </c>
      <c r="B265">
        <v>4202</v>
      </c>
      <c r="C265" t="b">
        <v>1</v>
      </c>
      <c r="D265">
        <v>8048</v>
      </c>
      <c r="E265">
        <v>8123</v>
      </c>
      <c r="F265">
        <v>10.4</v>
      </c>
      <c r="G265">
        <v>4.8</v>
      </c>
      <c r="H265">
        <v>2.1666664999999998</v>
      </c>
      <c r="I265">
        <v>-1.1666665000000001</v>
      </c>
      <c r="J265">
        <v>0.3157895</v>
      </c>
    </row>
    <row r="266" spans="1:10" x14ac:dyDescent="0.3">
      <c r="A266">
        <v>264</v>
      </c>
      <c r="B266">
        <v>4217</v>
      </c>
      <c r="C266" t="b">
        <v>1</v>
      </c>
      <c r="D266">
        <v>8048</v>
      </c>
      <c r="E266">
        <v>8123</v>
      </c>
      <c r="F266">
        <v>10</v>
      </c>
      <c r="G266">
        <v>5.2</v>
      </c>
      <c r="H266">
        <v>1.9230769999999999</v>
      </c>
      <c r="I266">
        <v>-0.92307700000000004</v>
      </c>
      <c r="J266">
        <v>0.34210527000000002</v>
      </c>
    </row>
    <row r="267" spans="1:10" x14ac:dyDescent="0.3">
      <c r="A267">
        <v>265</v>
      </c>
      <c r="B267">
        <v>4233</v>
      </c>
      <c r="C267" t="b">
        <v>1</v>
      </c>
      <c r="D267">
        <v>8042</v>
      </c>
      <c r="E267">
        <v>8129</v>
      </c>
      <c r="F267">
        <v>9.6</v>
      </c>
      <c r="G267">
        <v>6</v>
      </c>
      <c r="H267">
        <v>1.6</v>
      </c>
      <c r="I267">
        <v>-0.60000010000000004</v>
      </c>
      <c r="J267">
        <v>0.38461536000000002</v>
      </c>
    </row>
    <row r="268" spans="1:10" x14ac:dyDescent="0.3">
      <c r="A268">
        <v>266</v>
      </c>
      <c r="B268">
        <v>4250</v>
      </c>
      <c r="C268" t="b">
        <v>1</v>
      </c>
      <c r="D268">
        <v>8048</v>
      </c>
      <c r="E268">
        <v>8123</v>
      </c>
      <c r="F268">
        <v>9.1999999999999993</v>
      </c>
      <c r="G268">
        <v>6.4</v>
      </c>
      <c r="H268">
        <v>1.4375</v>
      </c>
      <c r="I268">
        <v>-0.43749993999999998</v>
      </c>
      <c r="J268">
        <v>0.41025642000000001</v>
      </c>
    </row>
    <row r="269" spans="1:10" x14ac:dyDescent="0.3">
      <c r="A269">
        <v>267</v>
      </c>
      <c r="B269">
        <v>4265</v>
      </c>
      <c r="C269" t="b">
        <v>1</v>
      </c>
      <c r="D269">
        <v>8042</v>
      </c>
      <c r="E269">
        <v>8123</v>
      </c>
      <c r="F269">
        <v>8.8000000000000007</v>
      </c>
      <c r="G269">
        <v>6.8</v>
      </c>
      <c r="H269">
        <v>1.2941176999999999</v>
      </c>
      <c r="I269">
        <v>-0.29411763000000002</v>
      </c>
      <c r="J269">
        <v>0.43589744000000002</v>
      </c>
    </row>
    <row r="270" spans="1:10" x14ac:dyDescent="0.3">
      <c r="A270">
        <v>268</v>
      </c>
      <c r="B270">
        <v>4281</v>
      </c>
      <c r="C270" t="b">
        <v>1</v>
      </c>
      <c r="D270">
        <v>8042</v>
      </c>
      <c r="E270">
        <v>8129</v>
      </c>
      <c r="F270">
        <v>8</v>
      </c>
      <c r="G270">
        <v>7.2</v>
      </c>
      <c r="H270">
        <v>1.1111112000000001</v>
      </c>
      <c r="I270">
        <v>-0.11111114</v>
      </c>
      <c r="J270">
        <v>0.4736842</v>
      </c>
    </row>
    <row r="271" spans="1:10" x14ac:dyDescent="0.3">
      <c r="A271">
        <v>269</v>
      </c>
      <c r="B271">
        <v>4297</v>
      </c>
      <c r="C271" t="b">
        <v>1</v>
      </c>
      <c r="D271">
        <v>8042</v>
      </c>
      <c r="E271">
        <v>8123</v>
      </c>
      <c r="F271">
        <v>7.2</v>
      </c>
      <c r="G271">
        <v>7.6</v>
      </c>
      <c r="H271">
        <v>0.9473684</v>
      </c>
      <c r="I271">
        <v>5.2631589999999999E-2</v>
      </c>
      <c r="J271">
        <v>0.51351349999999996</v>
      </c>
    </row>
    <row r="272" spans="1:10" x14ac:dyDescent="0.3">
      <c r="A272">
        <v>270</v>
      </c>
      <c r="B272">
        <v>4313</v>
      </c>
      <c r="C272" t="b">
        <v>1</v>
      </c>
      <c r="D272">
        <v>8042</v>
      </c>
      <c r="E272">
        <v>8129</v>
      </c>
      <c r="F272">
        <v>6.8</v>
      </c>
      <c r="G272">
        <v>8</v>
      </c>
      <c r="H272">
        <v>0.85</v>
      </c>
      <c r="I272">
        <v>0.14999998</v>
      </c>
      <c r="J272">
        <v>0.54054049999999998</v>
      </c>
    </row>
    <row r="273" spans="1:10" x14ac:dyDescent="0.3">
      <c r="A273">
        <v>271</v>
      </c>
      <c r="B273">
        <v>4329</v>
      </c>
      <c r="C273" t="b">
        <v>1</v>
      </c>
      <c r="D273">
        <v>8042</v>
      </c>
      <c r="E273">
        <v>8123</v>
      </c>
      <c r="F273">
        <v>6.4</v>
      </c>
      <c r="G273">
        <v>8.4</v>
      </c>
      <c r="H273">
        <v>0.76190484000000003</v>
      </c>
      <c r="I273">
        <v>0.23809520000000001</v>
      </c>
      <c r="J273">
        <v>0.56756759999999995</v>
      </c>
    </row>
    <row r="274" spans="1:10" x14ac:dyDescent="0.3">
      <c r="A274">
        <v>272</v>
      </c>
      <c r="B274">
        <v>4344</v>
      </c>
      <c r="C274" t="b">
        <v>1</v>
      </c>
      <c r="D274">
        <v>8048</v>
      </c>
      <c r="E274">
        <v>8123</v>
      </c>
      <c r="F274">
        <v>6</v>
      </c>
      <c r="G274">
        <v>8.4</v>
      </c>
      <c r="H274">
        <v>0.71428572999999995</v>
      </c>
      <c r="I274">
        <v>0.28571424000000001</v>
      </c>
      <c r="J274">
        <v>0.58333330000000005</v>
      </c>
    </row>
    <row r="275" spans="1:10" x14ac:dyDescent="0.3">
      <c r="A275">
        <v>273</v>
      </c>
      <c r="B275">
        <v>4361</v>
      </c>
      <c r="C275" t="b">
        <v>1</v>
      </c>
      <c r="D275">
        <v>8048</v>
      </c>
      <c r="E275">
        <v>8123</v>
      </c>
      <c r="F275">
        <v>5.6</v>
      </c>
      <c r="G275">
        <v>8.4</v>
      </c>
      <c r="H275">
        <v>0.66666669999999995</v>
      </c>
      <c r="I275">
        <v>0.3333333</v>
      </c>
      <c r="J275">
        <v>0.59999996</v>
      </c>
    </row>
    <row r="276" spans="1:10" x14ac:dyDescent="0.3">
      <c r="A276">
        <v>274</v>
      </c>
      <c r="B276">
        <v>4376</v>
      </c>
      <c r="C276" t="b">
        <v>1</v>
      </c>
      <c r="D276">
        <v>8048</v>
      </c>
      <c r="E276">
        <v>8123</v>
      </c>
      <c r="F276">
        <v>5.6</v>
      </c>
      <c r="G276">
        <v>8.4</v>
      </c>
      <c r="H276">
        <v>0.66666669999999995</v>
      </c>
      <c r="I276">
        <v>0.3333333</v>
      </c>
      <c r="J276">
        <v>0.59999996</v>
      </c>
    </row>
    <row r="277" spans="1:10" x14ac:dyDescent="0.3">
      <c r="A277">
        <v>275</v>
      </c>
      <c r="B277">
        <v>4393</v>
      </c>
      <c r="C277" t="b">
        <v>1</v>
      </c>
      <c r="D277">
        <v>8048</v>
      </c>
      <c r="E277">
        <v>8123</v>
      </c>
      <c r="F277">
        <v>5.6</v>
      </c>
      <c r="G277">
        <v>8.4</v>
      </c>
      <c r="H277">
        <v>0.66666669999999995</v>
      </c>
      <c r="I277">
        <v>0.3333333</v>
      </c>
      <c r="J277">
        <v>0.59999996</v>
      </c>
    </row>
    <row r="278" spans="1:10" x14ac:dyDescent="0.3">
      <c r="A278">
        <v>276</v>
      </c>
      <c r="B278">
        <v>4409</v>
      </c>
      <c r="C278" t="b">
        <v>1</v>
      </c>
      <c r="D278">
        <v>8048</v>
      </c>
      <c r="E278">
        <v>8123</v>
      </c>
      <c r="F278">
        <v>5.6</v>
      </c>
      <c r="G278">
        <v>8.4</v>
      </c>
      <c r="H278">
        <v>0.66666669999999995</v>
      </c>
      <c r="I278">
        <v>0.3333333</v>
      </c>
      <c r="J278">
        <v>0.59999996</v>
      </c>
    </row>
    <row r="279" spans="1:10" x14ac:dyDescent="0.3">
      <c r="A279">
        <v>277</v>
      </c>
      <c r="B279">
        <v>4424</v>
      </c>
      <c r="C279" t="b">
        <v>1</v>
      </c>
      <c r="D279">
        <v>8054</v>
      </c>
      <c r="E279">
        <v>8123</v>
      </c>
      <c r="F279">
        <v>5.6</v>
      </c>
      <c r="G279">
        <v>8.4</v>
      </c>
      <c r="H279">
        <v>0.66666669999999995</v>
      </c>
      <c r="I279">
        <v>0.3333333</v>
      </c>
      <c r="J279">
        <v>0.59999996</v>
      </c>
    </row>
    <row r="280" spans="1:10" x14ac:dyDescent="0.3">
      <c r="A280">
        <v>278</v>
      </c>
      <c r="B280">
        <v>4440</v>
      </c>
      <c r="C280" t="b">
        <v>1</v>
      </c>
      <c r="D280">
        <v>8048</v>
      </c>
      <c r="E280">
        <v>8123</v>
      </c>
      <c r="F280">
        <v>5.6</v>
      </c>
      <c r="G280">
        <v>8.4</v>
      </c>
      <c r="H280">
        <v>0.66666669999999995</v>
      </c>
      <c r="I280">
        <v>0.3333333</v>
      </c>
      <c r="J280">
        <v>0.59999996</v>
      </c>
    </row>
    <row r="281" spans="1:10" x14ac:dyDescent="0.3">
      <c r="A281">
        <v>279</v>
      </c>
      <c r="B281">
        <v>4456</v>
      </c>
      <c r="C281" t="b">
        <v>1</v>
      </c>
      <c r="D281">
        <v>8048</v>
      </c>
      <c r="E281">
        <v>8129</v>
      </c>
      <c r="F281">
        <v>5.6</v>
      </c>
      <c r="G281">
        <v>8.4</v>
      </c>
      <c r="H281">
        <v>0.66666669999999995</v>
      </c>
      <c r="I281">
        <v>0.3333333</v>
      </c>
      <c r="J281">
        <v>0.59999996</v>
      </c>
    </row>
    <row r="282" spans="1:10" x14ac:dyDescent="0.3">
      <c r="A282">
        <v>280</v>
      </c>
      <c r="B282">
        <v>4472</v>
      </c>
      <c r="C282" t="b">
        <v>1</v>
      </c>
      <c r="D282">
        <v>8048</v>
      </c>
      <c r="E282">
        <v>8117</v>
      </c>
      <c r="F282">
        <v>5.6</v>
      </c>
      <c r="G282">
        <v>8</v>
      </c>
      <c r="H282">
        <v>0.7</v>
      </c>
      <c r="I282">
        <v>0.3</v>
      </c>
      <c r="J282">
        <v>0.58823526000000004</v>
      </c>
    </row>
    <row r="283" spans="1:10" x14ac:dyDescent="0.3">
      <c r="A283">
        <v>281</v>
      </c>
      <c r="B283">
        <v>4488</v>
      </c>
      <c r="C283" t="b">
        <v>1</v>
      </c>
      <c r="D283">
        <v>8048</v>
      </c>
      <c r="E283">
        <v>8117</v>
      </c>
      <c r="F283">
        <v>5.6</v>
      </c>
      <c r="G283">
        <v>8</v>
      </c>
      <c r="H283">
        <v>0.7</v>
      </c>
      <c r="I283">
        <v>0.3</v>
      </c>
      <c r="J283">
        <v>0.58823526000000004</v>
      </c>
    </row>
    <row r="284" spans="1:10" x14ac:dyDescent="0.3">
      <c r="A284">
        <v>282</v>
      </c>
      <c r="B284">
        <v>4504</v>
      </c>
      <c r="C284" t="b">
        <v>1</v>
      </c>
      <c r="D284">
        <v>8048</v>
      </c>
      <c r="E284">
        <v>8123</v>
      </c>
      <c r="F284">
        <v>5.6</v>
      </c>
      <c r="G284">
        <v>8</v>
      </c>
      <c r="H284">
        <v>0.7</v>
      </c>
      <c r="I284">
        <v>0.3</v>
      </c>
      <c r="J284">
        <v>0.58823526000000004</v>
      </c>
    </row>
    <row r="285" spans="1:10" x14ac:dyDescent="0.3">
      <c r="A285">
        <v>283</v>
      </c>
      <c r="B285">
        <v>4519</v>
      </c>
      <c r="C285" t="b">
        <v>1</v>
      </c>
      <c r="D285">
        <v>8048</v>
      </c>
      <c r="E285">
        <v>8123</v>
      </c>
      <c r="F285">
        <v>6</v>
      </c>
      <c r="G285">
        <v>8</v>
      </c>
      <c r="H285">
        <v>0.75</v>
      </c>
      <c r="I285">
        <v>0.25</v>
      </c>
      <c r="J285">
        <v>0.57142859999999995</v>
      </c>
    </row>
    <row r="286" spans="1:10" x14ac:dyDescent="0.3">
      <c r="A286">
        <v>284</v>
      </c>
      <c r="B286">
        <v>4535</v>
      </c>
      <c r="C286" t="b">
        <v>1</v>
      </c>
      <c r="D286">
        <v>8042</v>
      </c>
      <c r="E286">
        <v>8117</v>
      </c>
      <c r="F286">
        <v>6.4</v>
      </c>
      <c r="G286">
        <v>7.6</v>
      </c>
      <c r="H286">
        <v>0.84210527000000002</v>
      </c>
      <c r="I286">
        <v>0.15789471999999999</v>
      </c>
      <c r="J286">
        <v>0.54285709999999998</v>
      </c>
    </row>
    <row r="287" spans="1:10" x14ac:dyDescent="0.3">
      <c r="A287">
        <v>285</v>
      </c>
      <c r="B287">
        <v>4551</v>
      </c>
      <c r="C287" t="b">
        <v>1</v>
      </c>
      <c r="D287">
        <v>8048</v>
      </c>
      <c r="E287">
        <v>8123</v>
      </c>
      <c r="F287">
        <v>6.8</v>
      </c>
      <c r="G287">
        <v>7.6</v>
      </c>
      <c r="H287">
        <v>0.89473689999999995</v>
      </c>
      <c r="I287">
        <v>0.10526312</v>
      </c>
      <c r="J287">
        <v>0.52777779999999996</v>
      </c>
    </row>
    <row r="288" spans="1:10" x14ac:dyDescent="0.3">
      <c r="A288">
        <v>286</v>
      </c>
      <c r="B288">
        <v>4567</v>
      </c>
      <c r="C288" t="b">
        <v>1</v>
      </c>
      <c r="D288">
        <v>8048</v>
      </c>
      <c r="E288">
        <v>8123</v>
      </c>
      <c r="F288">
        <v>7.2</v>
      </c>
      <c r="G288">
        <v>7.6</v>
      </c>
      <c r="H288">
        <v>0.9473684</v>
      </c>
      <c r="I288">
        <v>5.2631589999999999E-2</v>
      </c>
      <c r="J288">
        <v>0.51351349999999996</v>
      </c>
    </row>
    <row r="289" spans="1:10" x14ac:dyDescent="0.3">
      <c r="A289">
        <v>287</v>
      </c>
      <c r="B289">
        <v>4583</v>
      </c>
      <c r="C289" t="b">
        <v>1</v>
      </c>
      <c r="D289">
        <v>8048</v>
      </c>
      <c r="E289">
        <v>8123</v>
      </c>
      <c r="F289">
        <v>7.6</v>
      </c>
      <c r="G289">
        <v>7.6</v>
      </c>
      <c r="H289">
        <v>1</v>
      </c>
      <c r="I289">
        <v>0</v>
      </c>
      <c r="J289">
        <v>0.5</v>
      </c>
    </row>
    <row r="290" spans="1:10" x14ac:dyDescent="0.3">
      <c r="A290">
        <v>288</v>
      </c>
      <c r="B290">
        <v>4599</v>
      </c>
      <c r="C290" t="b">
        <v>1</v>
      </c>
      <c r="D290">
        <v>8048</v>
      </c>
      <c r="E290">
        <v>8123</v>
      </c>
      <c r="F290">
        <v>8</v>
      </c>
      <c r="G290">
        <v>7.6</v>
      </c>
      <c r="H290">
        <v>1.0526316</v>
      </c>
      <c r="I290">
        <v>-5.2631589999999999E-2</v>
      </c>
      <c r="J290">
        <v>0.48717946000000001</v>
      </c>
    </row>
    <row r="291" spans="1:10" x14ac:dyDescent="0.3">
      <c r="A291">
        <v>289</v>
      </c>
      <c r="B291">
        <v>4615</v>
      </c>
      <c r="C291" t="b">
        <v>1</v>
      </c>
      <c r="D291">
        <v>8048</v>
      </c>
      <c r="E291">
        <v>8123</v>
      </c>
      <c r="F291">
        <v>8</v>
      </c>
      <c r="G291">
        <v>7.6</v>
      </c>
      <c r="H291">
        <v>1.0526316</v>
      </c>
      <c r="I291">
        <v>-5.2631589999999999E-2</v>
      </c>
      <c r="J291">
        <v>0.48717946000000001</v>
      </c>
    </row>
    <row r="292" spans="1:10" x14ac:dyDescent="0.3">
      <c r="A292">
        <v>290</v>
      </c>
      <c r="B292">
        <v>4630</v>
      </c>
      <c r="C292" t="b">
        <v>1</v>
      </c>
      <c r="D292">
        <v>8048</v>
      </c>
      <c r="E292">
        <v>8123</v>
      </c>
      <c r="F292">
        <v>8</v>
      </c>
      <c r="G292">
        <v>7.6</v>
      </c>
      <c r="H292">
        <v>1.0526316</v>
      </c>
      <c r="I292">
        <v>-5.2631589999999999E-2</v>
      </c>
      <c r="J292">
        <v>0.48717946000000001</v>
      </c>
    </row>
    <row r="293" spans="1:10" x14ac:dyDescent="0.3">
      <c r="A293">
        <v>291</v>
      </c>
      <c r="B293">
        <v>4646</v>
      </c>
      <c r="C293" t="b">
        <v>1</v>
      </c>
      <c r="D293">
        <v>8048</v>
      </c>
      <c r="E293">
        <v>8123</v>
      </c>
      <c r="F293">
        <v>8</v>
      </c>
      <c r="G293">
        <v>7.6</v>
      </c>
      <c r="H293">
        <v>1.0526316</v>
      </c>
      <c r="I293">
        <v>-5.2631589999999999E-2</v>
      </c>
      <c r="J293">
        <v>0.48717946000000001</v>
      </c>
    </row>
    <row r="294" spans="1:10" x14ac:dyDescent="0.3">
      <c r="A294">
        <v>292</v>
      </c>
      <c r="B294">
        <v>4662</v>
      </c>
      <c r="C294" t="b">
        <v>1</v>
      </c>
      <c r="D294">
        <v>8048</v>
      </c>
      <c r="E294">
        <v>8123</v>
      </c>
      <c r="F294">
        <v>8</v>
      </c>
      <c r="G294">
        <v>7.6</v>
      </c>
      <c r="H294">
        <v>1.0526316</v>
      </c>
      <c r="I294">
        <v>-5.2631589999999999E-2</v>
      </c>
      <c r="J294">
        <v>0.48717946000000001</v>
      </c>
    </row>
    <row r="295" spans="1:10" x14ac:dyDescent="0.3">
      <c r="A295">
        <v>293</v>
      </c>
      <c r="B295">
        <v>4677</v>
      </c>
      <c r="C295" t="b">
        <v>1</v>
      </c>
      <c r="D295">
        <v>8048</v>
      </c>
      <c r="E295">
        <v>8123</v>
      </c>
      <c r="F295">
        <v>8</v>
      </c>
      <c r="G295">
        <v>7.6</v>
      </c>
      <c r="H295">
        <v>1.0526316</v>
      </c>
      <c r="I295">
        <v>-5.2631589999999999E-2</v>
      </c>
      <c r="J295">
        <v>0.48717946000000001</v>
      </c>
    </row>
    <row r="296" spans="1:10" x14ac:dyDescent="0.3">
      <c r="A296">
        <v>294</v>
      </c>
      <c r="B296">
        <v>4693</v>
      </c>
      <c r="C296" t="b">
        <v>1</v>
      </c>
      <c r="D296">
        <v>8048</v>
      </c>
      <c r="E296">
        <v>8129</v>
      </c>
      <c r="F296">
        <v>8</v>
      </c>
      <c r="G296">
        <v>7.6</v>
      </c>
      <c r="H296">
        <v>1.0526316</v>
      </c>
      <c r="I296">
        <v>-5.2631589999999999E-2</v>
      </c>
      <c r="J296">
        <v>0.48717946000000001</v>
      </c>
    </row>
    <row r="297" spans="1:10" x14ac:dyDescent="0.3">
      <c r="A297">
        <v>295</v>
      </c>
      <c r="B297">
        <v>4709</v>
      </c>
      <c r="C297" t="b">
        <v>1</v>
      </c>
      <c r="D297">
        <v>8048</v>
      </c>
      <c r="E297">
        <v>8123</v>
      </c>
      <c r="F297">
        <v>8</v>
      </c>
      <c r="G297">
        <v>7.6</v>
      </c>
      <c r="H297">
        <v>1.0526316</v>
      </c>
      <c r="I297">
        <v>-5.2631589999999999E-2</v>
      </c>
      <c r="J297">
        <v>0.48717946000000001</v>
      </c>
    </row>
    <row r="298" spans="1:10" x14ac:dyDescent="0.3">
      <c r="A298">
        <v>296</v>
      </c>
      <c r="B298">
        <v>4725</v>
      </c>
      <c r="C298" t="b">
        <v>1</v>
      </c>
      <c r="D298">
        <v>8048</v>
      </c>
      <c r="E298">
        <v>8129</v>
      </c>
      <c r="F298">
        <v>8</v>
      </c>
      <c r="G298">
        <v>7.6</v>
      </c>
      <c r="H298">
        <v>1.0526316</v>
      </c>
      <c r="I298">
        <v>-5.2631589999999999E-2</v>
      </c>
      <c r="J298">
        <v>0.48717946000000001</v>
      </c>
    </row>
    <row r="299" spans="1:10" x14ac:dyDescent="0.3">
      <c r="A299">
        <v>297</v>
      </c>
      <c r="B299">
        <v>4741</v>
      </c>
      <c r="C299" t="b">
        <v>1</v>
      </c>
      <c r="D299">
        <v>8042</v>
      </c>
      <c r="E299">
        <v>8123</v>
      </c>
      <c r="F299">
        <v>8</v>
      </c>
      <c r="G299">
        <v>7.6</v>
      </c>
      <c r="H299">
        <v>1.0526316</v>
      </c>
      <c r="I299">
        <v>-5.2631589999999999E-2</v>
      </c>
      <c r="J299">
        <v>0.48717946000000001</v>
      </c>
    </row>
    <row r="300" spans="1:10" x14ac:dyDescent="0.3">
      <c r="A300">
        <v>298</v>
      </c>
      <c r="B300">
        <v>4757</v>
      </c>
      <c r="C300" t="b">
        <v>1</v>
      </c>
      <c r="D300">
        <v>8042</v>
      </c>
      <c r="E300">
        <v>8123</v>
      </c>
      <c r="F300">
        <v>8</v>
      </c>
      <c r="G300">
        <v>7.6</v>
      </c>
      <c r="H300">
        <v>1.0526316</v>
      </c>
      <c r="I300">
        <v>-5.2631589999999999E-2</v>
      </c>
      <c r="J300">
        <v>0.48717946000000001</v>
      </c>
    </row>
    <row r="301" spans="1:10" x14ac:dyDescent="0.3">
      <c r="A301">
        <v>299</v>
      </c>
      <c r="B301">
        <v>4773</v>
      </c>
      <c r="C301" t="b">
        <v>1</v>
      </c>
      <c r="D301">
        <v>8042</v>
      </c>
      <c r="E301">
        <v>8123</v>
      </c>
      <c r="F301">
        <v>7.6</v>
      </c>
      <c r="G301">
        <v>8</v>
      </c>
      <c r="H301">
        <v>0.95</v>
      </c>
      <c r="I301">
        <v>5.0000012000000003E-2</v>
      </c>
      <c r="J301">
        <v>0.51282050000000001</v>
      </c>
    </row>
    <row r="302" spans="1:10" x14ac:dyDescent="0.3">
      <c r="A302">
        <v>300</v>
      </c>
      <c r="B302">
        <v>4789</v>
      </c>
      <c r="C302" t="b">
        <v>1</v>
      </c>
      <c r="D302">
        <v>8042</v>
      </c>
      <c r="E302">
        <v>8117</v>
      </c>
      <c r="F302">
        <v>7.2</v>
      </c>
      <c r="G302">
        <v>8</v>
      </c>
      <c r="H302">
        <v>0.9</v>
      </c>
      <c r="I302">
        <v>0.10000002400000001</v>
      </c>
      <c r="J302">
        <v>0.5263158</v>
      </c>
    </row>
    <row r="303" spans="1:10" x14ac:dyDescent="0.3">
      <c r="A303">
        <v>301</v>
      </c>
      <c r="B303">
        <v>4805</v>
      </c>
      <c r="C303" t="b">
        <v>1</v>
      </c>
      <c r="D303">
        <v>8042</v>
      </c>
      <c r="E303">
        <v>8123</v>
      </c>
      <c r="F303">
        <v>6.8</v>
      </c>
      <c r="G303">
        <v>8</v>
      </c>
      <c r="H303">
        <v>0.85</v>
      </c>
      <c r="I303">
        <v>0.14999998</v>
      </c>
      <c r="J303">
        <v>0.54054049999999998</v>
      </c>
    </row>
    <row r="304" spans="1:10" x14ac:dyDescent="0.3">
      <c r="A304">
        <v>302</v>
      </c>
      <c r="B304">
        <v>4822</v>
      </c>
      <c r="C304" t="b">
        <v>1</v>
      </c>
      <c r="D304">
        <v>8042</v>
      </c>
      <c r="E304">
        <v>8117</v>
      </c>
      <c r="F304">
        <v>6.4</v>
      </c>
      <c r="G304">
        <v>8</v>
      </c>
      <c r="H304">
        <v>0.8</v>
      </c>
      <c r="I304">
        <v>0.19999998999999999</v>
      </c>
      <c r="J304">
        <v>0.55555560000000004</v>
      </c>
    </row>
    <row r="305" spans="1:10" x14ac:dyDescent="0.3">
      <c r="A305">
        <v>303</v>
      </c>
      <c r="B305">
        <v>4837</v>
      </c>
      <c r="C305" t="b">
        <v>1</v>
      </c>
      <c r="D305">
        <v>8048</v>
      </c>
      <c r="E305">
        <v>8129</v>
      </c>
      <c r="F305">
        <v>6</v>
      </c>
      <c r="G305">
        <v>8</v>
      </c>
      <c r="H305">
        <v>0.75</v>
      </c>
      <c r="I305">
        <v>0.25</v>
      </c>
      <c r="J305">
        <v>0.57142859999999995</v>
      </c>
    </row>
    <row r="306" spans="1:10" x14ac:dyDescent="0.3">
      <c r="A306">
        <v>304</v>
      </c>
      <c r="B306">
        <v>4868</v>
      </c>
      <c r="C306" t="b">
        <v>1</v>
      </c>
      <c r="D306">
        <v>8048</v>
      </c>
      <c r="E306">
        <v>8117</v>
      </c>
      <c r="F306">
        <v>5.6</v>
      </c>
      <c r="G306">
        <v>7.6</v>
      </c>
      <c r="H306">
        <v>0.73684210000000006</v>
      </c>
      <c r="I306">
        <v>0.2631579</v>
      </c>
      <c r="J306">
        <v>0.57575756</v>
      </c>
    </row>
    <row r="307" spans="1:10" x14ac:dyDescent="0.3">
      <c r="A307">
        <v>305</v>
      </c>
      <c r="B307">
        <v>4885</v>
      </c>
      <c r="C307" t="b">
        <v>1</v>
      </c>
      <c r="D307">
        <v>8054</v>
      </c>
      <c r="E307">
        <v>8117</v>
      </c>
      <c r="F307">
        <v>5.6</v>
      </c>
      <c r="G307">
        <v>7.2</v>
      </c>
      <c r="H307">
        <v>0.77777779999999996</v>
      </c>
      <c r="I307">
        <v>0.22222221</v>
      </c>
      <c r="J307">
        <v>0.5625</v>
      </c>
    </row>
    <row r="308" spans="1:10" x14ac:dyDescent="0.3">
      <c r="A308">
        <v>306</v>
      </c>
      <c r="B308">
        <v>4900</v>
      </c>
      <c r="C308" t="b">
        <v>1</v>
      </c>
      <c r="D308">
        <v>8048</v>
      </c>
      <c r="E308">
        <v>8117</v>
      </c>
      <c r="F308">
        <v>5.6</v>
      </c>
      <c r="G308">
        <v>6.8</v>
      </c>
      <c r="H308">
        <v>0.82352935999999999</v>
      </c>
      <c r="I308">
        <v>0.17647061999999999</v>
      </c>
      <c r="J308">
        <v>0.54838710000000002</v>
      </c>
    </row>
    <row r="309" spans="1:10" x14ac:dyDescent="0.3">
      <c r="A309">
        <v>307</v>
      </c>
      <c r="B309">
        <v>4916</v>
      </c>
      <c r="C309" t="b">
        <v>1</v>
      </c>
      <c r="D309">
        <v>8048</v>
      </c>
      <c r="E309">
        <v>8117</v>
      </c>
      <c r="F309">
        <v>5.6</v>
      </c>
      <c r="G309">
        <v>6.4</v>
      </c>
      <c r="H309">
        <v>0.875</v>
      </c>
      <c r="I309">
        <v>0.12500003000000001</v>
      </c>
      <c r="J309">
        <v>0.53333335999999998</v>
      </c>
    </row>
    <row r="310" spans="1:10" x14ac:dyDescent="0.3">
      <c r="A310">
        <v>308</v>
      </c>
      <c r="B310">
        <v>4932</v>
      </c>
      <c r="C310" t="b">
        <v>1</v>
      </c>
      <c r="D310">
        <v>8048</v>
      </c>
      <c r="E310">
        <v>8117</v>
      </c>
      <c r="F310">
        <v>5.6</v>
      </c>
      <c r="G310">
        <v>6</v>
      </c>
      <c r="H310">
        <v>0.93333334000000001</v>
      </c>
      <c r="I310">
        <v>6.6666685000000003E-2</v>
      </c>
      <c r="J310">
        <v>0.51724135999999998</v>
      </c>
    </row>
    <row r="311" spans="1:10" x14ac:dyDescent="0.3">
      <c r="A311">
        <v>309</v>
      </c>
      <c r="B311">
        <v>4948</v>
      </c>
      <c r="C311" t="b">
        <v>1</v>
      </c>
      <c r="D311">
        <v>8048</v>
      </c>
      <c r="E311">
        <v>8117</v>
      </c>
      <c r="F311">
        <v>5.6</v>
      </c>
      <c r="G311">
        <v>5.6</v>
      </c>
      <c r="H311">
        <v>1</v>
      </c>
      <c r="I311">
        <v>0</v>
      </c>
      <c r="J311">
        <v>0.5</v>
      </c>
    </row>
    <row r="312" spans="1:10" x14ac:dyDescent="0.3">
      <c r="A312">
        <v>310</v>
      </c>
      <c r="B312">
        <v>4964</v>
      </c>
      <c r="C312" t="b">
        <v>1</v>
      </c>
      <c r="D312">
        <v>8054</v>
      </c>
      <c r="E312">
        <v>8134</v>
      </c>
      <c r="F312">
        <v>5.6</v>
      </c>
      <c r="G312">
        <v>5.2</v>
      </c>
      <c r="H312">
        <v>1.0769230999999999</v>
      </c>
      <c r="I312">
        <v>-7.6923094999999997E-2</v>
      </c>
      <c r="J312">
        <v>0.48148150000000001</v>
      </c>
    </row>
    <row r="313" spans="1:10" x14ac:dyDescent="0.3">
      <c r="A313">
        <v>311</v>
      </c>
      <c r="B313">
        <v>4980</v>
      </c>
      <c r="C313" t="b">
        <v>1</v>
      </c>
      <c r="D313">
        <v>8048</v>
      </c>
      <c r="E313">
        <v>8129</v>
      </c>
      <c r="F313">
        <v>5.6</v>
      </c>
      <c r="G313">
        <v>4.8</v>
      </c>
      <c r="H313">
        <v>1.1666666000000001</v>
      </c>
      <c r="I313">
        <v>-0.1666666</v>
      </c>
      <c r="J313">
        <v>0.46153850000000002</v>
      </c>
    </row>
    <row r="314" spans="1:10" x14ac:dyDescent="0.3">
      <c r="A314">
        <v>312</v>
      </c>
      <c r="B314">
        <v>4995</v>
      </c>
      <c r="C314" t="b">
        <v>1</v>
      </c>
      <c r="D314">
        <v>8048</v>
      </c>
      <c r="E314">
        <v>8123</v>
      </c>
      <c r="F314">
        <v>5.6</v>
      </c>
      <c r="G314">
        <v>4.8</v>
      </c>
      <c r="H314">
        <v>1.1666666000000001</v>
      </c>
      <c r="I314">
        <v>-0.1666666</v>
      </c>
      <c r="J314">
        <v>0.46153850000000002</v>
      </c>
    </row>
    <row r="315" spans="1:10" x14ac:dyDescent="0.3">
      <c r="A315">
        <v>313</v>
      </c>
      <c r="B315">
        <v>5011</v>
      </c>
      <c r="C315" t="b">
        <v>1</v>
      </c>
      <c r="D315">
        <v>8042</v>
      </c>
      <c r="E315">
        <v>8134</v>
      </c>
      <c r="F315">
        <v>5.6</v>
      </c>
      <c r="G315">
        <v>5.2</v>
      </c>
      <c r="H315">
        <v>1.0769230999999999</v>
      </c>
      <c r="I315">
        <v>-7.6923094999999997E-2</v>
      </c>
      <c r="J315">
        <v>0.48148150000000001</v>
      </c>
    </row>
    <row r="316" spans="1:10" x14ac:dyDescent="0.3">
      <c r="A316">
        <v>314</v>
      </c>
      <c r="B316">
        <v>5028</v>
      </c>
      <c r="C316" t="b">
        <v>1</v>
      </c>
      <c r="D316">
        <v>8048</v>
      </c>
      <c r="E316">
        <v>8129</v>
      </c>
      <c r="F316">
        <v>6</v>
      </c>
      <c r="G316">
        <v>5.6</v>
      </c>
      <c r="H316">
        <v>1.0714284999999999</v>
      </c>
      <c r="I316">
        <v>-7.142859E-2</v>
      </c>
      <c r="J316">
        <v>0.48275859999999998</v>
      </c>
    </row>
    <row r="317" spans="1:10" x14ac:dyDescent="0.3">
      <c r="A317">
        <v>315</v>
      </c>
      <c r="B317">
        <v>5044</v>
      </c>
      <c r="C317" t="b">
        <v>1</v>
      </c>
      <c r="D317">
        <v>8048</v>
      </c>
      <c r="E317">
        <v>8123</v>
      </c>
      <c r="F317">
        <v>6.4</v>
      </c>
      <c r="G317">
        <v>6</v>
      </c>
      <c r="H317">
        <v>1.0666667000000001</v>
      </c>
      <c r="I317">
        <v>-6.6666685000000003E-2</v>
      </c>
      <c r="J317">
        <v>0.48387098000000001</v>
      </c>
    </row>
    <row r="318" spans="1:10" x14ac:dyDescent="0.3">
      <c r="A318">
        <v>316</v>
      </c>
      <c r="B318">
        <v>5060</v>
      </c>
      <c r="C318" t="b">
        <v>1</v>
      </c>
      <c r="D318">
        <v>8048</v>
      </c>
      <c r="E318">
        <v>8123</v>
      </c>
      <c r="F318">
        <v>6.8</v>
      </c>
      <c r="G318">
        <v>6</v>
      </c>
      <c r="H318">
        <v>1.1333333000000001</v>
      </c>
      <c r="I318">
        <v>-0.13333337000000001</v>
      </c>
      <c r="J318">
        <v>0.46875</v>
      </c>
    </row>
    <row r="319" spans="1:10" x14ac:dyDescent="0.3">
      <c r="A319">
        <v>317</v>
      </c>
      <c r="B319">
        <v>5075</v>
      </c>
      <c r="C319" t="b">
        <v>1</v>
      </c>
      <c r="D319">
        <v>8048</v>
      </c>
      <c r="E319">
        <v>8123</v>
      </c>
      <c r="F319">
        <v>7.2</v>
      </c>
      <c r="G319">
        <v>6</v>
      </c>
      <c r="H319">
        <v>1.1999998999999999</v>
      </c>
      <c r="I319">
        <v>-0.19999997</v>
      </c>
      <c r="J319">
        <v>0.45454547000000001</v>
      </c>
    </row>
    <row r="320" spans="1:10" x14ac:dyDescent="0.3">
      <c r="A320">
        <v>318</v>
      </c>
      <c r="B320">
        <v>5092</v>
      </c>
      <c r="C320" t="b">
        <v>1</v>
      </c>
      <c r="D320">
        <v>8048</v>
      </c>
      <c r="E320">
        <v>8123</v>
      </c>
      <c r="F320">
        <v>7.6</v>
      </c>
      <c r="G320">
        <v>6</v>
      </c>
      <c r="H320">
        <v>1.2666667</v>
      </c>
      <c r="I320">
        <v>-0.26666665000000001</v>
      </c>
      <c r="J320">
        <v>0.44117644</v>
      </c>
    </row>
    <row r="321" spans="1:10" x14ac:dyDescent="0.3">
      <c r="A321">
        <v>319</v>
      </c>
      <c r="B321">
        <v>5107</v>
      </c>
      <c r="C321" t="b">
        <v>1</v>
      </c>
      <c r="D321">
        <v>8048</v>
      </c>
      <c r="E321">
        <v>8123</v>
      </c>
      <c r="F321">
        <v>8</v>
      </c>
      <c r="G321">
        <v>6.4</v>
      </c>
      <c r="H321">
        <v>1.25</v>
      </c>
      <c r="I321">
        <v>-0.24999999000000001</v>
      </c>
      <c r="J321">
        <v>0.44444447999999998</v>
      </c>
    </row>
    <row r="322" spans="1:10" x14ac:dyDescent="0.3">
      <c r="A322">
        <v>320</v>
      </c>
      <c r="B322">
        <v>5124</v>
      </c>
      <c r="C322" t="b">
        <v>1</v>
      </c>
      <c r="D322">
        <v>8048</v>
      </c>
      <c r="E322">
        <v>8123</v>
      </c>
      <c r="F322">
        <v>8</v>
      </c>
      <c r="G322">
        <v>6.8</v>
      </c>
      <c r="H322">
        <v>1.1764705</v>
      </c>
      <c r="I322">
        <v>-0.17647055</v>
      </c>
      <c r="J322">
        <v>0.45945944999999999</v>
      </c>
    </row>
    <row r="323" spans="1:10" x14ac:dyDescent="0.3">
      <c r="A323">
        <v>321</v>
      </c>
      <c r="B323">
        <v>5140</v>
      </c>
      <c r="C323" t="b">
        <v>1</v>
      </c>
      <c r="D323">
        <v>8042</v>
      </c>
      <c r="E323">
        <v>8123</v>
      </c>
      <c r="F323">
        <v>8</v>
      </c>
      <c r="G323">
        <v>7.2</v>
      </c>
      <c r="H323">
        <v>1.1111112000000001</v>
      </c>
      <c r="I323">
        <v>-0.11111114</v>
      </c>
      <c r="J323">
        <v>0.4736842</v>
      </c>
    </row>
    <row r="324" spans="1:10" x14ac:dyDescent="0.3">
      <c r="A324">
        <v>322</v>
      </c>
      <c r="B324">
        <v>5155</v>
      </c>
      <c r="C324" t="b">
        <v>1</v>
      </c>
      <c r="D324">
        <v>8048</v>
      </c>
      <c r="E324">
        <v>8123</v>
      </c>
      <c r="F324">
        <v>8</v>
      </c>
      <c r="G324">
        <v>7.6</v>
      </c>
      <c r="H324">
        <v>1.0526316</v>
      </c>
      <c r="I324">
        <v>-5.2631589999999999E-2</v>
      </c>
      <c r="J324">
        <v>0.48717946000000001</v>
      </c>
    </row>
    <row r="325" spans="1:10" x14ac:dyDescent="0.3">
      <c r="A325">
        <v>323</v>
      </c>
      <c r="B325">
        <v>5171</v>
      </c>
      <c r="C325" t="b">
        <v>1</v>
      </c>
      <c r="D325">
        <v>8048</v>
      </c>
      <c r="E325">
        <v>8129</v>
      </c>
      <c r="F325">
        <v>8</v>
      </c>
      <c r="G325">
        <v>8</v>
      </c>
      <c r="H325">
        <v>1</v>
      </c>
      <c r="I325">
        <v>0</v>
      </c>
      <c r="J325">
        <v>0.5</v>
      </c>
    </row>
    <row r="326" spans="1:10" x14ac:dyDescent="0.3">
      <c r="A326">
        <v>324</v>
      </c>
      <c r="B326">
        <v>5187</v>
      </c>
      <c r="C326" t="b">
        <v>1</v>
      </c>
      <c r="D326">
        <v>8048</v>
      </c>
      <c r="E326">
        <v>8117</v>
      </c>
      <c r="F326">
        <v>8</v>
      </c>
      <c r="G326">
        <v>8.4</v>
      </c>
      <c r="H326">
        <v>0.95238100000000003</v>
      </c>
      <c r="I326">
        <v>4.7619003999999999E-2</v>
      </c>
      <c r="J326">
        <v>0.51219510000000001</v>
      </c>
    </row>
    <row r="327" spans="1:10" x14ac:dyDescent="0.3">
      <c r="A327">
        <v>325</v>
      </c>
      <c r="B327">
        <v>5203</v>
      </c>
      <c r="C327" t="b">
        <v>1</v>
      </c>
      <c r="D327">
        <v>8048</v>
      </c>
      <c r="E327">
        <v>8117</v>
      </c>
      <c r="F327">
        <v>8</v>
      </c>
      <c r="G327">
        <v>8.8000000000000007</v>
      </c>
      <c r="H327">
        <v>0.90909090000000004</v>
      </c>
      <c r="I327">
        <v>9.0909110000000001E-2</v>
      </c>
      <c r="J327">
        <v>0.52380954999999996</v>
      </c>
    </row>
    <row r="328" spans="1:10" x14ac:dyDescent="0.3">
      <c r="A328">
        <v>326</v>
      </c>
      <c r="B328">
        <v>5219</v>
      </c>
      <c r="C328" t="b">
        <v>1</v>
      </c>
      <c r="D328">
        <v>8054</v>
      </c>
      <c r="E328">
        <v>8117</v>
      </c>
      <c r="F328">
        <v>8</v>
      </c>
      <c r="G328">
        <v>8.8000000000000007</v>
      </c>
      <c r="H328">
        <v>0.90909090000000004</v>
      </c>
      <c r="I328">
        <v>9.0909110000000001E-2</v>
      </c>
      <c r="J328">
        <v>0.52380954999999996</v>
      </c>
    </row>
    <row r="329" spans="1:10" x14ac:dyDescent="0.3">
      <c r="A329">
        <v>327</v>
      </c>
      <c r="B329">
        <v>5235</v>
      </c>
      <c r="C329" t="b">
        <v>1</v>
      </c>
      <c r="D329">
        <v>8048</v>
      </c>
      <c r="E329">
        <v>8123</v>
      </c>
      <c r="F329">
        <v>8</v>
      </c>
      <c r="G329">
        <v>8.4</v>
      </c>
      <c r="H329">
        <v>0.95238100000000003</v>
      </c>
      <c r="I329">
        <v>4.7619003999999999E-2</v>
      </c>
      <c r="J329">
        <v>0.51219510000000001</v>
      </c>
    </row>
    <row r="330" spans="1:10" x14ac:dyDescent="0.3">
      <c r="A330">
        <v>328</v>
      </c>
      <c r="B330">
        <v>5250</v>
      </c>
      <c r="C330" t="b">
        <v>1</v>
      </c>
      <c r="D330">
        <v>8048</v>
      </c>
      <c r="E330">
        <v>8123</v>
      </c>
      <c r="F330">
        <v>8</v>
      </c>
      <c r="G330">
        <v>7.6</v>
      </c>
      <c r="H330">
        <v>1.0526316</v>
      </c>
      <c r="I330">
        <v>-5.2631589999999999E-2</v>
      </c>
      <c r="J330">
        <v>0.48717946000000001</v>
      </c>
    </row>
    <row r="331" spans="1:10" x14ac:dyDescent="0.3">
      <c r="A331">
        <v>329</v>
      </c>
      <c r="B331">
        <v>5267</v>
      </c>
      <c r="C331" t="b">
        <v>1</v>
      </c>
      <c r="D331">
        <v>8048</v>
      </c>
      <c r="E331">
        <v>8123</v>
      </c>
      <c r="F331">
        <v>8</v>
      </c>
      <c r="G331">
        <v>7.2</v>
      </c>
      <c r="H331">
        <v>1.1111112000000001</v>
      </c>
      <c r="I331">
        <v>-0.11111114</v>
      </c>
      <c r="J331">
        <v>0.4736842</v>
      </c>
    </row>
    <row r="332" spans="1:10" x14ac:dyDescent="0.3">
      <c r="A332">
        <v>330</v>
      </c>
      <c r="B332">
        <v>5283</v>
      </c>
      <c r="C332" t="b">
        <v>1</v>
      </c>
      <c r="D332">
        <v>8048</v>
      </c>
      <c r="E332">
        <v>8123</v>
      </c>
      <c r="F332">
        <v>8</v>
      </c>
      <c r="G332">
        <v>6.8</v>
      </c>
      <c r="H332">
        <v>1.1764705</v>
      </c>
      <c r="I332">
        <v>-0.17647055</v>
      </c>
      <c r="J332">
        <v>0.45945944999999999</v>
      </c>
    </row>
    <row r="333" spans="1:10" x14ac:dyDescent="0.3">
      <c r="A333">
        <v>331</v>
      </c>
      <c r="B333">
        <v>5298</v>
      </c>
      <c r="C333" t="b">
        <v>1</v>
      </c>
      <c r="D333">
        <v>8048</v>
      </c>
      <c r="E333">
        <v>8123</v>
      </c>
      <c r="F333">
        <v>8</v>
      </c>
      <c r="G333">
        <v>6.8</v>
      </c>
      <c r="H333">
        <v>1.1764705</v>
      </c>
      <c r="I333">
        <v>-0.17647055</v>
      </c>
      <c r="J333">
        <v>0.45945944999999999</v>
      </c>
    </row>
    <row r="334" spans="1:10" x14ac:dyDescent="0.3">
      <c r="A334">
        <v>332</v>
      </c>
      <c r="B334">
        <v>5314</v>
      </c>
      <c r="C334" t="b">
        <v>1</v>
      </c>
      <c r="D334">
        <v>8048</v>
      </c>
      <c r="E334">
        <v>8123</v>
      </c>
      <c r="F334">
        <v>8</v>
      </c>
      <c r="G334">
        <v>6.8</v>
      </c>
      <c r="H334">
        <v>1.1764705</v>
      </c>
      <c r="I334">
        <v>-0.17647055</v>
      </c>
      <c r="J334">
        <v>0.45945944999999999</v>
      </c>
    </row>
    <row r="335" spans="1:10" x14ac:dyDescent="0.3">
      <c r="A335">
        <v>333</v>
      </c>
      <c r="B335">
        <v>5330</v>
      </c>
      <c r="C335" t="b">
        <v>1</v>
      </c>
      <c r="D335">
        <v>8042</v>
      </c>
      <c r="E335">
        <v>8123</v>
      </c>
      <c r="F335">
        <v>8</v>
      </c>
      <c r="G335">
        <v>6.8</v>
      </c>
      <c r="H335">
        <v>1.1764705</v>
      </c>
      <c r="I335">
        <v>-0.17647055</v>
      </c>
      <c r="J335">
        <v>0.45945944999999999</v>
      </c>
    </row>
    <row r="336" spans="1:10" x14ac:dyDescent="0.3">
      <c r="A336">
        <v>334</v>
      </c>
      <c r="B336">
        <v>5346</v>
      </c>
      <c r="C336" t="b">
        <v>1</v>
      </c>
      <c r="D336">
        <v>8054</v>
      </c>
      <c r="E336">
        <v>8129</v>
      </c>
      <c r="F336">
        <v>8</v>
      </c>
      <c r="G336">
        <v>6.8</v>
      </c>
      <c r="H336">
        <v>1.1764705</v>
      </c>
      <c r="I336">
        <v>-0.17647055</v>
      </c>
      <c r="J336">
        <v>0.45945944999999999</v>
      </c>
    </row>
    <row r="337" spans="1:10" x14ac:dyDescent="0.3">
      <c r="A337">
        <v>335</v>
      </c>
      <c r="B337">
        <v>5362</v>
      </c>
      <c r="C337" t="b">
        <v>1</v>
      </c>
      <c r="D337">
        <v>8054</v>
      </c>
      <c r="E337">
        <v>8123</v>
      </c>
      <c r="F337">
        <v>8</v>
      </c>
      <c r="G337">
        <v>6.8</v>
      </c>
      <c r="H337">
        <v>1.1764705</v>
      </c>
      <c r="I337">
        <v>-0.17647055</v>
      </c>
      <c r="J337">
        <v>0.45945944999999999</v>
      </c>
    </row>
    <row r="338" spans="1:10" x14ac:dyDescent="0.3">
      <c r="A338">
        <v>336</v>
      </c>
      <c r="B338">
        <v>5378</v>
      </c>
      <c r="C338" t="b">
        <v>1</v>
      </c>
      <c r="D338">
        <v>8060</v>
      </c>
      <c r="E338">
        <v>8134</v>
      </c>
      <c r="F338">
        <v>8.4</v>
      </c>
      <c r="G338">
        <v>6.8</v>
      </c>
      <c r="H338">
        <v>1.2352939999999999</v>
      </c>
      <c r="I338">
        <v>-0.23529402999999999</v>
      </c>
      <c r="J338">
        <v>0.44736843999999998</v>
      </c>
    </row>
    <row r="339" spans="1:10" x14ac:dyDescent="0.3">
      <c r="A339">
        <v>337</v>
      </c>
      <c r="B339">
        <v>5393</v>
      </c>
      <c r="C339" t="b">
        <v>1</v>
      </c>
      <c r="D339">
        <v>8060</v>
      </c>
      <c r="E339">
        <v>8123</v>
      </c>
      <c r="F339">
        <v>8.8000000000000007</v>
      </c>
      <c r="G339">
        <v>6.8</v>
      </c>
      <c r="H339">
        <v>1.2941176999999999</v>
      </c>
      <c r="I339">
        <v>-0.29411763000000002</v>
      </c>
      <c r="J339">
        <v>0.43589744000000002</v>
      </c>
    </row>
    <row r="340" spans="1:10" x14ac:dyDescent="0.3">
      <c r="A340">
        <v>338</v>
      </c>
      <c r="B340">
        <v>5409</v>
      </c>
      <c r="C340" t="b">
        <v>1</v>
      </c>
      <c r="D340">
        <v>8054</v>
      </c>
      <c r="E340">
        <v>8129</v>
      </c>
      <c r="F340">
        <v>9.1999999999999993</v>
      </c>
      <c r="G340">
        <v>7.2</v>
      </c>
      <c r="H340">
        <v>1.2777778</v>
      </c>
      <c r="I340">
        <v>-0.27777780000000002</v>
      </c>
      <c r="J340">
        <v>0.43902439999999998</v>
      </c>
    </row>
    <row r="341" spans="1:10" x14ac:dyDescent="0.3">
      <c r="A341">
        <v>339</v>
      </c>
      <c r="B341">
        <v>5425</v>
      </c>
      <c r="C341" t="b">
        <v>1</v>
      </c>
      <c r="D341">
        <v>8054</v>
      </c>
      <c r="E341">
        <v>8123</v>
      </c>
      <c r="F341">
        <v>9.6</v>
      </c>
      <c r="G341">
        <v>7.2</v>
      </c>
      <c r="H341">
        <v>1.3333333999999999</v>
      </c>
      <c r="I341">
        <v>-0.33333342999999999</v>
      </c>
      <c r="J341">
        <v>0.42857142999999998</v>
      </c>
    </row>
    <row r="342" spans="1:10" x14ac:dyDescent="0.3">
      <c r="A342">
        <v>340</v>
      </c>
      <c r="B342">
        <v>5441</v>
      </c>
      <c r="C342" t="b">
        <v>1</v>
      </c>
      <c r="D342">
        <v>8054</v>
      </c>
      <c r="E342">
        <v>8123</v>
      </c>
      <c r="F342">
        <v>10</v>
      </c>
      <c r="G342">
        <v>7.2</v>
      </c>
      <c r="H342">
        <v>1.388889</v>
      </c>
      <c r="I342">
        <v>-0.38888893000000002</v>
      </c>
      <c r="J342">
        <v>0.41860459999999999</v>
      </c>
    </row>
    <row r="343" spans="1:10" x14ac:dyDescent="0.3">
      <c r="A343">
        <v>341</v>
      </c>
      <c r="B343">
        <v>5457</v>
      </c>
      <c r="C343" t="b">
        <v>1</v>
      </c>
      <c r="D343">
        <v>8042</v>
      </c>
      <c r="E343">
        <v>8123</v>
      </c>
      <c r="F343">
        <v>10.4</v>
      </c>
      <c r="G343">
        <v>7.6</v>
      </c>
      <c r="H343">
        <v>1.3684210999999999</v>
      </c>
      <c r="I343">
        <v>-0.36842101999999999</v>
      </c>
      <c r="J343">
        <v>0.42222222999999998</v>
      </c>
    </row>
    <row r="344" spans="1:10" x14ac:dyDescent="0.3">
      <c r="A344">
        <v>342</v>
      </c>
      <c r="B344">
        <v>5473</v>
      </c>
      <c r="C344" t="b">
        <v>1</v>
      </c>
      <c r="D344">
        <v>8042</v>
      </c>
      <c r="E344">
        <v>8123</v>
      </c>
      <c r="F344">
        <v>10.8</v>
      </c>
      <c r="G344">
        <v>8</v>
      </c>
      <c r="H344">
        <v>1.35</v>
      </c>
      <c r="I344">
        <v>-0.35000002000000002</v>
      </c>
      <c r="J344">
        <v>0.42553192000000001</v>
      </c>
    </row>
    <row r="345" spans="1:10" x14ac:dyDescent="0.3">
      <c r="A345">
        <v>343</v>
      </c>
      <c r="B345">
        <v>5489</v>
      </c>
      <c r="C345" t="b">
        <v>1</v>
      </c>
      <c r="D345">
        <v>8042</v>
      </c>
      <c r="E345">
        <v>8123</v>
      </c>
      <c r="F345">
        <v>10.4</v>
      </c>
      <c r="G345">
        <v>8.4</v>
      </c>
      <c r="H345">
        <v>1.2380952999999999</v>
      </c>
      <c r="I345">
        <v>-0.23809525000000001</v>
      </c>
      <c r="J345">
        <v>0.44680851999999999</v>
      </c>
    </row>
    <row r="346" spans="1:10" x14ac:dyDescent="0.3">
      <c r="A346">
        <v>344</v>
      </c>
      <c r="B346">
        <v>5505</v>
      </c>
      <c r="C346" t="b">
        <v>1</v>
      </c>
      <c r="D346">
        <v>8037</v>
      </c>
      <c r="E346">
        <v>8129</v>
      </c>
      <c r="F346">
        <v>10</v>
      </c>
      <c r="G346">
        <v>8.4</v>
      </c>
      <c r="H346">
        <v>1.1904763</v>
      </c>
      <c r="I346">
        <v>-0.19047623999999999</v>
      </c>
      <c r="J346">
        <v>0.45652172000000002</v>
      </c>
    </row>
    <row r="347" spans="1:10" x14ac:dyDescent="0.3">
      <c r="A347">
        <v>345</v>
      </c>
      <c r="B347">
        <v>5521</v>
      </c>
      <c r="C347" t="b">
        <v>1</v>
      </c>
      <c r="D347">
        <v>8042</v>
      </c>
      <c r="E347">
        <v>8123</v>
      </c>
      <c r="F347">
        <v>9.6</v>
      </c>
      <c r="G347">
        <v>8.4</v>
      </c>
      <c r="H347">
        <v>1.1428571999999999</v>
      </c>
      <c r="I347">
        <v>-0.14285724</v>
      </c>
      <c r="J347">
        <v>0.46666664000000002</v>
      </c>
    </row>
    <row r="348" spans="1:10" x14ac:dyDescent="0.3">
      <c r="A348">
        <v>346</v>
      </c>
      <c r="B348">
        <v>5537</v>
      </c>
      <c r="C348" t="b">
        <v>1</v>
      </c>
      <c r="D348">
        <v>8042</v>
      </c>
      <c r="E348">
        <v>8117</v>
      </c>
      <c r="F348">
        <v>9.1999999999999993</v>
      </c>
      <c r="G348">
        <v>8.4</v>
      </c>
      <c r="H348">
        <v>1.0952381</v>
      </c>
      <c r="I348">
        <v>-9.5238119999999996E-2</v>
      </c>
      <c r="J348">
        <v>0.47727275000000002</v>
      </c>
    </row>
    <row r="349" spans="1:10" x14ac:dyDescent="0.3">
      <c r="A349">
        <v>347</v>
      </c>
      <c r="B349">
        <v>5552</v>
      </c>
      <c r="C349" t="b">
        <v>1</v>
      </c>
      <c r="D349">
        <v>8048</v>
      </c>
      <c r="E349">
        <v>8123</v>
      </c>
      <c r="F349">
        <v>8.8000000000000007</v>
      </c>
      <c r="G349">
        <v>8.4</v>
      </c>
      <c r="H349">
        <v>1.0476190999999999</v>
      </c>
      <c r="I349">
        <v>-4.7619120000000001E-2</v>
      </c>
      <c r="J349">
        <v>0.48837206</v>
      </c>
    </row>
    <row r="350" spans="1:10" x14ac:dyDescent="0.3">
      <c r="A350">
        <v>348</v>
      </c>
      <c r="B350">
        <v>5568</v>
      </c>
      <c r="C350" t="b">
        <v>1</v>
      </c>
      <c r="D350">
        <v>8048</v>
      </c>
      <c r="E350">
        <v>8123</v>
      </c>
      <c r="F350">
        <v>8.4</v>
      </c>
      <c r="G350">
        <v>8.4</v>
      </c>
      <c r="H350">
        <v>1</v>
      </c>
      <c r="I350">
        <v>0</v>
      </c>
      <c r="J350">
        <v>0.5</v>
      </c>
    </row>
    <row r="351" spans="1:10" x14ac:dyDescent="0.3">
      <c r="A351">
        <v>349</v>
      </c>
      <c r="B351">
        <v>5584</v>
      </c>
      <c r="C351" t="b">
        <v>1</v>
      </c>
      <c r="D351">
        <v>8054</v>
      </c>
      <c r="E351">
        <v>8123</v>
      </c>
      <c r="F351">
        <v>8.4</v>
      </c>
      <c r="G351">
        <v>8.4</v>
      </c>
      <c r="H351">
        <v>1</v>
      </c>
      <c r="I351">
        <v>0</v>
      </c>
      <c r="J351">
        <v>0.5</v>
      </c>
    </row>
    <row r="352" spans="1:10" x14ac:dyDescent="0.3">
      <c r="A352">
        <v>350</v>
      </c>
      <c r="B352">
        <v>5600</v>
      </c>
      <c r="C352" t="b">
        <v>1</v>
      </c>
      <c r="D352">
        <v>8048</v>
      </c>
      <c r="E352">
        <v>8123</v>
      </c>
      <c r="F352">
        <v>8.4</v>
      </c>
      <c r="G352">
        <v>8.4</v>
      </c>
      <c r="H352">
        <v>1</v>
      </c>
      <c r="I352">
        <v>0</v>
      </c>
      <c r="J352">
        <v>0.5</v>
      </c>
    </row>
    <row r="353" spans="1:10" x14ac:dyDescent="0.3">
      <c r="A353">
        <v>351</v>
      </c>
      <c r="B353">
        <v>5615</v>
      </c>
      <c r="C353" t="b">
        <v>1</v>
      </c>
      <c r="D353">
        <v>8048</v>
      </c>
      <c r="E353">
        <v>8129</v>
      </c>
      <c r="F353">
        <v>8</v>
      </c>
      <c r="G353">
        <v>8.4</v>
      </c>
      <c r="H353">
        <v>0.95238100000000003</v>
      </c>
      <c r="I353">
        <v>4.7619003999999999E-2</v>
      </c>
      <c r="J353">
        <v>0.51219510000000001</v>
      </c>
    </row>
    <row r="354" spans="1:10" x14ac:dyDescent="0.3">
      <c r="A354">
        <v>352</v>
      </c>
      <c r="B354">
        <v>5631</v>
      </c>
      <c r="C354" t="b">
        <v>1</v>
      </c>
      <c r="D354">
        <v>8048</v>
      </c>
      <c r="E354">
        <v>8129</v>
      </c>
      <c r="F354">
        <v>7.6</v>
      </c>
      <c r="G354">
        <v>8.4</v>
      </c>
      <c r="H354">
        <v>0.90476190000000001</v>
      </c>
      <c r="I354">
        <v>9.5238069999999994E-2</v>
      </c>
      <c r="J354">
        <v>0.52500000000000002</v>
      </c>
    </row>
    <row r="355" spans="1:10" x14ac:dyDescent="0.3">
      <c r="A355">
        <v>353</v>
      </c>
      <c r="B355">
        <v>5647</v>
      </c>
      <c r="C355" t="b">
        <v>1</v>
      </c>
      <c r="D355">
        <v>8048</v>
      </c>
      <c r="E355">
        <v>8123</v>
      </c>
      <c r="F355">
        <v>7.2</v>
      </c>
      <c r="G355">
        <v>8</v>
      </c>
      <c r="H355">
        <v>0.9</v>
      </c>
      <c r="I355">
        <v>0.10000002400000001</v>
      </c>
      <c r="J355">
        <v>0.5263158</v>
      </c>
    </row>
    <row r="356" spans="1:10" x14ac:dyDescent="0.3">
      <c r="A356">
        <v>354</v>
      </c>
      <c r="B356">
        <v>5663</v>
      </c>
      <c r="C356" t="b">
        <v>1</v>
      </c>
      <c r="D356">
        <v>8048</v>
      </c>
      <c r="E356">
        <v>8123</v>
      </c>
      <c r="F356">
        <v>6.8</v>
      </c>
      <c r="G356">
        <v>8</v>
      </c>
      <c r="H356">
        <v>0.85</v>
      </c>
      <c r="I356">
        <v>0.14999998</v>
      </c>
      <c r="J356">
        <v>0.54054049999999998</v>
      </c>
    </row>
    <row r="357" spans="1:10" x14ac:dyDescent="0.3">
      <c r="A357">
        <v>355</v>
      </c>
      <c r="B357">
        <v>5679</v>
      </c>
      <c r="C357" t="b">
        <v>1</v>
      </c>
      <c r="D357">
        <v>8048</v>
      </c>
      <c r="E357">
        <v>8134</v>
      </c>
      <c r="F357">
        <v>6.4</v>
      </c>
      <c r="G357">
        <v>8.4</v>
      </c>
      <c r="H357">
        <v>0.76190484000000003</v>
      </c>
      <c r="I357">
        <v>0.23809520000000001</v>
      </c>
      <c r="J357">
        <v>0.56756759999999995</v>
      </c>
    </row>
    <row r="358" spans="1:10" x14ac:dyDescent="0.3">
      <c r="A358">
        <v>356</v>
      </c>
      <c r="B358">
        <v>5695</v>
      </c>
      <c r="C358" t="b">
        <v>1</v>
      </c>
      <c r="D358">
        <v>8048</v>
      </c>
      <c r="E358">
        <v>8123</v>
      </c>
      <c r="F358">
        <v>6</v>
      </c>
      <c r="G358">
        <v>8.4</v>
      </c>
      <c r="H358">
        <v>0.71428572999999995</v>
      </c>
      <c r="I358">
        <v>0.28571424000000001</v>
      </c>
      <c r="J358">
        <v>0.58333330000000005</v>
      </c>
    </row>
    <row r="359" spans="1:10" x14ac:dyDescent="0.3">
      <c r="A359">
        <v>357</v>
      </c>
      <c r="B359">
        <v>5711</v>
      </c>
      <c r="C359" t="b">
        <v>1</v>
      </c>
      <c r="D359">
        <v>8048</v>
      </c>
      <c r="E359">
        <v>8123</v>
      </c>
      <c r="F359">
        <v>5.6</v>
      </c>
      <c r="G359">
        <v>8.4</v>
      </c>
      <c r="H359">
        <v>0.66666669999999995</v>
      </c>
      <c r="I359">
        <v>0.3333333</v>
      </c>
      <c r="J359">
        <v>0.59999996</v>
      </c>
    </row>
    <row r="360" spans="1:10" x14ac:dyDescent="0.3">
      <c r="A360">
        <v>358</v>
      </c>
      <c r="B360">
        <v>5727</v>
      </c>
      <c r="C360" t="b">
        <v>1</v>
      </c>
      <c r="D360">
        <v>8048</v>
      </c>
      <c r="E360">
        <v>8123</v>
      </c>
      <c r="F360">
        <v>6</v>
      </c>
      <c r="G360">
        <v>8.4</v>
      </c>
      <c r="H360">
        <v>0.71428572999999995</v>
      </c>
      <c r="I360">
        <v>0.28571424000000001</v>
      </c>
      <c r="J360">
        <v>0.58333330000000005</v>
      </c>
    </row>
    <row r="361" spans="1:10" x14ac:dyDescent="0.3">
      <c r="A361">
        <v>359</v>
      </c>
      <c r="B361">
        <v>5743</v>
      </c>
      <c r="C361" t="b">
        <v>1</v>
      </c>
      <c r="D361">
        <v>8048</v>
      </c>
      <c r="E361">
        <v>8129</v>
      </c>
      <c r="F361">
        <v>6.4</v>
      </c>
      <c r="G361">
        <v>8.4</v>
      </c>
      <c r="H361">
        <v>0.76190484000000003</v>
      </c>
      <c r="I361">
        <v>0.23809520000000001</v>
      </c>
      <c r="J361">
        <v>0.56756759999999995</v>
      </c>
    </row>
    <row r="362" spans="1:10" x14ac:dyDescent="0.3">
      <c r="A362">
        <v>360</v>
      </c>
      <c r="B362">
        <v>5759</v>
      </c>
      <c r="C362" t="b">
        <v>1</v>
      </c>
      <c r="D362">
        <v>8048</v>
      </c>
      <c r="E362">
        <v>8129</v>
      </c>
      <c r="F362">
        <v>6.8</v>
      </c>
      <c r="G362">
        <v>8.4</v>
      </c>
      <c r="H362">
        <v>0.80952389999999996</v>
      </c>
      <c r="I362">
        <v>0.19047612999999999</v>
      </c>
      <c r="J362">
        <v>0.55263156000000002</v>
      </c>
    </row>
    <row r="363" spans="1:10" x14ac:dyDescent="0.3">
      <c r="A363">
        <v>361</v>
      </c>
      <c r="B363">
        <v>5775</v>
      </c>
      <c r="C363" t="b">
        <v>1</v>
      </c>
      <c r="D363">
        <v>8048</v>
      </c>
      <c r="E363">
        <v>8123</v>
      </c>
      <c r="F363">
        <v>7.2</v>
      </c>
      <c r="G363">
        <v>8.4</v>
      </c>
      <c r="H363">
        <v>0.85714287</v>
      </c>
      <c r="I363">
        <v>0.14285712</v>
      </c>
      <c r="J363">
        <v>0.53846150000000004</v>
      </c>
    </row>
    <row r="364" spans="1:10" x14ac:dyDescent="0.3">
      <c r="A364">
        <v>362</v>
      </c>
      <c r="B364">
        <v>5791</v>
      </c>
      <c r="C364" t="b">
        <v>1</v>
      </c>
      <c r="D364">
        <v>8048</v>
      </c>
      <c r="E364">
        <v>8129</v>
      </c>
      <c r="F364">
        <v>7.6</v>
      </c>
      <c r="G364">
        <v>8.8000000000000007</v>
      </c>
      <c r="H364">
        <v>0.86363630000000002</v>
      </c>
      <c r="I364">
        <v>0.13636366999999999</v>
      </c>
      <c r="J364">
        <v>0.53658539999999999</v>
      </c>
    </row>
    <row r="365" spans="1:10" x14ac:dyDescent="0.3">
      <c r="A365">
        <v>363</v>
      </c>
      <c r="B365">
        <v>5806</v>
      </c>
      <c r="C365" t="b">
        <v>1</v>
      </c>
      <c r="D365">
        <v>8048</v>
      </c>
      <c r="E365">
        <v>8129</v>
      </c>
      <c r="F365">
        <v>8</v>
      </c>
      <c r="G365">
        <v>9.1999999999999993</v>
      </c>
      <c r="H365">
        <v>0.86956524999999996</v>
      </c>
      <c r="I365">
        <v>0.13043477000000001</v>
      </c>
      <c r="J365">
        <v>0.53488369999999996</v>
      </c>
    </row>
    <row r="366" spans="1:10" x14ac:dyDescent="0.3">
      <c r="A366">
        <v>364</v>
      </c>
      <c r="B366">
        <v>5821</v>
      </c>
      <c r="C366" t="b">
        <v>1</v>
      </c>
      <c r="D366">
        <v>8048</v>
      </c>
      <c r="E366">
        <v>8123</v>
      </c>
      <c r="F366">
        <v>8</v>
      </c>
      <c r="G366">
        <v>9.6</v>
      </c>
      <c r="H366">
        <v>0.83333330000000005</v>
      </c>
      <c r="I366">
        <v>0.1666667</v>
      </c>
      <c r="J366">
        <v>0.54545456000000003</v>
      </c>
    </row>
    <row r="367" spans="1:10" x14ac:dyDescent="0.3">
      <c r="A367">
        <v>365</v>
      </c>
      <c r="B367">
        <v>5837</v>
      </c>
      <c r="C367" t="b">
        <v>1</v>
      </c>
      <c r="D367">
        <v>8048</v>
      </c>
      <c r="E367">
        <v>8129</v>
      </c>
      <c r="F367">
        <v>8</v>
      </c>
      <c r="G367">
        <v>10</v>
      </c>
      <c r="H367">
        <v>0.8</v>
      </c>
      <c r="I367">
        <v>0.2</v>
      </c>
      <c r="J367">
        <v>0.55555560000000004</v>
      </c>
    </row>
    <row r="368" spans="1:10" x14ac:dyDescent="0.3">
      <c r="A368">
        <v>366</v>
      </c>
      <c r="B368">
        <v>5853</v>
      </c>
      <c r="C368" t="b">
        <v>1</v>
      </c>
      <c r="D368">
        <v>8054</v>
      </c>
      <c r="E368">
        <v>8123</v>
      </c>
      <c r="F368">
        <v>8</v>
      </c>
      <c r="G368">
        <v>10.4</v>
      </c>
      <c r="H368">
        <v>0.76923079999999999</v>
      </c>
      <c r="I368">
        <v>0.23076920000000001</v>
      </c>
      <c r="J368">
        <v>0.56521739999999998</v>
      </c>
    </row>
    <row r="369" spans="1:10" x14ac:dyDescent="0.3">
      <c r="A369">
        <v>367</v>
      </c>
      <c r="B369">
        <v>5868</v>
      </c>
      <c r="C369" t="b">
        <v>1</v>
      </c>
      <c r="D369">
        <v>8048</v>
      </c>
      <c r="E369">
        <v>8123</v>
      </c>
      <c r="F369">
        <v>8</v>
      </c>
      <c r="G369">
        <v>10.4</v>
      </c>
      <c r="H369">
        <v>0.76923079999999999</v>
      </c>
      <c r="I369">
        <v>0.23076920000000001</v>
      </c>
      <c r="J369">
        <v>0.56521739999999998</v>
      </c>
    </row>
    <row r="370" spans="1:10" x14ac:dyDescent="0.3">
      <c r="A370">
        <v>368</v>
      </c>
      <c r="B370">
        <v>5884</v>
      </c>
      <c r="C370" t="b">
        <v>1</v>
      </c>
      <c r="D370">
        <v>8048</v>
      </c>
      <c r="E370">
        <v>8123</v>
      </c>
      <c r="F370">
        <v>8</v>
      </c>
      <c r="G370">
        <v>10.4</v>
      </c>
      <c r="H370">
        <v>0.76923079999999999</v>
      </c>
      <c r="I370">
        <v>0.23076920000000001</v>
      </c>
      <c r="J370">
        <v>0.56521739999999998</v>
      </c>
    </row>
    <row r="371" spans="1:10" x14ac:dyDescent="0.3">
      <c r="A371">
        <v>369</v>
      </c>
      <c r="B371">
        <v>5901</v>
      </c>
      <c r="C371" t="b">
        <v>1</v>
      </c>
      <c r="D371">
        <v>8048</v>
      </c>
      <c r="E371">
        <v>8129</v>
      </c>
      <c r="F371">
        <v>8</v>
      </c>
      <c r="G371">
        <v>10.4</v>
      </c>
      <c r="H371">
        <v>0.76923079999999999</v>
      </c>
      <c r="I371">
        <v>0.23076920000000001</v>
      </c>
      <c r="J371">
        <v>0.56521739999999998</v>
      </c>
    </row>
    <row r="372" spans="1:10" x14ac:dyDescent="0.3">
      <c r="A372">
        <v>370</v>
      </c>
      <c r="B372">
        <v>5916</v>
      </c>
      <c r="C372" t="b">
        <v>1</v>
      </c>
      <c r="D372">
        <v>8048</v>
      </c>
      <c r="E372">
        <v>8123</v>
      </c>
      <c r="F372">
        <v>8</v>
      </c>
      <c r="G372">
        <v>10</v>
      </c>
      <c r="H372">
        <v>0.8</v>
      </c>
      <c r="I372">
        <v>0.2</v>
      </c>
      <c r="J372">
        <v>0.55555560000000004</v>
      </c>
    </row>
    <row r="373" spans="1:10" x14ac:dyDescent="0.3">
      <c r="A373">
        <v>371</v>
      </c>
      <c r="B373">
        <v>5932</v>
      </c>
      <c r="C373" t="b">
        <v>1</v>
      </c>
      <c r="D373">
        <v>8048</v>
      </c>
      <c r="E373">
        <v>8123</v>
      </c>
      <c r="F373">
        <v>8</v>
      </c>
      <c r="G373">
        <v>10</v>
      </c>
      <c r="H373">
        <v>0.8</v>
      </c>
      <c r="I373">
        <v>0.2</v>
      </c>
      <c r="J373">
        <v>0.55555560000000004</v>
      </c>
    </row>
    <row r="374" spans="1:10" x14ac:dyDescent="0.3">
      <c r="A374">
        <v>372</v>
      </c>
      <c r="B374">
        <v>5948</v>
      </c>
      <c r="C374" t="b">
        <v>1</v>
      </c>
      <c r="D374">
        <v>8048</v>
      </c>
      <c r="E374">
        <v>8123</v>
      </c>
      <c r="F374">
        <v>8</v>
      </c>
      <c r="G374">
        <v>10</v>
      </c>
      <c r="H374">
        <v>0.8</v>
      </c>
      <c r="I374">
        <v>0.2</v>
      </c>
      <c r="J374">
        <v>0.55555560000000004</v>
      </c>
    </row>
    <row r="375" spans="1:10" x14ac:dyDescent="0.3">
      <c r="A375">
        <v>373</v>
      </c>
      <c r="B375">
        <v>5963</v>
      </c>
      <c r="C375" t="b">
        <v>1</v>
      </c>
      <c r="D375">
        <v>8048</v>
      </c>
      <c r="E375">
        <v>8123</v>
      </c>
      <c r="F375">
        <v>8</v>
      </c>
      <c r="G375">
        <v>10</v>
      </c>
      <c r="H375">
        <v>0.8</v>
      </c>
      <c r="I375">
        <v>0.2</v>
      </c>
      <c r="J375">
        <v>0.55555560000000004</v>
      </c>
    </row>
    <row r="376" spans="1:10" x14ac:dyDescent="0.3">
      <c r="A376">
        <v>374</v>
      </c>
      <c r="B376">
        <v>5979</v>
      </c>
      <c r="C376" t="b">
        <v>1</v>
      </c>
      <c r="D376">
        <v>8048</v>
      </c>
      <c r="E376">
        <v>8123</v>
      </c>
      <c r="F376">
        <v>8</v>
      </c>
      <c r="G376">
        <v>10</v>
      </c>
      <c r="H376">
        <v>0.8</v>
      </c>
      <c r="I376">
        <v>0.2</v>
      </c>
      <c r="J376">
        <v>0.55555560000000004</v>
      </c>
    </row>
    <row r="377" spans="1:10" x14ac:dyDescent="0.3">
      <c r="A377">
        <v>375</v>
      </c>
      <c r="B377">
        <v>5995</v>
      </c>
      <c r="C377" t="b">
        <v>1</v>
      </c>
      <c r="D377">
        <v>8048</v>
      </c>
      <c r="E377">
        <v>8123</v>
      </c>
      <c r="F377">
        <v>8</v>
      </c>
      <c r="G377">
        <v>10</v>
      </c>
      <c r="H377">
        <v>0.8</v>
      </c>
      <c r="I377">
        <v>0.2</v>
      </c>
      <c r="J377">
        <v>0.55555560000000004</v>
      </c>
    </row>
    <row r="378" spans="1:10" x14ac:dyDescent="0.3">
      <c r="A378">
        <v>376</v>
      </c>
      <c r="B378">
        <v>6011</v>
      </c>
      <c r="C378" t="b">
        <v>1</v>
      </c>
      <c r="D378">
        <v>8048</v>
      </c>
      <c r="E378">
        <v>8123</v>
      </c>
      <c r="F378">
        <v>8</v>
      </c>
      <c r="G378">
        <v>10</v>
      </c>
      <c r="H378">
        <v>0.8</v>
      </c>
      <c r="I378">
        <v>0.2</v>
      </c>
      <c r="J378">
        <v>0.55555560000000004</v>
      </c>
    </row>
    <row r="379" spans="1:10" x14ac:dyDescent="0.3">
      <c r="A379">
        <v>377</v>
      </c>
      <c r="B379">
        <v>6027</v>
      </c>
      <c r="C379" t="b">
        <v>1</v>
      </c>
      <c r="D379">
        <v>8048</v>
      </c>
      <c r="E379">
        <v>8123</v>
      </c>
      <c r="F379">
        <v>8</v>
      </c>
      <c r="G379">
        <v>9.6</v>
      </c>
      <c r="H379">
        <v>0.83333330000000005</v>
      </c>
      <c r="I379">
        <v>0.1666667</v>
      </c>
      <c r="J379">
        <v>0.54545456000000003</v>
      </c>
    </row>
    <row r="380" spans="1:10" x14ac:dyDescent="0.3">
      <c r="A380">
        <v>378</v>
      </c>
      <c r="B380">
        <v>6043</v>
      </c>
      <c r="C380" t="b">
        <v>1</v>
      </c>
      <c r="D380">
        <v>8048</v>
      </c>
      <c r="E380">
        <v>8123</v>
      </c>
      <c r="F380">
        <v>8</v>
      </c>
      <c r="G380">
        <v>9.1999999999999993</v>
      </c>
      <c r="H380">
        <v>0.86956524999999996</v>
      </c>
      <c r="I380">
        <v>0.13043477000000001</v>
      </c>
      <c r="J380">
        <v>0.53488369999999996</v>
      </c>
    </row>
    <row r="381" spans="1:10" x14ac:dyDescent="0.3">
      <c r="A381">
        <v>379</v>
      </c>
      <c r="B381">
        <v>6059</v>
      </c>
      <c r="C381" t="b">
        <v>1</v>
      </c>
      <c r="D381">
        <v>8048</v>
      </c>
      <c r="E381">
        <v>8123</v>
      </c>
      <c r="F381">
        <v>8</v>
      </c>
      <c r="G381">
        <v>8.8000000000000007</v>
      </c>
      <c r="H381">
        <v>0.90909090000000004</v>
      </c>
      <c r="I381">
        <v>9.0909110000000001E-2</v>
      </c>
      <c r="J381">
        <v>0.52380954999999996</v>
      </c>
    </row>
    <row r="382" spans="1:10" x14ac:dyDescent="0.3">
      <c r="A382">
        <v>380</v>
      </c>
      <c r="B382">
        <v>6075</v>
      </c>
      <c r="C382" t="b">
        <v>1</v>
      </c>
      <c r="D382">
        <v>8048</v>
      </c>
      <c r="E382">
        <v>8123</v>
      </c>
      <c r="F382">
        <v>8</v>
      </c>
      <c r="G382">
        <v>8.4</v>
      </c>
      <c r="H382">
        <v>0.95238100000000003</v>
      </c>
      <c r="I382">
        <v>4.7619003999999999E-2</v>
      </c>
      <c r="J382">
        <v>0.51219510000000001</v>
      </c>
    </row>
    <row r="383" spans="1:10" x14ac:dyDescent="0.3">
      <c r="A383">
        <v>381</v>
      </c>
      <c r="B383">
        <v>6090</v>
      </c>
      <c r="C383" t="b">
        <v>1</v>
      </c>
      <c r="D383">
        <v>8048</v>
      </c>
      <c r="E383">
        <v>8123</v>
      </c>
      <c r="F383">
        <v>8</v>
      </c>
      <c r="G383">
        <v>8</v>
      </c>
      <c r="H383">
        <v>1</v>
      </c>
      <c r="I383">
        <v>0</v>
      </c>
      <c r="J383">
        <v>0.5</v>
      </c>
    </row>
    <row r="384" spans="1:10" x14ac:dyDescent="0.3">
      <c r="A384">
        <v>382</v>
      </c>
      <c r="B384">
        <v>6106</v>
      </c>
      <c r="C384" t="b">
        <v>1</v>
      </c>
      <c r="D384">
        <v>8048</v>
      </c>
      <c r="E384">
        <v>8123</v>
      </c>
      <c r="F384">
        <v>8</v>
      </c>
      <c r="G384">
        <v>8</v>
      </c>
      <c r="H384">
        <v>1</v>
      </c>
      <c r="I384">
        <v>0</v>
      </c>
      <c r="J384">
        <v>0.5</v>
      </c>
    </row>
    <row r="385" spans="1:10" x14ac:dyDescent="0.3">
      <c r="A385">
        <v>383</v>
      </c>
      <c r="B385">
        <v>6122</v>
      </c>
      <c r="C385" t="b">
        <v>1</v>
      </c>
      <c r="D385">
        <v>8048</v>
      </c>
      <c r="E385">
        <v>8123</v>
      </c>
      <c r="F385">
        <v>8</v>
      </c>
      <c r="G385">
        <v>8</v>
      </c>
      <c r="H385">
        <v>1</v>
      </c>
      <c r="I385">
        <v>0</v>
      </c>
      <c r="J385">
        <v>0.5</v>
      </c>
    </row>
    <row r="386" spans="1:10" x14ac:dyDescent="0.3">
      <c r="A386">
        <v>384</v>
      </c>
      <c r="B386">
        <v>6138</v>
      </c>
      <c r="C386" t="b">
        <v>1</v>
      </c>
      <c r="D386">
        <v>8048</v>
      </c>
      <c r="E386">
        <v>8129</v>
      </c>
      <c r="F386">
        <v>8</v>
      </c>
      <c r="G386">
        <v>8</v>
      </c>
      <c r="H386">
        <v>1</v>
      </c>
      <c r="I386">
        <v>0</v>
      </c>
      <c r="J386">
        <v>0.5</v>
      </c>
    </row>
    <row r="387" spans="1:10" x14ac:dyDescent="0.3">
      <c r="A387">
        <v>385</v>
      </c>
      <c r="B387">
        <v>6154</v>
      </c>
      <c r="C387" t="b">
        <v>1</v>
      </c>
      <c r="D387">
        <v>8054</v>
      </c>
      <c r="E387">
        <v>8129</v>
      </c>
      <c r="F387">
        <v>8</v>
      </c>
      <c r="G387">
        <v>8</v>
      </c>
      <c r="H387">
        <v>1</v>
      </c>
      <c r="I387">
        <v>0</v>
      </c>
      <c r="J387">
        <v>0.5</v>
      </c>
    </row>
    <row r="388" spans="1:10" x14ac:dyDescent="0.3">
      <c r="A388">
        <v>386</v>
      </c>
      <c r="B388">
        <v>6169</v>
      </c>
      <c r="C388" t="b">
        <v>1</v>
      </c>
      <c r="D388">
        <v>8048</v>
      </c>
      <c r="E388">
        <v>8123</v>
      </c>
      <c r="F388">
        <v>8</v>
      </c>
      <c r="G388">
        <v>8</v>
      </c>
      <c r="H388">
        <v>1</v>
      </c>
      <c r="I388">
        <v>0</v>
      </c>
      <c r="J388">
        <v>0.5</v>
      </c>
    </row>
    <row r="389" spans="1:10" x14ac:dyDescent="0.3">
      <c r="A389">
        <v>387</v>
      </c>
      <c r="B389">
        <v>6185</v>
      </c>
      <c r="C389" t="b">
        <v>1</v>
      </c>
      <c r="D389">
        <v>8048</v>
      </c>
      <c r="E389">
        <v>8129</v>
      </c>
      <c r="F389">
        <v>8</v>
      </c>
      <c r="G389">
        <v>8.4</v>
      </c>
      <c r="H389">
        <v>0.95238100000000003</v>
      </c>
      <c r="I389">
        <v>4.7619003999999999E-2</v>
      </c>
      <c r="J389">
        <v>0.51219510000000001</v>
      </c>
    </row>
    <row r="390" spans="1:10" x14ac:dyDescent="0.3">
      <c r="A390">
        <v>388</v>
      </c>
      <c r="B390">
        <v>6201</v>
      </c>
      <c r="C390" t="b">
        <v>1</v>
      </c>
      <c r="D390">
        <v>8048</v>
      </c>
      <c r="E390">
        <v>8123</v>
      </c>
      <c r="F390">
        <v>8</v>
      </c>
      <c r="G390">
        <v>8.8000000000000007</v>
      </c>
      <c r="H390">
        <v>0.90909090000000004</v>
      </c>
      <c r="I390">
        <v>9.0909110000000001E-2</v>
      </c>
      <c r="J390">
        <v>0.52380954999999996</v>
      </c>
    </row>
    <row r="391" spans="1:10" x14ac:dyDescent="0.3">
      <c r="A391">
        <v>389</v>
      </c>
      <c r="B391">
        <v>6217</v>
      </c>
      <c r="C391" t="b">
        <v>1</v>
      </c>
      <c r="D391">
        <v>8048</v>
      </c>
      <c r="E391">
        <v>8117</v>
      </c>
      <c r="F391">
        <v>8</v>
      </c>
      <c r="G391">
        <v>8.8000000000000007</v>
      </c>
      <c r="H391">
        <v>0.90909090000000004</v>
      </c>
      <c r="I391">
        <v>9.0909110000000001E-2</v>
      </c>
      <c r="J391">
        <v>0.52380954999999996</v>
      </c>
    </row>
    <row r="392" spans="1:10" x14ac:dyDescent="0.3">
      <c r="A392">
        <v>390</v>
      </c>
      <c r="B392">
        <v>6233</v>
      </c>
      <c r="C392" t="b">
        <v>1</v>
      </c>
      <c r="D392">
        <v>8048</v>
      </c>
      <c r="E392">
        <v>8129</v>
      </c>
      <c r="F392">
        <v>8</v>
      </c>
      <c r="G392">
        <v>8.8000000000000007</v>
      </c>
      <c r="H392">
        <v>0.90909090000000004</v>
      </c>
      <c r="I392">
        <v>9.0909110000000001E-2</v>
      </c>
      <c r="J392">
        <v>0.52380954999999996</v>
      </c>
    </row>
    <row r="393" spans="1:10" x14ac:dyDescent="0.3">
      <c r="A393">
        <v>391</v>
      </c>
      <c r="B393">
        <v>6249</v>
      </c>
      <c r="C393" t="b">
        <v>1</v>
      </c>
      <c r="D393">
        <v>8048</v>
      </c>
      <c r="E393">
        <v>8123</v>
      </c>
      <c r="F393">
        <v>8</v>
      </c>
      <c r="G393">
        <v>8.8000000000000007</v>
      </c>
      <c r="H393">
        <v>0.90909090000000004</v>
      </c>
      <c r="I393">
        <v>9.0909110000000001E-2</v>
      </c>
      <c r="J393">
        <v>0.52380954999999996</v>
      </c>
    </row>
    <row r="394" spans="1:10" x14ac:dyDescent="0.3">
      <c r="A394">
        <v>392</v>
      </c>
      <c r="B394">
        <v>6264</v>
      </c>
      <c r="C394" t="b">
        <v>1</v>
      </c>
      <c r="D394">
        <v>8042</v>
      </c>
      <c r="E394">
        <v>8129</v>
      </c>
      <c r="F394">
        <v>8</v>
      </c>
      <c r="G394">
        <v>8.8000000000000007</v>
      </c>
      <c r="H394">
        <v>0.90909090000000004</v>
      </c>
      <c r="I394">
        <v>9.0909110000000001E-2</v>
      </c>
      <c r="J394">
        <v>0.52380954999999996</v>
      </c>
    </row>
    <row r="395" spans="1:10" x14ac:dyDescent="0.3">
      <c r="A395">
        <v>393</v>
      </c>
      <c r="B395">
        <v>6280</v>
      </c>
      <c r="C395" t="b">
        <v>1</v>
      </c>
      <c r="D395">
        <v>8048</v>
      </c>
      <c r="E395">
        <v>8123</v>
      </c>
      <c r="F395">
        <v>8</v>
      </c>
      <c r="G395">
        <v>8.8000000000000007</v>
      </c>
      <c r="H395">
        <v>0.90909090000000004</v>
      </c>
      <c r="I395">
        <v>9.0909110000000001E-2</v>
      </c>
      <c r="J395">
        <v>0.52380954999999996</v>
      </c>
    </row>
    <row r="396" spans="1:10" x14ac:dyDescent="0.3">
      <c r="A396">
        <v>394</v>
      </c>
      <c r="B396">
        <v>6296</v>
      </c>
      <c r="C396" t="b">
        <v>1</v>
      </c>
      <c r="D396">
        <v>8048</v>
      </c>
      <c r="E396">
        <v>8123</v>
      </c>
      <c r="F396">
        <v>8</v>
      </c>
      <c r="G396">
        <v>8.8000000000000007</v>
      </c>
      <c r="H396">
        <v>0.90909090000000004</v>
      </c>
      <c r="I396">
        <v>9.0909110000000001E-2</v>
      </c>
      <c r="J396">
        <v>0.52380954999999996</v>
      </c>
    </row>
    <row r="397" spans="1:10" x14ac:dyDescent="0.3">
      <c r="A397">
        <v>395</v>
      </c>
      <c r="B397">
        <v>6312</v>
      </c>
      <c r="C397" t="b">
        <v>1</v>
      </c>
      <c r="D397">
        <v>8054</v>
      </c>
      <c r="E397">
        <v>8129</v>
      </c>
      <c r="F397">
        <v>8</v>
      </c>
      <c r="G397">
        <v>8.8000000000000007</v>
      </c>
      <c r="H397">
        <v>0.90909090000000004</v>
      </c>
      <c r="I397">
        <v>9.0909110000000001E-2</v>
      </c>
      <c r="J397">
        <v>0.52380954999999996</v>
      </c>
    </row>
    <row r="398" spans="1:10" x14ac:dyDescent="0.3">
      <c r="A398">
        <v>396</v>
      </c>
      <c r="B398">
        <v>6328</v>
      </c>
      <c r="C398" t="b">
        <v>1</v>
      </c>
      <c r="D398">
        <v>8048</v>
      </c>
      <c r="E398">
        <v>8117</v>
      </c>
      <c r="F398">
        <v>8</v>
      </c>
      <c r="G398">
        <v>8.8000000000000007</v>
      </c>
      <c r="H398">
        <v>0.90909090000000004</v>
      </c>
      <c r="I398">
        <v>9.0909110000000001E-2</v>
      </c>
      <c r="J398">
        <v>0.52380954999999996</v>
      </c>
    </row>
    <row r="399" spans="1:10" x14ac:dyDescent="0.3">
      <c r="A399">
        <v>397</v>
      </c>
      <c r="B399">
        <v>6344</v>
      </c>
      <c r="C399" t="b">
        <v>1</v>
      </c>
      <c r="D399">
        <v>8048</v>
      </c>
      <c r="E399">
        <v>8117</v>
      </c>
      <c r="F399">
        <v>8</v>
      </c>
      <c r="G399">
        <v>8.8000000000000007</v>
      </c>
      <c r="H399">
        <v>0.90909090000000004</v>
      </c>
      <c r="I399">
        <v>9.0909110000000001E-2</v>
      </c>
      <c r="J399">
        <v>0.52380954999999996</v>
      </c>
    </row>
    <row r="400" spans="1:10" x14ac:dyDescent="0.3">
      <c r="A400">
        <v>398</v>
      </c>
      <c r="B400">
        <v>6360</v>
      </c>
      <c r="C400" t="b">
        <v>1</v>
      </c>
      <c r="D400">
        <v>8048</v>
      </c>
      <c r="E400">
        <v>8117</v>
      </c>
      <c r="F400">
        <v>8</v>
      </c>
      <c r="G400">
        <v>8.4</v>
      </c>
      <c r="H400">
        <v>0.95238100000000003</v>
      </c>
      <c r="I400">
        <v>4.7619003999999999E-2</v>
      </c>
      <c r="J400">
        <v>0.51219510000000001</v>
      </c>
    </row>
    <row r="401" spans="1:10" x14ac:dyDescent="0.3">
      <c r="A401">
        <v>399</v>
      </c>
      <c r="B401">
        <v>6376</v>
      </c>
      <c r="C401" t="b">
        <v>1</v>
      </c>
      <c r="D401">
        <v>8048</v>
      </c>
      <c r="E401">
        <v>8111</v>
      </c>
      <c r="F401">
        <v>8</v>
      </c>
      <c r="G401">
        <v>8</v>
      </c>
      <c r="H401">
        <v>1</v>
      </c>
      <c r="I401">
        <v>0</v>
      </c>
      <c r="J401">
        <v>0.5</v>
      </c>
    </row>
    <row r="402" spans="1:10" x14ac:dyDescent="0.3">
      <c r="A402">
        <v>400</v>
      </c>
      <c r="B402">
        <v>6392</v>
      </c>
      <c r="C402" t="b">
        <v>1</v>
      </c>
      <c r="D402">
        <v>8048</v>
      </c>
      <c r="E402">
        <v>8117</v>
      </c>
      <c r="F402">
        <v>8</v>
      </c>
      <c r="G402">
        <v>7.6</v>
      </c>
      <c r="H402">
        <v>1.0526316</v>
      </c>
      <c r="I402">
        <v>-5.2631589999999999E-2</v>
      </c>
      <c r="J402">
        <v>0.48717946000000001</v>
      </c>
    </row>
    <row r="403" spans="1:10" x14ac:dyDescent="0.3">
      <c r="A403">
        <v>401</v>
      </c>
      <c r="B403">
        <v>6408</v>
      </c>
      <c r="C403" t="b">
        <v>1</v>
      </c>
      <c r="D403">
        <v>8048</v>
      </c>
      <c r="E403">
        <v>8117</v>
      </c>
      <c r="F403">
        <v>8</v>
      </c>
      <c r="G403">
        <v>7.2</v>
      </c>
      <c r="H403">
        <v>1.1111112000000001</v>
      </c>
      <c r="I403">
        <v>-0.11111114</v>
      </c>
      <c r="J403">
        <v>0.4736842</v>
      </c>
    </row>
    <row r="404" spans="1:10" x14ac:dyDescent="0.3">
      <c r="A404">
        <v>402</v>
      </c>
      <c r="B404">
        <v>6424</v>
      </c>
      <c r="C404" t="b">
        <v>1</v>
      </c>
      <c r="D404">
        <v>8048</v>
      </c>
      <c r="E404">
        <v>8111</v>
      </c>
      <c r="F404">
        <v>8</v>
      </c>
      <c r="G404">
        <v>6.4</v>
      </c>
      <c r="H404">
        <v>1.25</v>
      </c>
      <c r="I404">
        <v>-0.24999999000000001</v>
      </c>
      <c r="J404">
        <v>0.44444447999999998</v>
      </c>
    </row>
    <row r="405" spans="1:10" x14ac:dyDescent="0.3">
      <c r="A405">
        <v>403</v>
      </c>
      <c r="B405">
        <v>6440</v>
      </c>
      <c r="C405" t="b">
        <v>1</v>
      </c>
      <c r="D405">
        <v>8048</v>
      </c>
      <c r="E405">
        <v>8129</v>
      </c>
      <c r="F405">
        <v>8</v>
      </c>
      <c r="G405">
        <v>5.6</v>
      </c>
      <c r="H405">
        <v>1.4285715000000001</v>
      </c>
      <c r="I405">
        <v>-0.42857146000000002</v>
      </c>
      <c r="J405">
        <v>0.41176467999999999</v>
      </c>
    </row>
    <row r="406" spans="1:10" x14ac:dyDescent="0.3">
      <c r="A406">
        <v>404</v>
      </c>
      <c r="B406">
        <v>6456</v>
      </c>
      <c r="C406" t="b">
        <v>1</v>
      </c>
      <c r="D406">
        <v>8042</v>
      </c>
      <c r="E406">
        <v>8123</v>
      </c>
      <c r="F406">
        <v>8</v>
      </c>
      <c r="G406">
        <v>5.2</v>
      </c>
      <c r="H406">
        <v>1.5384616</v>
      </c>
      <c r="I406">
        <v>-0.53846156999999994</v>
      </c>
      <c r="J406">
        <v>0.39393938000000001</v>
      </c>
    </row>
    <row r="407" spans="1:10" x14ac:dyDescent="0.3">
      <c r="A407">
        <v>405</v>
      </c>
      <c r="B407">
        <v>6472</v>
      </c>
      <c r="C407" t="b">
        <v>1</v>
      </c>
      <c r="D407">
        <v>8048</v>
      </c>
      <c r="E407">
        <v>8123</v>
      </c>
      <c r="F407">
        <v>8</v>
      </c>
      <c r="G407">
        <v>5.2</v>
      </c>
      <c r="H407">
        <v>1.5384616</v>
      </c>
      <c r="I407">
        <v>-0.53846156999999994</v>
      </c>
      <c r="J407">
        <v>0.39393938000000001</v>
      </c>
    </row>
    <row r="408" spans="1:10" x14ac:dyDescent="0.3">
      <c r="A408">
        <v>406</v>
      </c>
      <c r="B408">
        <v>6487</v>
      </c>
      <c r="C408" t="b">
        <v>1</v>
      </c>
      <c r="D408">
        <v>8048</v>
      </c>
      <c r="E408">
        <v>8123</v>
      </c>
      <c r="F408">
        <v>8</v>
      </c>
      <c r="G408">
        <v>5.2</v>
      </c>
      <c r="H408">
        <v>1.5384616</v>
      </c>
      <c r="I408">
        <v>-0.53846156999999994</v>
      </c>
      <c r="J408">
        <v>0.39393938000000001</v>
      </c>
    </row>
    <row r="409" spans="1:10" x14ac:dyDescent="0.3">
      <c r="A409">
        <v>407</v>
      </c>
      <c r="B409">
        <v>6503</v>
      </c>
      <c r="C409" t="b">
        <v>1</v>
      </c>
      <c r="D409">
        <v>8048</v>
      </c>
      <c r="E409">
        <v>8123</v>
      </c>
      <c r="F409">
        <v>8</v>
      </c>
      <c r="G409">
        <v>5.2</v>
      </c>
      <c r="H409">
        <v>1.5384616</v>
      </c>
      <c r="I409">
        <v>-0.53846156999999994</v>
      </c>
      <c r="J409">
        <v>0.39393938000000001</v>
      </c>
    </row>
    <row r="410" spans="1:10" x14ac:dyDescent="0.3">
      <c r="A410">
        <v>408</v>
      </c>
      <c r="B410">
        <v>6519</v>
      </c>
      <c r="C410" t="b">
        <v>1</v>
      </c>
      <c r="D410">
        <v>8048</v>
      </c>
      <c r="E410">
        <v>8123</v>
      </c>
      <c r="F410">
        <v>8</v>
      </c>
      <c r="G410">
        <v>5.2</v>
      </c>
      <c r="H410">
        <v>1.5384616</v>
      </c>
      <c r="I410">
        <v>-0.53846156999999994</v>
      </c>
      <c r="J410">
        <v>0.39393938000000001</v>
      </c>
    </row>
    <row r="411" spans="1:10" x14ac:dyDescent="0.3">
      <c r="A411">
        <v>409</v>
      </c>
      <c r="B411">
        <v>6535</v>
      </c>
      <c r="C411" t="b">
        <v>1</v>
      </c>
      <c r="D411">
        <v>8048</v>
      </c>
      <c r="E411">
        <v>8123</v>
      </c>
      <c r="F411">
        <v>8</v>
      </c>
      <c r="G411">
        <v>5.2</v>
      </c>
      <c r="H411">
        <v>1.5384616</v>
      </c>
      <c r="I411">
        <v>-0.53846156999999994</v>
      </c>
      <c r="J411">
        <v>0.39393938000000001</v>
      </c>
    </row>
    <row r="412" spans="1:10" x14ac:dyDescent="0.3">
      <c r="A412">
        <v>410</v>
      </c>
      <c r="B412">
        <v>6551</v>
      </c>
      <c r="C412" t="b">
        <v>1</v>
      </c>
      <c r="D412">
        <v>8048</v>
      </c>
      <c r="E412">
        <v>8123</v>
      </c>
      <c r="F412">
        <v>8</v>
      </c>
      <c r="G412">
        <v>5.2</v>
      </c>
      <c r="H412">
        <v>1.5384616</v>
      </c>
      <c r="I412">
        <v>-0.53846156999999994</v>
      </c>
      <c r="J412">
        <v>0.39393938000000001</v>
      </c>
    </row>
    <row r="413" spans="1:10" x14ac:dyDescent="0.3">
      <c r="A413">
        <v>411</v>
      </c>
      <c r="B413">
        <v>6566</v>
      </c>
      <c r="C413" t="b">
        <v>1</v>
      </c>
      <c r="D413">
        <v>8048</v>
      </c>
      <c r="E413">
        <v>8123</v>
      </c>
      <c r="F413">
        <v>8</v>
      </c>
      <c r="G413">
        <v>5.2</v>
      </c>
      <c r="H413">
        <v>1.5384616</v>
      </c>
      <c r="I413">
        <v>-0.53846156999999994</v>
      </c>
      <c r="J413">
        <v>0.39393938000000001</v>
      </c>
    </row>
    <row r="414" spans="1:10" x14ac:dyDescent="0.3">
      <c r="A414">
        <v>412</v>
      </c>
      <c r="B414">
        <v>6582</v>
      </c>
      <c r="C414" t="b">
        <v>1</v>
      </c>
      <c r="D414">
        <v>8048</v>
      </c>
      <c r="E414">
        <v>8123</v>
      </c>
      <c r="F414">
        <v>8</v>
      </c>
      <c r="G414">
        <v>5.2</v>
      </c>
      <c r="H414">
        <v>1.5384616</v>
      </c>
      <c r="I414">
        <v>-0.53846156999999994</v>
      </c>
      <c r="J414">
        <v>0.39393938000000001</v>
      </c>
    </row>
    <row r="415" spans="1:10" x14ac:dyDescent="0.3">
      <c r="A415">
        <v>413</v>
      </c>
      <c r="B415">
        <v>6598</v>
      </c>
      <c r="C415" t="b">
        <v>1</v>
      </c>
      <c r="D415">
        <v>8048</v>
      </c>
      <c r="E415">
        <v>8123</v>
      </c>
      <c r="F415">
        <v>8</v>
      </c>
      <c r="G415">
        <v>5.6</v>
      </c>
      <c r="H415">
        <v>1.4285715000000001</v>
      </c>
      <c r="I415">
        <v>-0.42857146000000002</v>
      </c>
      <c r="J415">
        <v>0.41176467999999999</v>
      </c>
    </row>
    <row r="416" spans="1:10" x14ac:dyDescent="0.3">
      <c r="A416">
        <v>414</v>
      </c>
      <c r="B416">
        <v>6614</v>
      </c>
      <c r="C416" t="b">
        <v>1</v>
      </c>
      <c r="D416">
        <v>8048</v>
      </c>
      <c r="E416">
        <v>8123</v>
      </c>
      <c r="F416">
        <v>8</v>
      </c>
      <c r="G416">
        <v>6</v>
      </c>
      <c r="H416">
        <v>1.3333333999999999</v>
      </c>
      <c r="I416">
        <v>-0.33333333999999998</v>
      </c>
      <c r="J416">
        <v>0.42857142999999998</v>
      </c>
    </row>
    <row r="417" spans="1:10" x14ac:dyDescent="0.3">
      <c r="A417">
        <v>415</v>
      </c>
      <c r="B417">
        <v>6629</v>
      </c>
      <c r="C417" t="b">
        <v>1</v>
      </c>
      <c r="D417">
        <v>8048</v>
      </c>
      <c r="E417">
        <v>8123</v>
      </c>
      <c r="F417">
        <v>8</v>
      </c>
      <c r="G417">
        <v>6.4</v>
      </c>
      <c r="H417">
        <v>1.25</v>
      </c>
      <c r="I417">
        <v>-0.24999999000000001</v>
      </c>
      <c r="J417">
        <v>0.44444447999999998</v>
      </c>
    </row>
    <row r="418" spans="1:10" x14ac:dyDescent="0.3">
      <c r="A418">
        <v>416</v>
      </c>
      <c r="B418">
        <v>6646</v>
      </c>
      <c r="C418" t="b">
        <v>1</v>
      </c>
      <c r="D418">
        <v>8048</v>
      </c>
      <c r="E418">
        <v>8123</v>
      </c>
      <c r="F418">
        <v>8</v>
      </c>
      <c r="G418">
        <v>6.8</v>
      </c>
      <c r="H418">
        <v>1.1764705</v>
      </c>
      <c r="I418">
        <v>-0.17647055</v>
      </c>
      <c r="J418">
        <v>0.45945944999999999</v>
      </c>
    </row>
    <row r="419" spans="1:10" x14ac:dyDescent="0.3">
      <c r="A419">
        <v>417</v>
      </c>
      <c r="B419">
        <v>6661</v>
      </c>
      <c r="C419" t="b">
        <v>1</v>
      </c>
      <c r="D419">
        <v>8048</v>
      </c>
      <c r="E419">
        <v>8134</v>
      </c>
      <c r="F419">
        <v>8</v>
      </c>
      <c r="G419">
        <v>7.2</v>
      </c>
      <c r="H419">
        <v>1.1111112000000001</v>
      </c>
      <c r="I419">
        <v>-0.11111114</v>
      </c>
      <c r="J419">
        <v>0.4736842</v>
      </c>
    </row>
    <row r="420" spans="1:10" x14ac:dyDescent="0.3">
      <c r="A420">
        <v>418</v>
      </c>
      <c r="B420">
        <v>6677</v>
      </c>
      <c r="C420" t="b">
        <v>1</v>
      </c>
      <c r="D420">
        <v>8048</v>
      </c>
      <c r="E420">
        <v>8123</v>
      </c>
      <c r="F420">
        <v>8</v>
      </c>
      <c r="G420">
        <v>7.6</v>
      </c>
      <c r="H420">
        <v>1.0526316</v>
      </c>
      <c r="I420">
        <v>-5.2631589999999999E-2</v>
      </c>
      <c r="J420">
        <v>0.48717946000000001</v>
      </c>
    </row>
    <row r="421" spans="1:10" x14ac:dyDescent="0.3">
      <c r="A421">
        <v>419</v>
      </c>
      <c r="B421">
        <v>6693</v>
      </c>
      <c r="C421" t="b">
        <v>1</v>
      </c>
      <c r="D421">
        <v>8048</v>
      </c>
      <c r="E421">
        <v>8123</v>
      </c>
      <c r="F421">
        <v>8</v>
      </c>
      <c r="G421">
        <v>8</v>
      </c>
      <c r="H421">
        <v>1</v>
      </c>
      <c r="I421">
        <v>0</v>
      </c>
      <c r="J421">
        <v>0.5</v>
      </c>
    </row>
    <row r="422" spans="1:10" x14ac:dyDescent="0.3">
      <c r="A422">
        <v>420</v>
      </c>
      <c r="B422">
        <v>6709</v>
      </c>
      <c r="C422" t="b">
        <v>1</v>
      </c>
      <c r="D422">
        <v>8048</v>
      </c>
      <c r="E422">
        <v>8134</v>
      </c>
      <c r="F422">
        <v>8</v>
      </c>
      <c r="G422">
        <v>8</v>
      </c>
      <c r="H422">
        <v>1</v>
      </c>
      <c r="I422">
        <v>0</v>
      </c>
      <c r="J422">
        <v>0.5</v>
      </c>
    </row>
    <row r="423" spans="1:10" x14ac:dyDescent="0.3">
      <c r="A423">
        <v>421</v>
      </c>
      <c r="B423">
        <v>6725</v>
      </c>
      <c r="C423" t="b">
        <v>1</v>
      </c>
      <c r="D423">
        <v>8048</v>
      </c>
      <c r="E423">
        <v>8123</v>
      </c>
      <c r="F423">
        <v>8</v>
      </c>
      <c r="G423">
        <v>8</v>
      </c>
      <c r="H423">
        <v>1</v>
      </c>
      <c r="I423">
        <v>0</v>
      </c>
      <c r="J423">
        <v>0.5</v>
      </c>
    </row>
    <row r="424" spans="1:10" x14ac:dyDescent="0.3">
      <c r="A424">
        <v>422</v>
      </c>
      <c r="B424">
        <v>6741</v>
      </c>
      <c r="C424" t="b">
        <v>1</v>
      </c>
      <c r="D424">
        <v>8048</v>
      </c>
      <c r="E424">
        <v>8117</v>
      </c>
      <c r="F424">
        <v>8</v>
      </c>
      <c r="G424">
        <v>8</v>
      </c>
      <c r="H424">
        <v>1</v>
      </c>
      <c r="I424">
        <v>0</v>
      </c>
      <c r="J424">
        <v>0.5</v>
      </c>
    </row>
    <row r="425" spans="1:10" x14ac:dyDescent="0.3">
      <c r="A425">
        <v>423</v>
      </c>
      <c r="B425">
        <v>6757</v>
      </c>
      <c r="C425" t="b">
        <v>1</v>
      </c>
      <c r="D425">
        <v>8048</v>
      </c>
      <c r="E425">
        <v>8117</v>
      </c>
      <c r="F425">
        <v>8</v>
      </c>
      <c r="G425">
        <v>8</v>
      </c>
      <c r="H425">
        <v>1</v>
      </c>
      <c r="I425">
        <v>0</v>
      </c>
      <c r="J425">
        <v>0.5</v>
      </c>
    </row>
    <row r="426" spans="1:10" x14ac:dyDescent="0.3">
      <c r="A426">
        <v>424</v>
      </c>
      <c r="B426">
        <v>6773</v>
      </c>
      <c r="C426" t="b">
        <v>1</v>
      </c>
      <c r="D426">
        <v>8048</v>
      </c>
      <c r="E426">
        <v>8123</v>
      </c>
      <c r="F426">
        <v>8</v>
      </c>
      <c r="G426">
        <v>8</v>
      </c>
      <c r="H426">
        <v>1</v>
      </c>
      <c r="I426">
        <v>0</v>
      </c>
      <c r="J426">
        <v>0.5</v>
      </c>
    </row>
    <row r="427" spans="1:10" x14ac:dyDescent="0.3">
      <c r="A427">
        <v>425</v>
      </c>
      <c r="B427">
        <v>6789</v>
      </c>
      <c r="C427" t="b">
        <v>1</v>
      </c>
      <c r="D427">
        <v>8048</v>
      </c>
      <c r="E427">
        <v>8117</v>
      </c>
      <c r="F427">
        <v>8</v>
      </c>
      <c r="G427">
        <v>7.6</v>
      </c>
      <c r="H427">
        <v>1.0526316</v>
      </c>
      <c r="I427">
        <v>-5.2631589999999999E-2</v>
      </c>
      <c r="J427">
        <v>0.48717946000000001</v>
      </c>
    </row>
    <row r="428" spans="1:10" x14ac:dyDescent="0.3">
      <c r="A428">
        <v>426</v>
      </c>
      <c r="B428">
        <v>6805</v>
      </c>
      <c r="C428" t="b">
        <v>1</v>
      </c>
      <c r="D428">
        <v>8048</v>
      </c>
      <c r="E428">
        <v>8117</v>
      </c>
      <c r="F428">
        <v>8</v>
      </c>
      <c r="G428">
        <v>7.2</v>
      </c>
      <c r="H428">
        <v>1.1111112000000001</v>
      </c>
      <c r="I428">
        <v>-0.11111114</v>
      </c>
      <c r="J428">
        <v>0.4736842</v>
      </c>
    </row>
    <row r="429" spans="1:10" x14ac:dyDescent="0.3">
      <c r="A429">
        <v>427</v>
      </c>
      <c r="B429">
        <v>6821</v>
      </c>
      <c r="C429" t="b">
        <v>1</v>
      </c>
      <c r="D429">
        <v>8042</v>
      </c>
      <c r="E429">
        <v>8123</v>
      </c>
      <c r="F429">
        <v>8</v>
      </c>
      <c r="G429">
        <v>6.8</v>
      </c>
      <c r="H429">
        <v>1.1764705</v>
      </c>
      <c r="I429">
        <v>-0.17647055</v>
      </c>
      <c r="J429">
        <v>0.45945944999999999</v>
      </c>
    </row>
    <row r="430" spans="1:10" x14ac:dyDescent="0.3">
      <c r="A430">
        <v>428</v>
      </c>
      <c r="B430">
        <v>6837</v>
      </c>
      <c r="C430" t="b">
        <v>1</v>
      </c>
      <c r="D430">
        <v>8042</v>
      </c>
      <c r="E430">
        <v>8123</v>
      </c>
      <c r="F430">
        <v>8</v>
      </c>
      <c r="G430">
        <v>6.8</v>
      </c>
      <c r="H430">
        <v>1.1764705</v>
      </c>
      <c r="I430">
        <v>-0.17647055</v>
      </c>
      <c r="J430">
        <v>0.45945944999999999</v>
      </c>
    </row>
    <row r="431" spans="1:10" x14ac:dyDescent="0.3">
      <c r="A431">
        <v>429</v>
      </c>
      <c r="B431">
        <v>6853</v>
      </c>
      <c r="C431" t="b">
        <v>1</v>
      </c>
      <c r="D431">
        <v>8042</v>
      </c>
      <c r="E431">
        <v>8123</v>
      </c>
      <c r="F431">
        <v>7.6</v>
      </c>
      <c r="G431">
        <v>6.8</v>
      </c>
      <c r="H431">
        <v>1.1176470000000001</v>
      </c>
      <c r="I431">
        <v>-0.11764701499999999</v>
      </c>
      <c r="J431">
        <v>0.47222224000000002</v>
      </c>
    </row>
    <row r="432" spans="1:10" x14ac:dyDescent="0.3">
      <c r="A432">
        <v>430</v>
      </c>
      <c r="B432">
        <v>6868</v>
      </c>
      <c r="C432" t="b">
        <v>1</v>
      </c>
      <c r="D432">
        <v>8042</v>
      </c>
      <c r="E432">
        <v>8123</v>
      </c>
      <c r="F432">
        <v>7.2</v>
      </c>
      <c r="G432">
        <v>6.8</v>
      </c>
      <c r="H432">
        <v>1.0588234999999999</v>
      </c>
      <c r="I432">
        <v>-5.8823470000000003E-2</v>
      </c>
      <c r="J432">
        <v>0.48571429999999999</v>
      </c>
    </row>
    <row r="433" spans="1:10" x14ac:dyDescent="0.3">
      <c r="A433">
        <v>431</v>
      </c>
      <c r="B433">
        <v>6884</v>
      </c>
      <c r="C433" t="b">
        <v>1</v>
      </c>
      <c r="D433">
        <v>8042</v>
      </c>
      <c r="E433">
        <v>8123</v>
      </c>
      <c r="F433">
        <v>6.8</v>
      </c>
      <c r="G433">
        <v>6.8</v>
      </c>
      <c r="H433">
        <v>1</v>
      </c>
      <c r="I433">
        <v>0</v>
      </c>
      <c r="J433">
        <v>0.5</v>
      </c>
    </row>
    <row r="434" spans="1:10" x14ac:dyDescent="0.3">
      <c r="A434">
        <v>432</v>
      </c>
      <c r="B434">
        <v>6900</v>
      </c>
      <c r="C434" t="b">
        <v>1</v>
      </c>
      <c r="D434">
        <v>8042</v>
      </c>
      <c r="E434">
        <v>8123</v>
      </c>
      <c r="F434">
        <v>6.4</v>
      </c>
      <c r="G434">
        <v>6.8</v>
      </c>
      <c r="H434">
        <v>0.94117649999999997</v>
      </c>
      <c r="I434">
        <v>5.8823540000000001E-2</v>
      </c>
      <c r="J434">
        <v>0.51515149999999998</v>
      </c>
    </row>
    <row r="435" spans="1:10" x14ac:dyDescent="0.3">
      <c r="A435">
        <v>433</v>
      </c>
      <c r="B435">
        <v>6916</v>
      </c>
      <c r="C435" t="b">
        <v>1</v>
      </c>
      <c r="D435">
        <v>8042</v>
      </c>
      <c r="E435">
        <v>8123</v>
      </c>
      <c r="F435">
        <v>6</v>
      </c>
      <c r="G435">
        <v>6.8</v>
      </c>
      <c r="H435">
        <v>0.8823529</v>
      </c>
      <c r="I435">
        <v>0.11764708</v>
      </c>
      <c r="J435">
        <v>0.53125</v>
      </c>
    </row>
    <row r="436" spans="1:10" x14ac:dyDescent="0.3">
      <c r="A436">
        <v>434</v>
      </c>
      <c r="B436">
        <v>6932</v>
      </c>
      <c r="C436" t="b">
        <v>1</v>
      </c>
      <c r="D436">
        <v>8037</v>
      </c>
      <c r="E436">
        <v>8123</v>
      </c>
      <c r="F436">
        <v>5.6</v>
      </c>
      <c r="G436">
        <v>6.8</v>
      </c>
      <c r="H436">
        <v>0.82352935999999999</v>
      </c>
      <c r="I436">
        <v>0.17647061999999999</v>
      </c>
      <c r="J436">
        <v>0.54838710000000002</v>
      </c>
    </row>
    <row r="437" spans="1:10" x14ac:dyDescent="0.3">
      <c r="A437">
        <v>435</v>
      </c>
      <c r="B437">
        <v>6948</v>
      </c>
      <c r="C437" t="b">
        <v>1</v>
      </c>
      <c r="D437">
        <v>8042</v>
      </c>
      <c r="E437">
        <v>8123</v>
      </c>
      <c r="F437">
        <v>5.2</v>
      </c>
      <c r="G437">
        <v>6.8</v>
      </c>
      <c r="H437">
        <v>0.76470583999999997</v>
      </c>
      <c r="I437">
        <v>0.23529416</v>
      </c>
      <c r="J437">
        <v>0.56666665999999999</v>
      </c>
    </row>
    <row r="438" spans="1:10" x14ac:dyDescent="0.3">
      <c r="A438">
        <v>436</v>
      </c>
      <c r="B438">
        <v>6963</v>
      </c>
      <c r="C438" t="b">
        <v>1</v>
      </c>
      <c r="D438">
        <v>8048</v>
      </c>
      <c r="E438">
        <v>8134</v>
      </c>
      <c r="F438">
        <v>4.8</v>
      </c>
      <c r="G438">
        <v>6.8</v>
      </c>
      <c r="H438">
        <v>0.70588240000000002</v>
      </c>
      <c r="I438">
        <v>0.29411763000000002</v>
      </c>
      <c r="J438">
        <v>0.58620689999999998</v>
      </c>
    </row>
    <row r="439" spans="1:10" x14ac:dyDescent="0.3">
      <c r="A439">
        <v>437</v>
      </c>
      <c r="B439">
        <v>6979</v>
      </c>
      <c r="C439" t="b">
        <v>1</v>
      </c>
      <c r="D439">
        <v>8048</v>
      </c>
      <c r="E439">
        <v>8123</v>
      </c>
      <c r="F439">
        <v>4.4000000000000004</v>
      </c>
      <c r="G439">
        <v>6.8</v>
      </c>
      <c r="H439">
        <v>0.64705884000000002</v>
      </c>
      <c r="I439">
        <v>0.35294120000000001</v>
      </c>
      <c r="J439">
        <v>0.60714279999999998</v>
      </c>
    </row>
    <row r="440" spans="1:10" x14ac:dyDescent="0.3">
      <c r="A440">
        <v>438</v>
      </c>
      <c r="B440">
        <v>6995</v>
      </c>
      <c r="C440" t="b">
        <v>1</v>
      </c>
      <c r="D440">
        <v>8048</v>
      </c>
      <c r="E440">
        <v>8123</v>
      </c>
      <c r="F440">
        <v>4.4000000000000004</v>
      </c>
      <c r="G440">
        <v>6.8</v>
      </c>
      <c r="H440">
        <v>0.64705884000000002</v>
      </c>
      <c r="I440">
        <v>0.35294120000000001</v>
      </c>
      <c r="J440">
        <v>0.60714279999999998</v>
      </c>
    </row>
    <row r="441" spans="1:10" x14ac:dyDescent="0.3">
      <c r="A441">
        <v>439</v>
      </c>
      <c r="B441">
        <v>7011</v>
      </c>
      <c r="C441" t="b">
        <v>1</v>
      </c>
      <c r="D441">
        <v>8048</v>
      </c>
      <c r="E441">
        <v>8123</v>
      </c>
      <c r="F441">
        <v>4.4000000000000004</v>
      </c>
      <c r="G441">
        <v>6.8</v>
      </c>
      <c r="H441">
        <v>0.64705884000000002</v>
      </c>
      <c r="I441">
        <v>0.35294120000000001</v>
      </c>
      <c r="J441">
        <v>0.60714279999999998</v>
      </c>
    </row>
    <row r="442" spans="1:10" x14ac:dyDescent="0.3">
      <c r="A442">
        <v>440</v>
      </c>
      <c r="B442">
        <v>7026</v>
      </c>
      <c r="C442" t="b">
        <v>1</v>
      </c>
      <c r="D442">
        <v>8048</v>
      </c>
      <c r="E442">
        <v>8123</v>
      </c>
      <c r="F442">
        <v>4.4000000000000004</v>
      </c>
      <c r="G442">
        <v>7.2</v>
      </c>
      <c r="H442">
        <v>0.61111115999999999</v>
      </c>
      <c r="I442">
        <v>0.38888887</v>
      </c>
      <c r="J442">
        <v>0.62068962999999999</v>
      </c>
    </row>
    <row r="443" spans="1:10" x14ac:dyDescent="0.3">
      <c r="A443">
        <v>441</v>
      </c>
      <c r="B443">
        <v>7042</v>
      </c>
      <c r="C443" t="b">
        <v>1</v>
      </c>
      <c r="D443">
        <v>8048</v>
      </c>
      <c r="E443">
        <v>8123</v>
      </c>
      <c r="F443">
        <v>4.4000000000000004</v>
      </c>
      <c r="G443">
        <v>7.6</v>
      </c>
      <c r="H443">
        <v>0.57894736999999996</v>
      </c>
      <c r="I443">
        <v>0.4210526</v>
      </c>
      <c r="J443">
        <v>0.63333329999999999</v>
      </c>
    </row>
    <row r="444" spans="1:10" x14ac:dyDescent="0.3">
      <c r="A444">
        <v>442</v>
      </c>
      <c r="B444">
        <v>7058</v>
      </c>
      <c r="C444" t="b">
        <v>1</v>
      </c>
      <c r="D444">
        <v>8048</v>
      </c>
      <c r="E444">
        <v>8123</v>
      </c>
      <c r="F444">
        <v>4.4000000000000004</v>
      </c>
      <c r="G444">
        <v>8</v>
      </c>
      <c r="H444">
        <v>0.55000000000000004</v>
      </c>
      <c r="I444">
        <v>0.45</v>
      </c>
      <c r="J444">
        <v>0.64516132999999998</v>
      </c>
    </row>
    <row r="445" spans="1:10" x14ac:dyDescent="0.3">
      <c r="A445">
        <v>443</v>
      </c>
      <c r="B445">
        <v>7074</v>
      </c>
      <c r="C445" t="b">
        <v>1</v>
      </c>
      <c r="D445">
        <v>8048</v>
      </c>
      <c r="E445">
        <v>8129</v>
      </c>
      <c r="F445">
        <v>4.4000000000000004</v>
      </c>
      <c r="G445">
        <v>8</v>
      </c>
      <c r="H445">
        <v>0.55000000000000004</v>
      </c>
      <c r="I445">
        <v>0.45</v>
      </c>
      <c r="J445">
        <v>0.64516132999999998</v>
      </c>
    </row>
    <row r="446" spans="1:10" x14ac:dyDescent="0.3">
      <c r="A446">
        <v>444</v>
      </c>
      <c r="B446">
        <v>7090</v>
      </c>
      <c r="C446" t="b">
        <v>1</v>
      </c>
      <c r="D446">
        <v>8048</v>
      </c>
      <c r="E446">
        <v>8123</v>
      </c>
      <c r="F446">
        <v>4.8</v>
      </c>
      <c r="G446">
        <v>8</v>
      </c>
      <c r="H446">
        <v>0.6</v>
      </c>
      <c r="I446">
        <v>0.39999997999999998</v>
      </c>
      <c r="J446">
        <v>0.625</v>
      </c>
    </row>
    <row r="447" spans="1:10" x14ac:dyDescent="0.3">
      <c r="A447">
        <v>445</v>
      </c>
      <c r="B447">
        <v>7106</v>
      </c>
      <c r="C447" t="b">
        <v>1</v>
      </c>
      <c r="D447">
        <v>8048</v>
      </c>
      <c r="E447">
        <v>8129</v>
      </c>
      <c r="F447">
        <v>5.2</v>
      </c>
      <c r="G447">
        <v>8</v>
      </c>
      <c r="H447">
        <v>0.65</v>
      </c>
      <c r="I447">
        <v>0.35000002000000002</v>
      </c>
      <c r="J447">
        <v>0.60606059999999995</v>
      </c>
    </row>
    <row r="448" spans="1:10" x14ac:dyDescent="0.3">
      <c r="A448">
        <v>446</v>
      </c>
      <c r="B448">
        <v>7121</v>
      </c>
      <c r="C448" t="b">
        <v>1</v>
      </c>
      <c r="D448">
        <v>8048</v>
      </c>
      <c r="E448">
        <v>8123</v>
      </c>
      <c r="F448">
        <v>5.6</v>
      </c>
      <c r="G448">
        <v>8</v>
      </c>
      <c r="H448">
        <v>0.7</v>
      </c>
      <c r="I448">
        <v>0.3</v>
      </c>
      <c r="J448">
        <v>0.58823526000000004</v>
      </c>
    </row>
    <row r="449" spans="1:10" x14ac:dyDescent="0.3">
      <c r="A449">
        <v>447</v>
      </c>
      <c r="B449">
        <v>7138</v>
      </c>
      <c r="C449" t="b">
        <v>1</v>
      </c>
      <c r="D449">
        <v>8048</v>
      </c>
      <c r="E449">
        <v>8134</v>
      </c>
      <c r="F449">
        <v>6</v>
      </c>
      <c r="G449">
        <v>8.4</v>
      </c>
      <c r="H449">
        <v>0.71428572999999995</v>
      </c>
      <c r="I449">
        <v>0.28571424000000001</v>
      </c>
      <c r="J449">
        <v>0.58333330000000005</v>
      </c>
    </row>
    <row r="450" spans="1:10" x14ac:dyDescent="0.3">
      <c r="A450">
        <v>448</v>
      </c>
      <c r="B450">
        <v>7154</v>
      </c>
      <c r="C450" t="b">
        <v>1</v>
      </c>
      <c r="D450">
        <v>8048</v>
      </c>
      <c r="E450">
        <v>8123</v>
      </c>
      <c r="F450">
        <v>6.4</v>
      </c>
      <c r="G450">
        <v>8.4</v>
      </c>
      <c r="H450">
        <v>0.76190484000000003</v>
      </c>
      <c r="I450">
        <v>0.23809520000000001</v>
      </c>
      <c r="J450">
        <v>0.56756759999999995</v>
      </c>
    </row>
    <row r="451" spans="1:10" x14ac:dyDescent="0.3">
      <c r="A451">
        <v>449</v>
      </c>
      <c r="B451">
        <v>7170</v>
      </c>
      <c r="C451" t="b">
        <v>1</v>
      </c>
      <c r="D451">
        <v>8042</v>
      </c>
      <c r="E451">
        <v>8123</v>
      </c>
      <c r="F451">
        <v>6.8</v>
      </c>
      <c r="G451">
        <v>8.4</v>
      </c>
      <c r="H451">
        <v>0.80952389999999996</v>
      </c>
      <c r="I451">
        <v>0.19047612999999999</v>
      </c>
      <c r="J451">
        <v>0.55263156000000002</v>
      </c>
    </row>
    <row r="452" spans="1:10" x14ac:dyDescent="0.3">
      <c r="A452">
        <v>450</v>
      </c>
      <c r="B452">
        <v>7186</v>
      </c>
      <c r="C452" t="b">
        <v>1</v>
      </c>
      <c r="D452">
        <v>8042</v>
      </c>
      <c r="E452">
        <v>8129</v>
      </c>
      <c r="F452">
        <v>7.2</v>
      </c>
      <c r="G452">
        <v>8.4</v>
      </c>
      <c r="H452">
        <v>0.85714287</v>
      </c>
      <c r="I452">
        <v>0.14285712</v>
      </c>
      <c r="J452">
        <v>0.53846150000000004</v>
      </c>
    </row>
    <row r="453" spans="1:10" x14ac:dyDescent="0.3">
      <c r="A453">
        <v>451</v>
      </c>
      <c r="B453">
        <v>7202</v>
      </c>
      <c r="C453" t="b">
        <v>1</v>
      </c>
      <c r="D453">
        <v>8048</v>
      </c>
      <c r="E453">
        <v>8134</v>
      </c>
      <c r="F453">
        <v>7.6</v>
      </c>
      <c r="G453">
        <v>8.8000000000000007</v>
      </c>
      <c r="H453">
        <v>0.86363630000000002</v>
      </c>
      <c r="I453">
        <v>0.13636366999999999</v>
      </c>
      <c r="J453">
        <v>0.53658539999999999</v>
      </c>
    </row>
    <row r="454" spans="1:10" x14ac:dyDescent="0.3">
      <c r="A454">
        <v>452</v>
      </c>
      <c r="B454">
        <v>7217</v>
      </c>
      <c r="C454" t="b">
        <v>1</v>
      </c>
      <c r="D454">
        <v>8042</v>
      </c>
      <c r="E454">
        <v>8123</v>
      </c>
      <c r="F454">
        <v>7.6</v>
      </c>
      <c r="G454">
        <v>8.8000000000000007</v>
      </c>
      <c r="H454">
        <v>0.86363630000000002</v>
      </c>
      <c r="I454">
        <v>0.13636366999999999</v>
      </c>
      <c r="J454">
        <v>0.53658539999999999</v>
      </c>
    </row>
    <row r="455" spans="1:10" x14ac:dyDescent="0.3">
      <c r="A455">
        <v>453</v>
      </c>
      <c r="B455">
        <v>7232</v>
      </c>
      <c r="C455" t="b">
        <v>1</v>
      </c>
      <c r="D455">
        <v>8042</v>
      </c>
      <c r="E455">
        <v>8123</v>
      </c>
      <c r="F455">
        <v>7.2</v>
      </c>
      <c r="G455">
        <v>8.8000000000000007</v>
      </c>
      <c r="H455">
        <v>0.81818175000000004</v>
      </c>
      <c r="I455">
        <v>0.18181822</v>
      </c>
      <c r="J455">
        <v>0.55000000000000004</v>
      </c>
    </row>
    <row r="456" spans="1:10" x14ac:dyDescent="0.3">
      <c r="A456">
        <v>454</v>
      </c>
      <c r="B456">
        <v>7249</v>
      </c>
      <c r="C456" t="b">
        <v>1</v>
      </c>
      <c r="D456">
        <v>8042</v>
      </c>
      <c r="E456">
        <v>8123</v>
      </c>
      <c r="F456">
        <v>6.8</v>
      </c>
      <c r="G456">
        <v>8.8000000000000007</v>
      </c>
      <c r="H456">
        <v>0.77272724999999998</v>
      </c>
      <c r="I456">
        <v>0.22727272000000001</v>
      </c>
      <c r="J456">
        <v>0.56410260000000001</v>
      </c>
    </row>
    <row r="457" spans="1:10" x14ac:dyDescent="0.3">
      <c r="A457">
        <v>455</v>
      </c>
      <c r="B457">
        <v>7265</v>
      </c>
      <c r="C457" t="b">
        <v>1</v>
      </c>
      <c r="D457">
        <v>8048</v>
      </c>
      <c r="E457">
        <v>8123</v>
      </c>
      <c r="F457">
        <v>6.4</v>
      </c>
      <c r="G457">
        <v>8.8000000000000007</v>
      </c>
      <c r="H457">
        <v>0.72727275000000002</v>
      </c>
      <c r="I457">
        <v>0.27272728000000002</v>
      </c>
      <c r="J457">
        <v>0.57894736999999996</v>
      </c>
    </row>
    <row r="458" spans="1:10" x14ac:dyDescent="0.3">
      <c r="A458">
        <v>456</v>
      </c>
      <c r="B458">
        <v>7280</v>
      </c>
      <c r="C458" t="b">
        <v>1</v>
      </c>
      <c r="D458">
        <v>8042</v>
      </c>
      <c r="E458">
        <v>8123</v>
      </c>
      <c r="F458">
        <v>6</v>
      </c>
      <c r="G458">
        <v>8.8000000000000007</v>
      </c>
      <c r="H458">
        <v>0.68181820000000004</v>
      </c>
      <c r="I458">
        <v>0.31818183999999999</v>
      </c>
      <c r="J458">
        <v>0.59459459999999997</v>
      </c>
    </row>
    <row r="459" spans="1:10" x14ac:dyDescent="0.3">
      <c r="A459">
        <v>457</v>
      </c>
      <c r="B459">
        <v>7296</v>
      </c>
      <c r="C459" t="b">
        <v>1</v>
      </c>
      <c r="D459">
        <v>8048</v>
      </c>
      <c r="E459">
        <v>8123</v>
      </c>
      <c r="F459">
        <v>5.6</v>
      </c>
      <c r="G459">
        <v>8.8000000000000007</v>
      </c>
      <c r="H459">
        <v>0.63636360000000003</v>
      </c>
      <c r="I459">
        <v>0.36363636999999999</v>
      </c>
      <c r="J459">
        <v>0.61111115999999999</v>
      </c>
    </row>
    <row r="460" spans="1:10" x14ac:dyDescent="0.3">
      <c r="A460">
        <v>458</v>
      </c>
      <c r="B460">
        <v>7312</v>
      </c>
      <c r="C460" t="b">
        <v>1</v>
      </c>
      <c r="D460">
        <v>8048</v>
      </c>
      <c r="E460">
        <v>8129</v>
      </c>
      <c r="F460">
        <v>5.6</v>
      </c>
      <c r="G460">
        <v>8.8000000000000007</v>
      </c>
      <c r="H460">
        <v>0.63636360000000003</v>
      </c>
      <c r="I460">
        <v>0.36363636999999999</v>
      </c>
      <c r="J460">
        <v>0.61111115999999999</v>
      </c>
    </row>
    <row r="461" spans="1:10" x14ac:dyDescent="0.3">
      <c r="A461">
        <v>459</v>
      </c>
      <c r="B461">
        <v>7328</v>
      </c>
      <c r="C461" t="b">
        <v>1</v>
      </c>
      <c r="D461">
        <v>8048</v>
      </c>
      <c r="E461">
        <v>8129</v>
      </c>
      <c r="F461">
        <v>5.6</v>
      </c>
      <c r="G461">
        <v>8.8000000000000007</v>
      </c>
      <c r="H461">
        <v>0.63636360000000003</v>
      </c>
      <c r="I461">
        <v>0.36363636999999999</v>
      </c>
      <c r="J461">
        <v>0.61111115999999999</v>
      </c>
    </row>
    <row r="462" spans="1:10" x14ac:dyDescent="0.3">
      <c r="A462">
        <v>460</v>
      </c>
      <c r="B462">
        <v>7344</v>
      </c>
      <c r="C462" t="b">
        <v>1</v>
      </c>
      <c r="D462">
        <v>8048</v>
      </c>
      <c r="E462">
        <v>8129</v>
      </c>
      <c r="F462">
        <v>5.6</v>
      </c>
      <c r="G462">
        <v>9.1999999999999993</v>
      </c>
      <c r="H462">
        <v>0.6086956</v>
      </c>
      <c r="I462">
        <v>0.39130433999999997</v>
      </c>
      <c r="J462">
        <v>0.62162167000000002</v>
      </c>
    </row>
    <row r="463" spans="1:10" x14ac:dyDescent="0.3">
      <c r="A463">
        <v>461</v>
      </c>
      <c r="B463">
        <v>7359</v>
      </c>
      <c r="C463" t="b">
        <v>1</v>
      </c>
      <c r="D463">
        <v>8048</v>
      </c>
      <c r="E463">
        <v>8123</v>
      </c>
      <c r="F463">
        <v>5.6</v>
      </c>
      <c r="G463">
        <v>9.6</v>
      </c>
      <c r="H463">
        <v>0.58333330000000005</v>
      </c>
      <c r="I463">
        <v>0.4166667</v>
      </c>
      <c r="J463">
        <v>0.63157890000000005</v>
      </c>
    </row>
    <row r="464" spans="1:10" x14ac:dyDescent="0.3">
      <c r="A464">
        <v>462</v>
      </c>
      <c r="B464">
        <v>7375</v>
      </c>
      <c r="C464" t="b">
        <v>1</v>
      </c>
      <c r="D464">
        <v>8048</v>
      </c>
      <c r="E464">
        <v>8123</v>
      </c>
      <c r="F464">
        <v>5.6</v>
      </c>
      <c r="G464">
        <v>9.6</v>
      </c>
      <c r="H464">
        <v>0.58333330000000005</v>
      </c>
      <c r="I464">
        <v>0.4166667</v>
      </c>
      <c r="J464">
        <v>0.63157890000000005</v>
      </c>
    </row>
    <row r="465" spans="1:10" x14ac:dyDescent="0.3">
      <c r="A465">
        <v>463</v>
      </c>
      <c r="B465">
        <v>7391</v>
      </c>
      <c r="C465" t="b">
        <v>1</v>
      </c>
      <c r="D465">
        <v>8048</v>
      </c>
      <c r="E465">
        <v>8123</v>
      </c>
      <c r="F465">
        <v>5.6</v>
      </c>
      <c r="G465">
        <v>9.6</v>
      </c>
      <c r="H465">
        <v>0.58333330000000005</v>
      </c>
      <c r="I465">
        <v>0.4166667</v>
      </c>
      <c r="J465">
        <v>0.63157890000000005</v>
      </c>
    </row>
    <row r="466" spans="1:10" x14ac:dyDescent="0.3">
      <c r="A466">
        <v>464</v>
      </c>
      <c r="B466">
        <v>7406</v>
      </c>
      <c r="C466" t="b">
        <v>1</v>
      </c>
      <c r="D466">
        <v>8048</v>
      </c>
      <c r="E466">
        <v>8129</v>
      </c>
      <c r="F466">
        <v>5.6</v>
      </c>
      <c r="G466">
        <v>9.6</v>
      </c>
      <c r="H466">
        <v>0.58333330000000005</v>
      </c>
      <c r="I466">
        <v>0.4166667</v>
      </c>
      <c r="J466">
        <v>0.63157890000000005</v>
      </c>
    </row>
    <row r="467" spans="1:10" x14ac:dyDescent="0.3">
      <c r="A467">
        <v>465</v>
      </c>
      <c r="B467">
        <v>7422</v>
      </c>
      <c r="C467" t="b">
        <v>1</v>
      </c>
      <c r="D467">
        <v>8048</v>
      </c>
      <c r="E467">
        <v>8123</v>
      </c>
      <c r="F467">
        <v>5.6</v>
      </c>
      <c r="G467">
        <v>9.6</v>
      </c>
      <c r="H467">
        <v>0.58333330000000005</v>
      </c>
      <c r="I467">
        <v>0.4166667</v>
      </c>
      <c r="J467">
        <v>0.63157890000000005</v>
      </c>
    </row>
    <row r="468" spans="1:10" x14ac:dyDescent="0.3">
      <c r="A468">
        <v>466</v>
      </c>
      <c r="B468">
        <v>7438</v>
      </c>
      <c r="C468" t="b">
        <v>1</v>
      </c>
      <c r="D468">
        <v>8048</v>
      </c>
      <c r="E468">
        <v>8129</v>
      </c>
      <c r="F468">
        <v>5.6</v>
      </c>
      <c r="G468">
        <v>9.1999999999999993</v>
      </c>
      <c r="H468">
        <v>0.6086956</v>
      </c>
      <c r="I468">
        <v>0.39130433999999997</v>
      </c>
      <c r="J468">
        <v>0.62162167000000002</v>
      </c>
    </row>
    <row r="469" spans="1:10" x14ac:dyDescent="0.3">
      <c r="A469">
        <v>467</v>
      </c>
      <c r="B469">
        <v>7454</v>
      </c>
      <c r="C469" t="b">
        <v>1</v>
      </c>
      <c r="D469">
        <v>8048</v>
      </c>
      <c r="E469">
        <v>8129</v>
      </c>
      <c r="F469">
        <v>6</v>
      </c>
      <c r="G469">
        <v>9.6</v>
      </c>
      <c r="H469">
        <v>0.625</v>
      </c>
      <c r="I469">
        <v>0.37500002999999998</v>
      </c>
      <c r="J469">
        <v>0.61538464000000004</v>
      </c>
    </row>
    <row r="470" spans="1:10" x14ac:dyDescent="0.3">
      <c r="A470">
        <v>468</v>
      </c>
      <c r="B470">
        <v>7470</v>
      </c>
      <c r="C470" t="b">
        <v>1</v>
      </c>
      <c r="D470">
        <v>8042</v>
      </c>
      <c r="E470">
        <v>8123</v>
      </c>
      <c r="F470">
        <v>6.4</v>
      </c>
      <c r="G470">
        <v>10</v>
      </c>
      <c r="H470">
        <v>0.64</v>
      </c>
      <c r="I470">
        <v>0.35999998</v>
      </c>
      <c r="J470">
        <v>0.60975610000000002</v>
      </c>
    </row>
    <row r="471" spans="1:10" x14ac:dyDescent="0.3">
      <c r="A471">
        <v>469</v>
      </c>
      <c r="B471">
        <v>7485</v>
      </c>
      <c r="C471" t="b">
        <v>1</v>
      </c>
      <c r="D471">
        <v>8048</v>
      </c>
      <c r="E471">
        <v>8123</v>
      </c>
      <c r="F471">
        <v>6.8</v>
      </c>
      <c r="G471">
        <v>10</v>
      </c>
      <c r="H471">
        <v>0.68</v>
      </c>
      <c r="I471">
        <v>0.32</v>
      </c>
      <c r="J471">
        <v>0.59523815000000002</v>
      </c>
    </row>
    <row r="472" spans="1:10" x14ac:dyDescent="0.3">
      <c r="A472">
        <v>470</v>
      </c>
      <c r="B472">
        <v>7501</v>
      </c>
      <c r="C472" t="b">
        <v>1</v>
      </c>
      <c r="D472">
        <v>8042</v>
      </c>
      <c r="E472">
        <v>8123</v>
      </c>
      <c r="F472">
        <v>7.2</v>
      </c>
      <c r="G472">
        <v>10</v>
      </c>
      <c r="H472">
        <v>0.71999997000000004</v>
      </c>
      <c r="I472">
        <v>0.28000003000000001</v>
      </c>
      <c r="J472">
        <v>0.58139529999999995</v>
      </c>
    </row>
    <row r="473" spans="1:10" x14ac:dyDescent="0.3">
      <c r="A473">
        <v>471</v>
      </c>
      <c r="B473">
        <v>7516</v>
      </c>
      <c r="C473" t="b">
        <v>1</v>
      </c>
      <c r="D473">
        <v>8042</v>
      </c>
      <c r="E473">
        <v>8123</v>
      </c>
      <c r="F473">
        <v>7.2</v>
      </c>
      <c r="G473">
        <v>10</v>
      </c>
      <c r="H473">
        <v>0.71999997000000004</v>
      </c>
      <c r="I473">
        <v>0.28000003000000001</v>
      </c>
      <c r="J473">
        <v>0.58139529999999995</v>
      </c>
    </row>
    <row r="474" spans="1:10" x14ac:dyDescent="0.3">
      <c r="A474">
        <v>472</v>
      </c>
      <c r="B474">
        <v>7532</v>
      </c>
      <c r="C474" t="b">
        <v>1</v>
      </c>
      <c r="D474">
        <v>8042</v>
      </c>
      <c r="E474">
        <v>8123</v>
      </c>
      <c r="F474">
        <v>7.2</v>
      </c>
      <c r="G474">
        <v>10</v>
      </c>
      <c r="H474">
        <v>0.71999997000000004</v>
      </c>
      <c r="I474">
        <v>0.28000003000000001</v>
      </c>
      <c r="J474">
        <v>0.58139529999999995</v>
      </c>
    </row>
    <row r="475" spans="1:10" x14ac:dyDescent="0.3">
      <c r="A475">
        <v>473</v>
      </c>
      <c r="B475">
        <v>7547</v>
      </c>
      <c r="C475" t="b">
        <v>1</v>
      </c>
      <c r="D475">
        <v>8042</v>
      </c>
      <c r="E475">
        <v>8123</v>
      </c>
      <c r="F475">
        <v>6.8</v>
      </c>
      <c r="G475">
        <v>10</v>
      </c>
      <c r="H475">
        <v>0.68</v>
      </c>
      <c r="I475">
        <v>0.32</v>
      </c>
      <c r="J475">
        <v>0.59523815000000002</v>
      </c>
    </row>
    <row r="476" spans="1:10" x14ac:dyDescent="0.3">
      <c r="A476">
        <v>474</v>
      </c>
      <c r="B476">
        <v>7563</v>
      </c>
      <c r="C476" t="b">
        <v>1</v>
      </c>
      <c r="D476">
        <v>8048</v>
      </c>
      <c r="E476">
        <v>8123</v>
      </c>
      <c r="F476">
        <v>6.4</v>
      </c>
      <c r="G476">
        <v>10</v>
      </c>
      <c r="H476">
        <v>0.64</v>
      </c>
      <c r="I476">
        <v>0.35999998</v>
      </c>
      <c r="J476">
        <v>0.60975610000000002</v>
      </c>
    </row>
    <row r="477" spans="1:10" x14ac:dyDescent="0.3">
      <c r="A477">
        <v>475</v>
      </c>
      <c r="B477">
        <v>7579</v>
      </c>
      <c r="C477" t="b">
        <v>1</v>
      </c>
      <c r="D477">
        <v>8042</v>
      </c>
      <c r="E477">
        <v>8123</v>
      </c>
      <c r="F477">
        <v>6</v>
      </c>
      <c r="G477">
        <v>9.6</v>
      </c>
      <c r="H477">
        <v>0.625</v>
      </c>
      <c r="I477">
        <v>0.37500002999999998</v>
      </c>
      <c r="J477">
        <v>0.61538464000000004</v>
      </c>
    </row>
    <row r="478" spans="1:10" x14ac:dyDescent="0.3">
      <c r="A478">
        <v>476</v>
      </c>
      <c r="B478">
        <v>7595</v>
      </c>
      <c r="C478" t="b">
        <v>1</v>
      </c>
      <c r="D478">
        <v>8048</v>
      </c>
      <c r="E478">
        <v>8123</v>
      </c>
      <c r="F478">
        <v>5.6</v>
      </c>
      <c r="G478">
        <v>9.1999999999999993</v>
      </c>
      <c r="H478">
        <v>0.6086956</v>
      </c>
      <c r="I478">
        <v>0.39130433999999997</v>
      </c>
      <c r="J478">
        <v>0.62162167000000002</v>
      </c>
    </row>
    <row r="479" spans="1:10" x14ac:dyDescent="0.3">
      <c r="A479">
        <v>477</v>
      </c>
      <c r="B479">
        <v>7610</v>
      </c>
      <c r="C479" t="b">
        <v>1</v>
      </c>
      <c r="D479">
        <v>8048</v>
      </c>
      <c r="E479">
        <v>8123</v>
      </c>
      <c r="F479">
        <v>5.6</v>
      </c>
      <c r="G479">
        <v>8.8000000000000007</v>
      </c>
      <c r="H479">
        <v>0.63636360000000003</v>
      </c>
      <c r="I479">
        <v>0.36363636999999999</v>
      </c>
      <c r="J479">
        <v>0.61111115999999999</v>
      </c>
    </row>
    <row r="480" spans="1:10" x14ac:dyDescent="0.3">
      <c r="A480">
        <v>478</v>
      </c>
      <c r="B480">
        <v>7626</v>
      </c>
      <c r="C480" t="b">
        <v>1</v>
      </c>
      <c r="D480">
        <v>8048</v>
      </c>
      <c r="E480">
        <v>8123</v>
      </c>
      <c r="F480">
        <v>5.6</v>
      </c>
      <c r="G480">
        <v>8.8000000000000007</v>
      </c>
      <c r="H480">
        <v>0.63636360000000003</v>
      </c>
      <c r="I480">
        <v>0.36363636999999999</v>
      </c>
      <c r="J480">
        <v>0.61111115999999999</v>
      </c>
    </row>
    <row r="481" spans="1:10" x14ac:dyDescent="0.3">
      <c r="A481">
        <v>479</v>
      </c>
      <c r="B481">
        <v>7642</v>
      </c>
      <c r="C481" t="b">
        <v>1</v>
      </c>
      <c r="D481">
        <v>8048</v>
      </c>
      <c r="E481">
        <v>8123</v>
      </c>
      <c r="F481">
        <v>5.6</v>
      </c>
      <c r="G481">
        <v>8.8000000000000007</v>
      </c>
      <c r="H481">
        <v>0.63636360000000003</v>
      </c>
      <c r="I481">
        <v>0.36363636999999999</v>
      </c>
      <c r="J481">
        <v>0.61111115999999999</v>
      </c>
    </row>
    <row r="482" spans="1:10" x14ac:dyDescent="0.3">
      <c r="A482">
        <v>480</v>
      </c>
      <c r="B482">
        <v>7658</v>
      </c>
      <c r="C482" t="b">
        <v>1</v>
      </c>
      <c r="D482">
        <v>8048</v>
      </c>
      <c r="E482">
        <v>8123</v>
      </c>
      <c r="F482">
        <v>5.6</v>
      </c>
      <c r="G482">
        <v>8.8000000000000007</v>
      </c>
      <c r="H482">
        <v>0.63636360000000003</v>
      </c>
      <c r="I482">
        <v>0.36363636999999999</v>
      </c>
      <c r="J482">
        <v>0.61111115999999999</v>
      </c>
    </row>
    <row r="483" spans="1:10" x14ac:dyDescent="0.3">
      <c r="A483">
        <v>481</v>
      </c>
      <c r="B483">
        <v>7673</v>
      </c>
      <c r="C483" t="b">
        <v>1</v>
      </c>
      <c r="D483">
        <v>8048</v>
      </c>
      <c r="E483">
        <v>8123</v>
      </c>
      <c r="F483">
        <v>5.6</v>
      </c>
      <c r="G483">
        <v>8.8000000000000007</v>
      </c>
      <c r="H483">
        <v>0.63636360000000003</v>
      </c>
      <c r="I483">
        <v>0.36363636999999999</v>
      </c>
      <c r="J483">
        <v>0.61111115999999999</v>
      </c>
    </row>
    <row r="484" spans="1:10" x14ac:dyDescent="0.3">
      <c r="A484">
        <v>482</v>
      </c>
      <c r="B484">
        <v>7689</v>
      </c>
      <c r="C484" t="b">
        <v>1</v>
      </c>
      <c r="D484">
        <v>8048</v>
      </c>
      <c r="E484">
        <v>8123</v>
      </c>
      <c r="F484">
        <v>5.6</v>
      </c>
      <c r="G484">
        <v>8.4</v>
      </c>
      <c r="H484">
        <v>0.66666669999999995</v>
      </c>
      <c r="I484">
        <v>0.3333333</v>
      </c>
      <c r="J484">
        <v>0.59999996</v>
      </c>
    </row>
    <row r="485" spans="1:10" x14ac:dyDescent="0.3">
      <c r="A485">
        <v>483</v>
      </c>
      <c r="B485">
        <v>7705</v>
      </c>
      <c r="C485" t="b">
        <v>1</v>
      </c>
      <c r="D485">
        <v>8048</v>
      </c>
      <c r="E485">
        <v>8123</v>
      </c>
      <c r="F485">
        <v>5.6</v>
      </c>
      <c r="G485">
        <v>8</v>
      </c>
      <c r="H485">
        <v>0.7</v>
      </c>
      <c r="I485">
        <v>0.3</v>
      </c>
      <c r="J485">
        <v>0.58823526000000004</v>
      </c>
    </row>
    <row r="486" spans="1:10" x14ac:dyDescent="0.3">
      <c r="A486">
        <v>484</v>
      </c>
      <c r="B486">
        <v>7721</v>
      </c>
      <c r="C486" t="b">
        <v>1</v>
      </c>
      <c r="D486">
        <v>8048</v>
      </c>
      <c r="E486">
        <v>8134</v>
      </c>
      <c r="F486">
        <v>5.6</v>
      </c>
      <c r="G486">
        <v>8</v>
      </c>
      <c r="H486">
        <v>0.7</v>
      </c>
      <c r="I486">
        <v>0.3</v>
      </c>
      <c r="J486">
        <v>0.58823526000000004</v>
      </c>
    </row>
    <row r="487" spans="1:10" x14ac:dyDescent="0.3">
      <c r="A487">
        <v>485</v>
      </c>
      <c r="B487">
        <v>7737</v>
      </c>
      <c r="C487" t="b">
        <v>1</v>
      </c>
      <c r="D487">
        <v>8048</v>
      </c>
      <c r="E487">
        <v>8129</v>
      </c>
      <c r="F487">
        <v>5.6</v>
      </c>
      <c r="G487">
        <v>8</v>
      </c>
      <c r="H487">
        <v>0.7</v>
      </c>
      <c r="I487">
        <v>0.3</v>
      </c>
      <c r="J487">
        <v>0.58823526000000004</v>
      </c>
    </row>
    <row r="488" spans="1:10" x14ac:dyDescent="0.3">
      <c r="A488">
        <v>486</v>
      </c>
      <c r="B488">
        <v>7753</v>
      </c>
      <c r="C488" t="b">
        <v>1</v>
      </c>
      <c r="D488">
        <v>8048</v>
      </c>
      <c r="E488">
        <v>8123</v>
      </c>
      <c r="F488">
        <v>6</v>
      </c>
      <c r="G488">
        <v>8</v>
      </c>
      <c r="H488">
        <v>0.75</v>
      </c>
      <c r="I488">
        <v>0.25</v>
      </c>
      <c r="J488">
        <v>0.57142859999999995</v>
      </c>
    </row>
    <row r="489" spans="1:10" x14ac:dyDescent="0.3">
      <c r="A489">
        <v>487</v>
      </c>
      <c r="B489">
        <v>7768</v>
      </c>
      <c r="C489" t="b">
        <v>1</v>
      </c>
      <c r="D489">
        <v>8048</v>
      </c>
      <c r="E489">
        <v>8129</v>
      </c>
      <c r="F489">
        <v>6.4</v>
      </c>
      <c r="G489">
        <v>8.4</v>
      </c>
      <c r="H489">
        <v>0.76190484000000003</v>
      </c>
      <c r="I489">
        <v>0.23809520000000001</v>
      </c>
      <c r="J489">
        <v>0.56756759999999995</v>
      </c>
    </row>
    <row r="490" spans="1:10" x14ac:dyDescent="0.3">
      <c r="A490">
        <v>488</v>
      </c>
      <c r="B490">
        <v>7784</v>
      </c>
      <c r="C490" t="b">
        <v>1</v>
      </c>
      <c r="D490">
        <v>8042</v>
      </c>
      <c r="E490">
        <v>8129</v>
      </c>
      <c r="F490">
        <v>6.8</v>
      </c>
      <c r="G490">
        <v>8.8000000000000007</v>
      </c>
      <c r="H490">
        <v>0.77272724999999998</v>
      </c>
      <c r="I490">
        <v>0.22727272000000001</v>
      </c>
      <c r="J490">
        <v>0.56410260000000001</v>
      </c>
    </row>
    <row r="491" spans="1:10" x14ac:dyDescent="0.3">
      <c r="A491">
        <v>489</v>
      </c>
      <c r="B491">
        <v>7800</v>
      </c>
      <c r="C491" t="b">
        <v>1</v>
      </c>
      <c r="D491">
        <v>8042</v>
      </c>
      <c r="E491">
        <v>8129</v>
      </c>
      <c r="F491">
        <v>7.2</v>
      </c>
      <c r="G491">
        <v>9.1999999999999993</v>
      </c>
      <c r="H491">
        <v>0.78260870000000005</v>
      </c>
      <c r="I491">
        <v>0.21739131</v>
      </c>
      <c r="J491">
        <v>0.56097560000000002</v>
      </c>
    </row>
    <row r="492" spans="1:10" x14ac:dyDescent="0.3">
      <c r="A492">
        <v>490</v>
      </c>
      <c r="B492">
        <v>7816</v>
      </c>
      <c r="C492" t="b">
        <v>1</v>
      </c>
      <c r="D492">
        <v>8048</v>
      </c>
      <c r="E492">
        <v>8117</v>
      </c>
      <c r="F492">
        <v>7.6</v>
      </c>
      <c r="G492">
        <v>9.6</v>
      </c>
      <c r="H492">
        <v>0.7916666</v>
      </c>
      <c r="I492">
        <v>0.20833336999999999</v>
      </c>
      <c r="J492">
        <v>0.55813950000000001</v>
      </c>
    </row>
    <row r="493" spans="1:10" x14ac:dyDescent="0.3">
      <c r="A493">
        <v>491</v>
      </c>
      <c r="B493">
        <v>7831</v>
      </c>
      <c r="C493" t="b">
        <v>1</v>
      </c>
      <c r="D493">
        <v>8048</v>
      </c>
      <c r="E493">
        <v>8117</v>
      </c>
      <c r="F493">
        <v>8</v>
      </c>
      <c r="G493">
        <v>10</v>
      </c>
      <c r="H493">
        <v>0.8</v>
      </c>
      <c r="I493">
        <v>0.2</v>
      </c>
      <c r="J493">
        <v>0.55555560000000004</v>
      </c>
    </row>
    <row r="494" spans="1:10" x14ac:dyDescent="0.3">
      <c r="A494">
        <v>492</v>
      </c>
      <c r="B494">
        <v>7847</v>
      </c>
      <c r="C494" t="b">
        <v>1</v>
      </c>
      <c r="D494">
        <v>8048</v>
      </c>
      <c r="E494">
        <v>8111</v>
      </c>
      <c r="F494">
        <v>8</v>
      </c>
      <c r="G494">
        <v>9.6</v>
      </c>
      <c r="H494">
        <v>0.83333330000000005</v>
      </c>
      <c r="I494">
        <v>0.1666667</v>
      </c>
      <c r="J494">
        <v>0.54545456000000003</v>
      </c>
    </row>
    <row r="495" spans="1:10" x14ac:dyDescent="0.3">
      <c r="A495">
        <v>493</v>
      </c>
      <c r="B495">
        <v>7863</v>
      </c>
      <c r="C495" t="b">
        <v>1</v>
      </c>
      <c r="D495">
        <v>8042</v>
      </c>
      <c r="E495">
        <v>8117</v>
      </c>
      <c r="F495">
        <v>8</v>
      </c>
      <c r="G495">
        <v>9.1999999999999993</v>
      </c>
      <c r="H495">
        <v>0.86956524999999996</v>
      </c>
      <c r="I495">
        <v>0.13043477000000001</v>
      </c>
      <c r="J495">
        <v>0.53488369999999996</v>
      </c>
    </row>
    <row r="496" spans="1:10" x14ac:dyDescent="0.3">
      <c r="A496">
        <v>494</v>
      </c>
      <c r="B496">
        <v>7879</v>
      </c>
      <c r="C496" t="b">
        <v>1</v>
      </c>
      <c r="D496">
        <v>8048</v>
      </c>
      <c r="E496">
        <v>8117</v>
      </c>
      <c r="F496">
        <v>8</v>
      </c>
      <c r="G496">
        <v>8.8000000000000007</v>
      </c>
      <c r="H496">
        <v>0.90909090000000004</v>
      </c>
      <c r="I496">
        <v>9.0909110000000001E-2</v>
      </c>
      <c r="J496">
        <v>0.52380954999999996</v>
      </c>
    </row>
    <row r="497" spans="1:10" x14ac:dyDescent="0.3">
      <c r="A497">
        <v>495</v>
      </c>
      <c r="B497">
        <v>7894</v>
      </c>
      <c r="C497" t="b">
        <v>1</v>
      </c>
      <c r="D497">
        <v>8054</v>
      </c>
      <c r="E497">
        <v>8117</v>
      </c>
      <c r="F497">
        <v>8</v>
      </c>
      <c r="G497">
        <v>8.4</v>
      </c>
      <c r="H497">
        <v>0.95238100000000003</v>
      </c>
      <c r="I497">
        <v>4.7619003999999999E-2</v>
      </c>
      <c r="J497">
        <v>0.51219510000000001</v>
      </c>
    </row>
    <row r="498" spans="1:10" x14ac:dyDescent="0.3">
      <c r="A498">
        <v>496</v>
      </c>
      <c r="B498">
        <v>7910</v>
      </c>
      <c r="C498" t="b">
        <v>1</v>
      </c>
      <c r="D498">
        <v>8054</v>
      </c>
      <c r="E498">
        <v>8129</v>
      </c>
      <c r="F498">
        <v>8</v>
      </c>
      <c r="G498">
        <v>8</v>
      </c>
      <c r="H498">
        <v>1</v>
      </c>
      <c r="I498">
        <v>0</v>
      </c>
      <c r="J498">
        <v>0.5</v>
      </c>
    </row>
    <row r="499" spans="1:10" x14ac:dyDescent="0.3">
      <c r="A499">
        <v>497</v>
      </c>
      <c r="B499">
        <v>7926</v>
      </c>
      <c r="C499" t="b">
        <v>1</v>
      </c>
      <c r="D499">
        <v>8048</v>
      </c>
      <c r="E499">
        <v>8123</v>
      </c>
      <c r="F499">
        <v>8</v>
      </c>
      <c r="G499">
        <v>7.6</v>
      </c>
      <c r="H499">
        <v>1.0526316</v>
      </c>
      <c r="I499">
        <v>-5.2631589999999999E-2</v>
      </c>
      <c r="J499">
        <v>0.48717946000000001</v>
      </c>
    </row>
    <row r="500" spans="1:10" x14ac:dyDescent="0.3">
      <c r="A500">
        <v>498</v>
      </c>
      <c r="B500">
        <v>7942</v>
      </c>
      <c r="C500" t="b">
        <v>1</v>
      </c>
      <c r="D500">
        <v>8048</v>
      </c>
      <c r="E500">
        <v>8123</v>
      </c>
      <c r="F500">
        <v>8</v>
      </c>
      <c r="G500">
        <v>7.6</v>
      </c>
      <c r="H500">
        <v>1.0526316</v>
      </c>
      <c r="I500">
        <v>-5.2631589999999999E-2</v>
      </c>
      <c r="J500">
        <v>0.48717946000000001</v>
      </c>
    </row>
    <row r="501" spans="1:10" x14ac:dyDescent="0.3">
      <c r="A501">
        <v>499</v>
      </c>
      <c r="B501">
        <v>7958</v>
      </c>
      <c r="C501" t="b">
        <v>1</v>
      </c>
      <c r="D501">
        <v>8042</v>
      </c>
      <c r="E501">
        <v>8123</v>
      </c>
      <c r="F501">
        <v>8</v>
      </c>
      <c r="G501">
        <v>7.6</v>
      </c>
      <c r="H501">
        <v>1.0526316</v>
      </c>
      <c r="I501">
        <v>-5.2631589999999999E-2</v>
      </c>
      <c r="J501">
        <v>0.48717946000000001</v>
      </c>
    </row>
    <row r="502" spans="1:10" x14ac:dyDescent="0.3">
      <c r="A502">
        <v>500</v>
      </c>
      <c r="B502">
        <v>7973</v>
      </c>
      <c r="C502" t="b">
        <v>1</v>
      </c>
      <c r="D502">
        <v>8048</v>
      </c>
      <c r="E502">
        <v>8134</v>
      </c>
      <c r="F502">
        <v>8</v>
      </c>
      <c r="G502">
        <v>7.6</v>
      </c>
      <c r="H502">
        <v>1.0526316</v>
      </c>
      <c r="I502">
        <v>-5.2631589999999999E-2</v>
      </c>
      <c r="J502">
        <v>0.48717946000000001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59D0E-EE3D-4568-97C4-6F0C981B1DAB}">
  <dimension ref="A1:J502"/>
  <sheetViews>
    <sheetView workbookViewId="0">
      <selection activeCell="A2" sqref="A2:J502"/>
    </sheetView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10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 t="b">
        <v>1</v>
      </c>
      <c r="D2">
        <v>8080</v>
      </c>
      <c r="E2">
        <v>8192</v>
      </c>
      <c r="F2">
        <v>240</v>
      </c>
      <c r="G2">
        <v>277</v>
      </c>
      <c r="H2">
        <v>0.86642600000000003</v>
      </c>
      <c r="I2">
        <v>0.13357400999999999</v>
      </c>
      <c r="J2">
        <v>0.53578334999999999</v>
      </c>
    </row>
    <row r="3" spans="1:10" x14ac:dyDescent="0.3">
      <c r="A3">
        <v>1</v>
      </c>
      <c r="B3">
        <v>24</v>
      </c>
      <c r="C3" t="b">
        <v>1</v>
      </c>
      <c r="D3">
        <v>8128</v>
      </c>
      <c r="E3">
        <v>8216</v>
      </c>
      <c r="F3">
        <v>264</v>
      </c>
      <c r="G3">
        <v>289</v>
      </c>
      <c r="H3">
        <v>0.91349480000000005</v>
      </c>
      <c r="I3">
        <v>8.6505189999999996E-2</v>
      </c>
      <c r="J3">
        <v>0.52260399999999996</v>
      </c>
    </row>
    <row r="4" spans="1:10" x14ac:dyDescent="0.3">
      <c r="A4">
        <v>2</v>
      </c>
      <c r="B4">
        <v>55</v>
      </c>
      <c r="C4" t="b">
        <v>1</v>
      </c>
      <c r="D4">
        <v>8136</v>
      </c>
      <c r="E4">
        <v>8200</v>
      </c>
      <c r="F4">
        <v>272</v>
      </c>
      <c r="G4">
        <v>287.66665999999998</v>
      </c>
      <c r="H4">
        <v>0.94553889999999996</v>
      </c>
      <c r="I4">
        <v>5.4461148000000001E-2</v>
      </c>
      <c r="J4">
        <v>0.51399640000000002</v>
      </c>
    </row>
    <row r="5" spans="1:10" x14ac:dyDescent="0.3">
      <c r="A5">
        <v>3</v>
      </c>
      <c r="B5">
        <v>71</v>
      </c>
      <c r="C5" t="b">
        <v>1</v>
      </c>
      <c r="D5">
        <v>8144</v>
      </c>
      <c r="E5">
        <v>8192</v>
      </c>
      <c r="F5">
        <v>278</v>
      </c>
      <c r="G5">
        <v>287</v>
      </c>
      <c r="H5">
        <v>0.96864110000000003</v>
      </c>
      <c r="I5">
        <v>3.1358887000000002E-2</v>
      </c>
      <c r="J5">
        <v>0.50796459999999999</v>
      </c>
    </row>
    <row r="6" spans="1:10" x14ac:dyDescent="0.3">
      <c r="A6">
        <v>4</v>
      </c>
      <c r="B6">
        <v>87</v>
      </c>
      <c r="C6" t="b">
        <v>1</v>
      </c>
      <c r="D6">
        <v>8032</v>
      </c>
      <c r="E6">
        <v>8224</v>
      </c>
      <c r="F6">
        <v>280</v>
      </c>
      <c r="G6">
        <v>286.60000000000002</v>
      </c>
      <c r="H6">
        <v>0.97697140000000005</v>
      </c>
      <c r="I6">
        <v>2.3028633E-2</v>
      </c>
      <c r="J6">
        <v>0.50582426999999996</v>
      </c>
    </row>
    <row r="7" spans="1:10" x14ac:dyDescent="0.3">
      <c r="A7">
        <v>5</v>
      </c>
      <c r="B7">
        <v>119</v>
      </c>
      <c r="C7" t="b">
        <v>1</v>
      </c>
      <c r="D7">
        <v>8096</v>
      </c>
      <c r="E7">
        <v>8200</v>
      </c>
      <c r="F7">
        <v>281.33334000000002</v>
      </c>
      <c r="G7">
        <v>286.33334000000002</v>
      </c>
      <c r="H7">
        <v>0.98253780000000002</v>
      </c>
      <c r="I7">
        <v>1.7462163999999999E-2</v>
      </c>
      <c r="J7">
        <v>0.50440399999999996</v>
      </c>
    </row>
    <row r="8" spans="1:10" x14ac:dyDescent="0.3">
      <c r="A8">
        <v>6</v>
      </c>
      <c r="B8">
        <v>135</v>
      </c>
      <c r="C8" t="b">
        <v>1</v>
      </c>
      <c r="D8">
        <v>8088</v>
      </c>
      <c r="E8">
        <v>8176</v>
      </c>
      <c r="F8">
        <v>277.71429999999998</v>
      </c>
      <c r="G8">
        <v>286.14285000000001</v>
      </c>
      <c r="H8">
        <v>0.97054419999999997</v>
      </c>
      <c r="I8">
        <v>2.9455772000000002E-2</v>
      </c>
      <c r="J8">
        <v>0.50747399999999998</v>
      </c>
    </row>
    <row r="9" spans="1:10" x14ac:dyDescent="0.3">
      <c r="A9">
        <v>7</v>
      </c>
      <c r="B9">
        <v>150</v>
      </c>
      <c r="C9" t="b">
        <v>1</v>
      </c>
      <c r="D9">
        <v>8112</v>
      </c>
      <c r="E9">
        <v>8224</v>
      </c>
      <c r="F9">
        <v>275</v>
      </c>
      <c r="G9">
        <v>286</v>
      </c>
      <c r="H9">
        <v>0.96153843000000006</v>
      </c>
      <c r="I9">
        <v>3.8461540000000002E-2</v>
      </c>
      <c r="J9">
        <v>0.50980395000000001</v>
      </c>
    </row>
    <row r="10" spans="1:10" x14ac:dyDescent="0.3">
      <c r="A10">
        <v>8</v>
      </c>
      <c r="B10">
        <v>166</v>
      </c>
      <c r="C10" t="b">
        <v>1</v>
      </c>
      <c r="D10">
        <v>8064</v>
      </c>
      <c r="E10">
        <v>8224</v>
      </c>
      <c r="F10">
        <v>272</v>
      </c>
      <c r="G10">
        <v>288.55554000000001</v>
      </c>
      <c r="H10">
        <v>0.94262619999999997</v>
      </c>
      <c r="I10">
        <v>5.7373847999999998E-2</v>
      </c>
      <c r="J10">
        <v>0.51476710000000003</v>
      </c>
    </row>
    <row r="11" spans="1:10" x14ac:dyDescent="0.3">
      <c r="A11">
        <v>9</v>
      </c>
      <c r="B11">
        <v>182</v>
      </c>
      <c r="C11" t="b">
        <v>1</v>
      </c>
      <c r="D11">
        <v>8112</v>
      </c>
      <c r="E11">
        <v>8200</v>
      </c>
      <c r="F11">
        <v>270.39999999999998</v>
      </c>
      <c r="G11">
        <v>288.2</v>
      </c>
      <c r="H11">
        <v>0.93823725000000002</v>
      </c>
      <c r="I11">
        <v>6.1762723999999998E-2</v>
      </c>
      <c r="J11">
        <v>0.51593274</v>
      </c>
    </row>
    <row r="12" spans="1:10" x14ac:dyDescent="0.3">
      <c r="A12">
        <v>10</v>
      </c>
      <c r="B12">
        <v>198</v>
      </c>
      <c r="C12" t="b">
        <v>1</v>
      </c>
      <c r="D12">
        <v>8112</v>
      </c>
      <c r="E12">
        <v>8184</v>
      </c>
      <c r="F12">
        <v>270.54543999999999</v>
      </c>
      <c r="G12">
        <v>287.90910000000002</v>
      </c>
      <c r="H12">
        <v>0.93969053000000002</v>
      </c>
      <c r="I12">
        <v>6.0309479999999999E-2</v>
      </c>
      <c r="J12">
        <v>0.51554613999999999</v>
      </c>
    </row>
    <row r="13" spans="1:10" x14ac:dyDescent="0.3">
      <c r="A13">
        <v>11</v>
      </c>
      <c r="B13">
        <v>214</v>
      </c>
      <c r="C13" t="b">
        <v>1</v>
      </c>
      <c r="D13">
        <v>8072</v>
      </c>
      <c r="E13">
        <v>8200</v>
      </c>
      <c r="F13">
        <v>270.66665999999998</v>
      </c>
      <c r="G13">
        <v>287.66665999999998</v>
      </c>
      <c r="H13">
        <v>0.94090384000000005</v>
      </c>
      <c r="I13">
        <v>5.9096179999999998E-2</v>
      </c>
      <c r="J13">
        <v>0.51522385999999998</v>
      </c>
    </row>
    <row r="14" spans="1:10" x14ac:dyDescent="0.3">
      <c r="A14">
        <v>12</v>
      </c>
      <c r="B14">
        <v>230</v>
      </c>
      <c r="C14" t="b">
        <v>1</v>
      </c>
      <c r="D14">
        <v>8144</v>
      </c>
      <c r="E14">
        <v>8200</v>
      </c>
      <c r="F14">
        <v>270.76922999999999</v>
      </c>
      <c r="G14">
        <v>287.46154999999999</v>
      </c>
      <c r="H14">
        <v>0.94193196000000001</v>
      </c>
      <c r="I14">
        <v>5.8068015000000001E-2</v>
      </c>
      <c r="J14">
        <v>0.51495109999999999</v>
      </c>
    </row>
    <row r="15" spans="1:10" x14ac:dyDescent="0.3">
      <c r="A15">
        <v>13</v>
      </c>
      <c r="B15">
        <v>246</v>
      </c>
      <c r="C15" t="b">
        <v>1</v>
      </c>
      <c r="D15">
        <v>8104</v>
      </c>
      <c r="E15">
        <v>8200</v>
      </c>
      <c r="F15">
        <v>270.85714999999999</v>
      </c>
      <c r="G15">
        <v>287.28570000000002</v>
      </c>
      <c r="H15">
        <v>0.94281459999999995</v>
      </c>
      <c r="I15">
        <v>5.7185437999999998E-2</v>
      </c>
      <c r="J15">
        <v>0.51471716000000001</v>
      </c>
    </row>
    <row r="16" spans="1:10" x14ac:dyDescent="0.3">
      <c r="A16">
        <v>14</v>
      </c>
      <c r="B16">
        <v>262</v>
      </c>
      <c r="C16" t="b">
        <v>1</v>
      </c>
      <c r="D16">
        <v>8112</v>
      </c>
      <c r="E16">
        <v>8200</v>
      </c>
      <c r="F16">
        <v>270.93331999999998</v>
      </c>
      <c r="G16">
        <v>287.13333</v>
      </c>
      <c r="H16">
        <v>0.94358014999999995</v>
      </c>
      <c r="I16">
        <v>5.6419823000000001E-2</v>
      </c>
      <c r="J16">
        <v>0.51451440000000004</v>
      </c>
    </row>
    <row r="17" spans="1:10" x14ac:dyDescent="0.3">
      <c r="A17">
        <v>15</v>
      </c>
      <c r="B17">
        <v>278</v>
      </c>
      <c r="C17" t="b">
        <v>1</v>
      </c>
      <c r="D17">
        <v>8088</v>
      </c>
      <c r="E17">
        <v>8208</v>
      </c>
      <c r="F17">
        <v>272.53332999999998</v>
      </c>
      <c r="G17">
        <v>287.66665999999998</v>
      </c>
      <c r="H17">
        <v>0.94739280000000003</v>
      </c>
      <c r="I17">
        <v>5.2607180000000003E-2</v>
      </c>
      <c r="J17">
        <v>0.51350709999999999</v>
      </c>
    </row>
    <row r="18" spans="1:10" x14ac:dyDescent="0.3">
      <c r="A18">
        <v>16</v>
      </c>
      <c r="B18">
        <v>294</v>
      </c>
      <c r="C18" t="b">
        <v>1</v>
      </c>
      <c r="D18">
        <v>8104</v>
      </c>
      <c r="E18">
        <v>8200</v>
      </c>
      <c r="F18">
        <v>270.93331999999998</v>
      </c>
      <c r="G18">
        <v>286.60000000000002</v>
      </c>
      <c r="H18">
        <v>0.94533604000000004</v>
      </c>
      <c r="I18">
        <v>5.4663944999999999E-2</v>
      </c>
      <c r="J18">
        <v>0.51405000000000001</v>
      </c>
    </row>
    <row r="19" spans="1:10" x14ac:dyDescent="0.3">
      <c r="A19">
        <v>17</v>
      </c>
      <c r="B19">
        <v>310</v>
      </c>
      <c r="C19" t="b">
        <v>1</v>
      </c>
      <c r="D19">
        <v>8128</v>
      </c>
      <c r="E19">
        <v>8200</v>
      </c>
      <c r="F19">
        <v>269.33334000000002</v>
      </c>
      <c r="G19">
        <v>286.60000000000002</v>
      </c>
      <c r="H19">
        <v>0.93975350000000002</v>
      </c>
      <c r="I19">
        <v>6.0246553000000001E-2</v>
      </c>
      <c r="J19">
        <v>0.51552944999999994</v>
      </c>
    </row>
    <row r="20" spans="1:10" x14ac:dyDescent="0.3">
      <c r="A20">
        <v>18</v>
      </c>
      <c r="B20">
        <v>326</v>
      </c>
      <c r="C20" t="b">
        <v>1</v>
      </c>
      <c r="D20">
        <v>8112</v>
      </c>
      <c r="E20">
        <v>8224</v>
      </c>
      <c r="F20">
        <v>267.73334</v>
      </c>
      <c r="G20">
        <v>286.60000000000002</v>
      </c>
      <c r="H20">
        <v>0.93417070000000002</v>
      </c>
      <c r="I20">
        <v>6.5829269999999995E-2</v>
      </c>
      <c r="J20">
        <v>0.51701739999999996</v>
      </c>
    </row>
    <row r="21" spans="1:10" x14ac:dyDescent="0.3">
      <c r="A21">
        <v>19</v>
      </c>
      <c r="B21">
        <v>342</v>
      </c>
      <c r="C21" t="b">
        <v>1</v>
      </c>
      <c r="D21">
        <v>8152</v>
      </c>
      <c r="E21">
        <v>8200</v>
      </c>
      <c r="F21">
        <v>266.66665999999998</v>
      </c>
      <c r="G21">
        <v>286.60000000000002</v>
      </c>
      <c r="H21">
        <v>0.93044890000000002</v>
      </c>
      <c r="I21">
        <v>6.9551109999999999E-2</v>
      </c>
      <c r="J21">
        <v>0.51801425000000001</v>
      </c>
    </row>
    <row r="22" spans="1:10" x14ac:dyDescent="0.3">
      <c r="A22">
        <v>20</v>
      </c>
      <c r="B22">
        <v>357</v>
      </c>
      <c r="C22" t="b">
        <v>1</v>
      </c>
      <c r="D22">
        <v>8088</v>
      </c>
      <c r="E22">
        <v>8168</v>
      </c>
      <c r="F22">
        <v>265.60000000000002</v>
      </c>
      <c r="G22">
        <v>286.60000000000002</v>
      </c>
      <c r="H22">
        <v>0.92672719999999997</v>
      </c>
      <c r="I22">
        <v>7.3272853999999998E-2</v>
      </c>
      <c r="J22">
        <v>0.51901483999999998</v>
      </c>
    </row>
    <row r="23" spans="1:10" x14ac:dyDescent="0.3">
      <c r="A23">
        <v>21</v>
      </c>
      <c r="B23">
        <v>373</v>
      </c>
      <c r="C23" t="b">
        <v>1</v>
      </c>
      <c r="D23">
        <v>8120</v>
      </c>
      <c r="E23">
        <v>8224</v>
      </c>
      <c r="F23">
        <v>267.2</v>
      </c>
      <c r="G23">
        <v>286.60000000000002</v>
      </c>
      <c r="H23">
        <v>0.93230986999999998</v>
      </c>
      <c r="I23">
        <v>6.7690133999999999E-2</v>
      </c>
      <c r="J23">
        <v>0.51751530000000001</v>
      </c>
    </row>
    <row r="24" spans="1:10" x14ac:dyDescent="0.3">
      <c r="A24">
        <v>22</v>
      </c>
      <c r="B24">
        <v>389</v>
      </c>
      <c r="C24" t="b">
        <v>1</v>
      </c>
      <c r="D24">
        <v>8104</v>
      </c>
      <c r="E24">
        <v>8224</v>
      </c>
      <c r="F24">
        <v>268.26666</v>
      </c>
      <c r="G24">
        <v>288.2</v>
      </c>
      <c r="H24">
        <v>0.93083499999999997</v>
      </c>
      <c r="I24">
        <v>6.9164983999999999E-2</v>
      </c>
      <c r="J24">
        <v>0.51791065999999997</v>
      </c>
    </row>
    <row r="25" spans="1:10" x14ac:dyDescent="0.3">
      <c r="A25">
        <v>23</v>
      </c>
      <c r="B25">
        <v>405</v>
      </c>
      <c r="C25" t="b">
        <v>1</v>
      </c>
      <c r="D25">
        <v>8152</v>
      </c>
      <c r="E25">
        <v>8184</v>
      </c>
      <c r="F25">
        <v>270.39999999999998</v>
      </c>
      <c r="G25">
        <v>286.60000000000002</v>
      </c>
      <c r="H25">
        <v>0.94347519999999996</v>
      </c>
      <c r="I25">
        <v>5.6524813E-2</v>
      </c>
      <c r="J25">
        <v>0.51454219999999995</v>
      </c>
    </row>
    <row r="26" spans="1:10" x14ac:dyDescent="0.3">
      <c r="A26">
        <v>24</v>
      </c>
      <c r="B26">
        <v>421</v>
      </c>
      <c r="C26" t="b">
        <v>1</v>
      </c>
      <c r="D26">
        <v>8088</v>
      </c>
      <c r="E26">
        <v>8208</v>
      </c>
      <c r="F26">
        <v>270.93331999999998</v>
      </c>
      <c r="G26">
        <v>287.13333</v>
      </c>
      <c r="H26">
        <v>0.94358014999999995</v>
      </c>
      <c r="I26">
        <v>5.6419823000000001E-2</v>
      </c>
      <c r="J26">
        <v>0.51451440000000004</v>
      </c>
    </row>
    <row r="27" spans="1:10" x14ac:dyDescent="0.3">
      <c r="A27">
        <v>25</v>
      </c>
      <c r="B27">
        <v>437</v>
      </c>
      <c r="C27" t="b">
        <v>1</v>
      </c>
      <c r="D27">
        <v>8088</v>
      </c>
      <c r="E27">
        <v>8184</v>
      </c>
      <c r="F27">
        <v>270.39999999999998</v>
      </c>
      <c r="G27">
        <v>287.66665999999998</v>
      </c>
      <c r="H27">
        <v>0.93997679999999995</v>
      </c>
      <c r="I27">
        <v>6.0023162999999997E-2</v>
      </c>
      <c r="J27">
        <v>0.51547010000000004</v>
      </c>
    </row>
    <row r="28" spans="1:10" x14ac:dyDescent="0.3">
      <c r="A28">
        <v>26</v>
      </c>
      <c r="B28">
        <v>453</v>
      </c>
      <c r="C28" t="b">
        <v>1</v>
      </c>
      <c r="D28">
        <v>8064</v>
      </c>
      <c r="E28">
        <v>8224</v>
      </c>
      <c r="F28">
        <v>268.8</v>
      </c>
      <c r="G28">
        <v>288.2</v>
      </c>
      <c r="H28">
        <v>0.93268554999999997</v>
      </c>
      <c r="I28">
        <v>6.7314446E-2</v>
      </c>
      <c r="J28">
        <v>0.51741475000000003</v>
      </c>
    </row>
    <row r="29" spans="1:10" x14ac:dyDescent="0.3">
      <c r="A29">
        <v>27</v>
      </c>
      <c r="B29">
        <v>469</v>
      </c>
      <c r="C29" t="b">
        <v>1</v>
      </c>
      <c r="D29">
        <v>8112</v>
      </c>
      <c r="E29">
        <v>8208</v>
      </c>
      <c r="F29">
        <v>267.2</v>
      </c>
      <c r="G29">
        <v>288.73334</v>
      </c>
      <c r="H29">
        <v>0.92542139999999995</v>
      </c>
      <c r="I29">
        <v>7.457859E-2</v>
      </c>
      <c r="J29">
        <v>0.51936680000000002</v>
      </c>
    </row>
    <row r="30" spans="1:10" x14ac:dyDescent="0.3">
      <c r="A30">
        <v>28</v>
      </c>
      <c r="B30">
        <v>484</v>
      </c>
      <c r="C30" t="b">
        <v>1</v>
      </c>
      <c r="D30">
        <v>8080</v>
      </c>
      <c r="E30">
        <v>8200</v>
      </c>
      <c r="F30">
        <v>265.60000000000002</v>
      </c>
      <c r="G30">
        <v>289.26666</v>
      </c>
      <c r="H30">
        <v>0.91818390000000005</v>
      </c>
      <c r="I30">
        <v>8.1816054999999999E-2</v>
      </c>
      <c r="J30">
        <v>0.52132639999999997</v>
      </c>
    </row>
    <row r="31" spans="1:10" x14ac:dyDescent="0.3">
      <c r="A31">
        <v>29</v>
      </c>
      <c r="B31">
        <v>500</v>
      </c>
      <c r="C31" t="b">
        <v>1</v>
      </c>
      <c r="D31">
        <v>8064</v>
      </c>
      <c r="E31">
        <v>8200</v>
      </c>
      <c r="F31">
        <v>263.46667000000002</v>
      </c>
      <c r="G31">
        <v>289.26666</v>
      </c>
      <c r="H31">
        <v>0.91080899999999998</v>
      </c>
      <c r="I31">
        <v>8.9191019999999996E-2</v>
      </c>
      <c r="J31">
        <v>0.52333856000000001</v>
      </c>
    </row>
    <row r="32" spans="1:10" x14ac:dyDescent="0.3">
      <c r="A32">
        <v>30</v>
      </c>
      <c r="B32">
        <v>532</v>
      </c>
      <c r="C32" t="b">
        <v>1</v>
      </c>
      <c r="D32">
        <v>8152</v>
      </c>
      <c r="E32">
        <v>8160</v>
      </c>
      <c r="F32">
        <v>261.86667</v>
      </c>
      <c r="G32">
        <v>289.26666</v>
      </c>
      <c r="H32">
        <v>0.90527769999999996</v>
      </c>
      <c r="I32">
        <v>9.4722260000000003E-2</v>
      </c>
      <c r="J32">
        <v>0.52485789999999999</v>
      </c>
    </row>
    <row r="33" spans="1:10" x14ac:dyDescent="0.3">
      <c r="A33">
        <v>31</v>
      </c>
      <c r="B33">
        <v>563</v>
      </c>
      <c r="C33" t="b">
        <v>1</v>
      </c>
      <c r="D33">
        <v>8112</v>
      </c>
      <c r="E33">
        <v>8184</v>
      </c>
      <c r="F33">
        <v>262.39999999999998</v>
      </c>
      <c r="G33">
        <v>289.26666</v>
      </c>
      <c r="H33">
        <v>0.90712139999999997</v>
      </c>
      <c r="I33">
        <v>9.2878550000000004E-2</v>
      </c>
      <c r="J33">
        <v>0.52435045999999996</v>
      </c>
    </row>
    <row r="34" spans="1:10" x14ac:dyDescent="0.3">
      <c r="A34">
        <v>32</v>
      </c>
      <c r="B34">
        <v>579</v>
      </c>
      <c r="C34" t="b">
        <v>1</v>
      </c>
      <c r="D34">
        <v>8096</v>
      </c>
      <c r="E34">
        <v>8216</v>
      </c>
      <c r="F34">
        <v>261.86667</v>
      </c>
      <c r="G34">
        <v>289.26666</v>
      </c>
      <c r="H34">
        <v>0.90527769999999996</v>
      </c>
      <c r="I34">
        <v>9.4722260000000003E-2</v>
      </c>
      <c r="J34">
        <v>0.52485789999999999</v>
      </c>
    </row>
    <row r="35" spans="1:10" x14ac:dyDescent="0.3">
      <c r="A35">
        <v>33</v>
      </c>
      <c r="B35">
        <v>595</v>
      </c>
      <c r="C35" t="b">
        <v>1</v>
      </c>
      <c r="D35">
        <v>8112</v>
      </c>
      <c r="E35">
        <v>8200</v>
      </c>
      <c r="F35">
        <v>261.86667</v>
      </c>
      <c r="G35">
        <v>289.26666</v>
      </c>
      <c r="H35">
        <v>0.90527769999999996</v>
      </c>
      <c r="I35">
        <v>9.4722260000000003E-2</v>
      </c>
      <c r="J35">
        <v>0.52485789999999999</v>
      </c>
    </row>
    <row r="36" spans="1:10" x14ac:dyDescent="0.3">
      <c r="A36">
        <v>34</v>
      </c>
      <c r="B36">
        <v>611</v>
      </c>
      <c r="C36" t="b">
        <v>1</v>
      </c>
      <c r="D36">
        <v>8128</v>
      </c>
      <c r="E36">
        <v>8192</v>
      </c>
      <c r="F36">
        <v>261.86667</v>
      </c>
      <c r="G36">
        <v>288.73334</v>
      </c>
      <c r="H36">
        <v>0.90694989999999998</v>
      </c>
      <c r="I36">
        <v>9.3050110000000005E-2</v>
      </c>
      <c r="J36">
        <v>0.52439769999999997</v>
      </c>
    </row>
    <row r="37" spans="1:10" x14ac:dyDescent="0.3">
      <c r="A37">
        <v>35</v>
      </c>
      <c r="B37">
        <v>627</v>
      </c>
      <c r="C37" t="b">
        <v>1</v>
      </c>
      <c r="D37">
        <v>8120</v>
      </c>
      <c r="E37">
        <v>8200</v>
      </c>
      <c r="F37">
        <v>261.86667</v>
      </c>
      <c r="G37">
        <v>288.73334</v>
      </c>
      <c r="H37">
        <v>0.90694989999999998</v>
      </c>
      <c r="I37">
        <v>9.3050110000000005E-2</v>
      </c>
      <c r="J37">
        <v>0.52439769999999997</v>
      </c>
    </row>
    <row r="38" spans="1:10" x14ac:dyDescent="0.3">
      <c r="A38">
        <v>36</v>
      </c>
      <c r="B38">
        <v>643</v>
      </c>
      <c r="C38" t="b">
        <v>1</v>
      </c>
      <c r="D38">
        <v>8128</v>
      </c>
      <c r="E38">
        <v>8184</v>
      </c>
      <c r="F38">
        <v>261.86667</v>
      </c>
      <c r="G38">
        <v>288.73334</v>
      </c>
      <c r="H38">
        <v>0.90694989999999998</v>
      </c>
      <c r="I38">
        <v>9.3050110000000005E-2</v>
      </c>
      <c r="J38">
        <v>0.52439769999999997</v>
      </c>
    </row>
    <row r="39" spans="1:10" x14ac:dyDescent="0.3">
      <c r="A39">
        <v>37</v>
      </c>
      <c r="B39">
        <v>659</v>
      </c>
      <c r="C39" t="b">
        <v>1</v>
      </c>
      <c r="D39">
        <v>8072</v>
      </c>
      <c r="E39">
        <v>8200</v>
      </c>
      <c r="F39">
        <v>262.39999999999998</v>
      </c>
      <c r="G39">
        <v>287.13333</v>
      </c>
      <c r="H39">
        <v>0.91386115999999995</v>
      </c>
      <c r="I39">
        <v>8.6138859999999998E-2</v>
      </c>
      <c r="J39">
        <v>0.52250399999999997</v>
      </c>
    </row>
    <row r="40" spans="1:10" x14ac:dyDescent="0.3">
      <c r="A40">
        <v>38</v>
      </c>
      <c r="B40">
        <v>675</v>
      </c>
      <c r="C40" t="b">
        <v>1</v>
      </c>
      <c r="D40">
        <v>8064</v>
      </c>
      <c r="E40">
        <v>8208</v>
      </c>
      <c r="F40">
        <v>262.39999999999998</v>
      </c>
      <c r="G40">
        <v>287.13333</v>
      </c>
      <c r="H40">
        <v>0.91386115999999995</v>
      </c>
      <c r="I40">
        <v>8.6138859999999998E-2</v>
      </c>
      <c r="J40">
        <v>0.52250399999999997</v>
      </c>
    </row>
    <row r="41" spans="1:10" x14ac:dyDescent="0.3">
      <c r="A41">
        <v>39</v>
      </c>
      <c r="B41">
        <v>690</v>
      </c>
      <c r="C41" t="b">
        <v>1</v>
      </c>
      <c r="D41">
        <v>8096</v>
      </c>
      <c r="E41">
        <v>8200</v>
      </c>
      <c r="F41">
        <v>261.86667</v>
      </c>
      <c r="G41">
        <v>286.60000000000002</v>
      </c>
      <c r="H41">
        <v>0.91370079999999998</v>
      </c>
      <c r="I41">
        <v>8.6299150000000005E-2</v>
      </c>
      <c r="J41">
        <v>0.52254769999999995</v>
      </c>
    </row>
    <row r="42" spans="1:10" x14ac:dyDescent="0.3">
      <c r="A42">
        <v>40</v>
      </c>
      <c r="B42">
        <v>706</v>
      </c>
      <c r="C42" t="b">
        <v>1</v>
      </c>
      <c r="D42">
        <v>8104</v>
      </c>
      <c r="E42">
        <v>8208</v>
      </c>
      <c r="F42">
        <v>261.33334000000002</v>
      </c>
      <c r="G42">
        <v>286.06668000000002</v>
      </c>
      <c r="H42">
        <v>0.91353994999999999</v>
      </c>
      <c r="I42">
        <v>8.6460040000000002E-2</v>
      </c>
      <c r="J42">
        <v>0.52259164999999996</v>
      </c>
    </row>
    <row r="43" spans="1:10" x14ac:dyDescent="0.3">
      <c r="A43">
        <v>41</v>
      </c>
      <c r="B43">
        <v>722</v>
      </c>
      <c r="C43" t="b">
        <v>1</v>
      </c>
      <c r="D43">
        <v>8120</v>
      </c>
      <c r="E43">
        <v>8168</v>
      </c>
      <c r="F43">
        <v>261.86667</v>
      </c>
      <c r="G43">
        <v>285.53332999999998</v>
      </c>
      <c r="H43">
        <v>0.91711419999999999</v>
      </c>
      <c r="I43">
        <v>8.2885793999999999E-2</v>
      </c>
      <c r="J43">
        <v>0.52161729999999995</v>
      </c>
    </row>
    <row r="44" spans="1:10" x14ac:dyDescent="0.3">
      <c r="A44">
        <v>42</v>
      </c>
      <c r="B44">
        <v>738</v>
      </c>
      <c r="C44" t="b">
        <v>1</v>
      </c>
      <c r="D44">
        <v>8128</v>
      </c>
      <c r="E44">
        <v>8224</v>
      </c>
      <c r="F44">
        <v>262.93331999999998</v>
      </c>
      <c r="G44">
        <v>285.53332999999998</v>
      </c>
      <c r="H44">
        <v>0.92084986000000002</v>
      </c>
      <c r="I44">
        <v>7.9150155E-2</v>
      </c>
      <c r="J44">
        <v>0.52060289999999998</v>
      </c>
    </row>
    <row r="45" spans="1:10" x14ac:dyDescent="0.3">
      <c r="A45">
        <v>43</v>
      </c>
      <c r="B45">
        <v>770</v>
      </c>
      <c r="C45" t="b">
        <v>1</v>
      </c>
      <c r="D45">
        <v>8104</v>
      </c>
      <c r="E45">
        <v>8224</v>
      </c>
      <c r="F45">
        <v>264</v>
      </c>
      <c r="G45">
        <v>285.53332999999998</v>
      </c>
      <c r="H45">
        <v>0.92458560000000001</v>
      </c>
      <c r="I45">
        <v>7.5414404000000004E-2</v>
      </c>
      <c r="J45">
        <v>0.51959233999999999</v>
      </c>
    </row>
    <row r="46" spans="1:10" x14ac:dyDescent="0.3">
      <c r="A46">
        <v>44</v>
      </c>
      <c r="B46">
        <v>785</v>
      </c>
      <c r="C46" t="b">
        <v>1</v>
      </c>
      <c r="D46">
        <v>8088</v>
      </c>
      <c r="E46">
        <v>8200</v>
      </c>
      <c r="F46">
        <v>265.60000000000002</v>
      </c>
      <c r="G46">
        <v>286.06668000000002</v>
      </c>
      <c r="H46">
        <v>0.92845489999999997</v>
      </c>
      <c r="I46">
        <v>7.1545120000000004E-2</v>
      </c>
      <c r="J46">
        <v>0.51854986000000003</v>
      </c>
    </row>
    <row r="47" spans="1:10" x14ac:dyDescent="0.3">
      <c r="A47">
        <v>45</v>
      </c>
      <c r="B47">
        <v>801</v>
      </c>
      <c r="C47" t="b">
        <v>1</v>
      </c>
      <c r="D47">
        <v>8152</v>
      </c>
      <c r="E47">
        <v>8176</v>
      </c>
      <c r="F47">
        <v>268.26666</v>
      </c>
      <c r="G47">
        <v>286.06668000000002</v>
      </c>
      <c r="H47">
        <v>0.93777670000000002</v>
      </c>
      <c r="I47">
        <v>6.2223319999999999E-2</v>
      </c>
      <c r="J47">
        <v>0.51605529999999999</v>
      </c>
    </row>
    <row r="48" spans="1:10" x14ac:dyDescent="0.3">
      <c r="A48">
        <v>46</v>
      </c>
      <c r="B48">
        <v>817</v>
      </c>
      <c r="C48" t="b">
        <v>1</v>
      </c>
      <c r="D48">
        <v>8080</v>
      </c>
      <c r="E48">
        <v>8200</v>
      </c>
      <c r="F48">
        <v>267.73334</v>
      </c>
      <c r="G48">
        <v>286.06668000000002</v>
      </c>
      <c r="H48">
        <v>0.93591239999999998</v>
      </c>
      <c r="I48">
        <v>6.4087660000000005E-2</v>
      </c>
      <c r="J48">
        <v>0.51655227000000004</v>
      </c>
    </row>
    <row r="49" spans="1:10" x14ac:dyDescent="0.3">
      <c r="A49">
        <v>47</v>
      </c>
      <c r="B49">
        <v>833</v>
      </c>
      <c r="C49" t="b">
        <v>1</v>
      </c>
      <c r="D49">
        <v>8136</v>
      </c>
      <c r="E49">
        <v>8208</v>
      </c>
      <c r="F49">
        <v>268.26666</v>
      </c>
      <c r="G49">
        <v>286.06668000000002</v>
      </c>
      <c r="H49">
        <v>0.93777670000000002</v>
      </c>
      <c r="I49">
        <v>6.2223319999999999E-2</v>
      </c>
      <c r="J49">
        <v>0.51605529999999999</v>
      </c>
    </row>
    <row r="50" spans="1:10" x14ac:dyDescent="0.3">
      <c r="A50">
        <v>48</v>
      </c>
      <c r="B50">
        <v>865</v>
      </c>
      <c r="C50" t="b">
        <v>1</v>
      </c>
      <c r="D50">
        <v>8104</v>
      </c>
      <c r="E50">
        <v>8176</v>
      </c>
      <c r="F50">
        <v>267.73334</v>
      </c>
      <c r="G50">
        <v>286.06668000000002</v>
      </c>
      <c r="H50">
        <v>0.93591239999999998</v>
      </c>
      <c r="I50">
        <v>6.4087660000000005E-2</v>
      </c>
      <c r="J50">
        <v>0.51655227000000004</v>
      </c>
    </row>
    <row r="51" spans="1:10" x14ac:dyDescent="0.3">
      <c r="A51">
        <v>49</v>
      </c>
      <c r="B51">
        <v>880</v>
      </c>
      <c r="C51" t="b">
        <v>1</v>
      </c>
      <c r="D51">
        <v>8048</v>
      </c>
      <c r="E51">
        <v>8184</v>
      </c>
      <c r="F51">
        <v>267.2</v>
      </c>
      <c r="G51">
        <v>285.53332999999998</v>
      </c>
      <c r="H51">
        <v>0.93579274000000001</v>
      </c>
      <c r="I51">
        <v>6.4207260000000002E-2</v>
      </c>
      <c r="J51">
        <v>0.51658420000000005</v>
      </c>
    </row>
    <row r="52" spans="1:10" x14ac:dyDescent="0.3">
      <c r="A52">
        <v>50</v>
      </c>
      <c r="B52">
        <v>896</v>
      </c>
      <c r="C52" t="b">
        <v>1</v>
      </c>
      <c r="D52">
        <v>8128</v>
      </c>
      <c r="E52">
        <v>8176</v>
      </c>
      <c r="F52">
        <v>266.66665999999998</v>
      </c>
      <c r="G52">
        <v>284.46667000000002</v>
      </c>
      <c r="H52">
        <v>0.93742669999999995</v>
      </c>
      <c r="I52">
        <v>6.2573299999999998E-2</v>
      </c>
      <c r="J52">
        <v>0.51614857000000003</v>
      </c>
    </row>
    <row r="53" spans="1:10" x14ac:dyDescent="0.3">
      <c r="A53">
        <v>51</v>
      </c>
      <c r="B53">
        <v>912</v>
      </c>
      <c r="C53" t="b">
        <v>1</v>
      </c>
      <c r="D53">
        <v>8152</v>
      </c>
      <c r="E53">
        <v>8224</v>
      </c>
      <c r="F53">
        <v>267.2</v>
      </c>
      <c r="G53">
        <v>283.39999999999998</v>
      </c>
      <c r="H53">
        <v>0.94283706</v>
      </c>
      <c r="I53">
        <v>5.7162955000000001E-2</v>
      </c>
      <c r="J53">
        <v>0.51471126</v>
      </c>
    </row>
    <row r="54" spans="1:10" x14ac:dyDescent="0.3">
      <c r="A54">
        <v>52</v>
      </c>
      <c r="B54">
        <v>928</v>
      </c>
      <c r="C54" t="b">
        <v>1</v>
      </c>
      <c r="D54">
        <v>8064</v>
      </c>
      <c r="E54">
        <v>8200</v>
      </c>
      <c r="F54">
        <v>266.13333</v>
      </c>
      <c r="G54">
        <v>282.33334000000002</v>
      </c>
      <c r="H54">
        <v>0.94262100000000004</v>
      </c>
      <c r="I54">
        <v>5.7379026E-2</v>
      </c>
      <c r="J54">
        <v>0.51476849999999996</v>
      </c>
    </row>
    <row r="55" spans="1:10" x14ac:dyDescent="0.3">
      <c r="A55">
        <v>53</v>
      </c>
      <c r="B55">
        <v>944</v>
      </c>
      <c r="C55" t="b">
        <v>1</v>
      </c>
      <c r="D55">
        <v>8112</v>
      </c>
      <c r="E55">
        <v>8176</v>
      </c>
      <c r="F55">
        <v>265.60000000000002</v>
      </c>
      <c r="G55">
        <v>281.26666</v>
      </c>
      <c r="H55">
        <v>0.94429964</v>
      </c>
      <c r="I55">
        <v>5.5700369999999999E-2</v>
      </c>
      <c r="J55">
        <v>0.514324</v>
      </c>
    </row>
    <row r="56" spans="1:10" x14ac:dyDescent="0.3">
      <c r="A56">
        <v>54</v>
      </c>
      <c r="B56">
        <v>960</v>
      </c>
      <c r="C56" t="b">
        <v>1</v>
      </c>
      <c r="D56">
        <v>8120</v>
      </c>
      <c r="E56">
        <v>8200</v>
      </c>
      <c r="F56">
        <v>267.2</v>
      </c>
      <c r="G56">
        <v>281.26666</v>
      </c>
      <c r="H56">
        <v>0.94998819999999995</v>
      </c>
      <c r="I56">
        <v>5.0011794999999998E-2</v>
      </c>
      <c r="J56">
        <v>0.51282364000000003</v>
      </c>
    </row>
    <row r="57" spans="1:10" x14ac:dyDescent="0.3">
      <c r="A57">
        <v>55</v>
      </c>
      <c r="B57">
        <v>975</v>
      </c>
      <c r="C57" t="b">
        <v>1</v>
      </c>
      <c r="D57">
        <v>8128</v>
      </c>
      <c r="E57">
        <v>8200</v>
      </c>
      <c r="F57">
        <v>268.8</v>
      </c>
      <c r="G57">
        <v>281.26666</v>
      </c>
      <c r="H57">
        <v>0.95567670000000005</v>
      </c>
      <c r="I57">
        <v>4.4323330000000001E-2</v>
      </c>
      <c r="J57">
        <v>0.51133200000000001</v>
      </c>
    </row>
    <row r="58" spans="1:10" x14ac:dyDescent="0.3">
      <c r="A58">
        <v>56</v>
      </c>
      <c r="B58">
        <v>991</v>
      </c>
      <c r="C58" t="b">
        <v>1</v>
      </c>
      <c r="D58">
        <v>8032</v>
      </c>
      <c r="E58">
        <v>8192</v>
      </c>
      <c r="F58">
        <v>269.86667</v>
      </c>
      <c r="G58">
        <v>281.26666</v>
      </c>
      <c r="H58">
        <v>0.95946909999999996</v>
      </c>
      <c r="I58">
        <v>4.0530910000000003E-2</v>
      </c>
      <c r="J58">
        <v>0.51034235999999999</v>
      </c>
    </row>
    <row r="59" spans="1:10" x14ac:dyDescent="0.3">
      <c r="A59">
        <v>57</v>
      </c>
      <c r="B59">
        <v>1007</v>
      </c>
      <c r="C59" t="b">
        <v>1</v>
      </c>
      <c r="D59">
        <v>8168</v>
      </c>
      <c r="E59">
        <v>8200</v>
      </c>
      <c r="F59">
        <v>270.93331999999998</v>
      </c>
      <c r="G59">
        <v>280.73334</v>
      </c>
      <c r="H59">
        <v>0.96509135000000001</v>
      </c>
      <c r="I59">
        <v>3.4908636999999999E-2</v>
      </c>
      <c r="J59">
        <v>0.50888219999999995</v>
      </c>
    </row>
    <row r="60" spans="1:10" x14ac:dyDescent="0.3">
      <c r="A60">
        <v>58</v>
      </c>
      <c r="B60">
        <v>1039</v>
      </c>
      <c r="C60" t="b">
        <v>1</v>
      </c>
      <c r="D60">
        <v>8048</v>
      </c>
      <c r="E60">
        <v>8208</v>
      </c>
      <c r="F60">
        <v>272</v>
      </c>
      <c r="G60">
        <v>280.2</v>
      </c>
      <c r="H60">
        <v>0.97073513</v>
      </c>
      <c r="I60">
        <v>2.9264852000000001E-2</v>
      </c>
      <c r="J60">
        <v>0.50742483000000005</v>
      </c>
    </row>
    <row r="61" spans="1:10" x14ac:dyDescent="0.3">
      <c r="A61">
        <v>59</v>
      </c>
      <c r="B61">
        <v>1055</v>
      </c>
      <c r="C61" t="b">
        <v>1</v>
      </c>
      <c r="D61">
        <v>8104</v>
      </c>
      <c r="E61">
        <v>8184</v>
      </c>
      <c r="F61">
        <v>272</v>
      </c>
      <c r="G61">
        <v>279.66665999999998</v>
      </c>
      <c r="H61">
        <v>0.97258644999999999</v>
      </c>
      <c r="I61">
        <v>2.7413553E-2</v>
      </c>
      <c r="J61">
        <v>0.50694865</v>
      </c>
    </row>
    <row r="62" spans="1:10" x14ac:dyDescent="0.3">
      <c r="A62">
        <v>60</v>
      </c>
      <c r="B62">
        <v>1071</v>
      </c>
      <c r="C62" t="b">
        <v>1</v>
      </c>
      <c r="D62">
        <v>8096</v>
      </c>
      <c r="E62">
        <v>8216</v>
      </c>
      <c r="F62">
        <v>270.39999999999998</v>
      </c>
      <c r="G62">
        <v>279.66665999999998</v>
      </c>
      <c r="H62">
        <v>0.96686530000000004</v>
      </c>
      <c r="I62">
        <v>3.3134669999999998E-2</v>
      </c>
      <c r="J62">
        <v>0.50842319999999996</v>
      </c>
    </row>
    <row r="63" spans="1:10" x14ac:dyDescent="0.3">
      <c r="A63">
        <v>61</v>
      </c>
      <c r="B63">
        <v>1102</v>
      </c>
      <c r="C63" t="b">
        <v>1</v>
      </c>
      <c r="D63">
        <v>8096</v>
      </c>
      <c r="E63">
        <v>8184</v>
      </c>
      <c r="F63">
        <v>269.86667</v>
      </c>
      <c r="G63">
        <v>279.66665999999998</v>
      </c>
      <c r="H63">
        <v>0.96495830000000005</v>
      </c>
      <c r="I63">
        <v>3.5041675000000001E-2</v>
      </c>
      <c r="J63">
        <v>0.50891660000000005</v>
      </c>
    </row>
    <row r="64" spans="1:10" x14ac:dyDescent="0.3">
      <c r="A64">
        <v>62</v>
      </c>
      <c r="B64">
        <v>1134</v>
      </c>
      <c r="C64" t="b">
        <v>1</v>
      </c>
      <c r="D64">
        <v>8112</v>
      </c>
      <c r="E64">
        <v>8200</v>
      </c>
      <c r="F64">
        <v>269.33334000000002</v>
      </c>
      <c r="G64">
        <v>279.66665999999998</v>
      </c>
      <c r="H64">
        <v>0.96305130000000005</v>
      </c>
      <c r="I64">
        <v>3.6948676999999999E-2</v>
      </c>
      <c r="J64">
        <v>0.50941104000000004</v>
      </c>
    </row>
    <row r="65" spans="1:10" x14ac:dyDescent="0.3">
      <c r="A65">
        <v>63</v>
      </c>
      <c r="B65">
        <v>1150</v>
      </c>
      <c r="C65" t="b">
        <v>1</v>
      </c>
      <c r="D65">
        <v>8128</v>
      </c>
      <c r="E65">
        <v>8184</v>
      </c>
      <c r="F65">
        <v>269.33334000000002</v>
      </c>
      <c r="G65">
        <v>278.60000000000002</v>
      </c>
      <c r="H65">
        <v>0.96673845999999997</v>
      </c>
      <c r="I65">
        <v>3.3261529999999997E-2</v>
      </c>
      <c r="J65">
        <v>0.50845600000000002</v>
      </c>
    </row>
    <row r="66" spans="1:10" x14ac:dyDescent="0.3">
      <c r="A66">
        <v>64</v>
      </c>
      <c r="B66">
        <v>1166</v>
      </c>
      <c r="C66" t="b">
        <v>1</v>
      </c>
      <c r="D66">
        <v>8112</v>
      </c>
      <c r="E66">
        <v>8176</v>
      </c>
      <c r="F66">
        <v>269.86667</v>
      </c>
      <c r="G66">
        <v>278.60000000000002</v>
      </c>
      <c r="H66">
        <v>0.96865279999999998</v>
      </c>
      <c r="I66">
        <v>3.1347225999999999E-2</v>
      </c>
      <c r="J66">
        <v>0.50796160000000001</v>
      </c>
    </row>
    <row r="67" spans="1:10" x14ac:dyDescent="0.3">
      <c r="A67">
        <v>65</v>
      </c>
      <c r="B67">
        <v>1198</v>
      </c>
      <c r="C67" t="b">
        <v>1</v>
      </c>
      <c r="D67">
        <v>8128</v>
      </c>
      <c r="E67">
        <v>8208</v>
      </c>
      <c r="F67">
        <v>270.39999999999998</v>
      </c>
      <c r="G67">
        <v>278.60000000000002</v>
      </c>
      <c r="H67">
        <v>0.97056710000000002</v>
      </c>
      <c r="I67">
        <v>2.9432923E-2</v>
      </c>
      <c r="J67">
        <v>0.50746815999999995</v>
      </c>
    </row>
    <row r="68" spans="1:10" x14ac:dyDescent="0.3">
      <c r="A68">
        <v>66</v>
      </c>
      <c r="B68">
        <v>1214</v>
      </c>
      <c r="C68" t="b">
        <v>1</v>
      </c>
      <c r="D68">
        <v>8104</v>
      </c>
      <c r="E68">
        <v>8224</v>
      </c>
      <c r="F68">
        <v>269.33334000000002</v>
      </c>
      <c r="G68">
        <v>279.66665999999998</v>
      </c>
      <c r="H68">
        <v>0.96305130000000005</v>
      </c>
      <c r="I68">
        <v>3.6948676999999999E-2</v>
      </c>
      <c r="J68">
        <v>0.50941104000000004</v>
      </c>
    </row>
    <row r="69" spans="1:10" x14ac:dyDescent="0.3">
      <c r="A69">
        <v>67</v>
      </c>
      <c r="B69">
        <v>1230</v>
      </c>
      <c r="C69" t="b">
        <v>1</v>
      </c>
      <c r="D69">
        <v>8120</v>
      </c>
      <c r="E69">
        <v>8208</v>
      </c>
      <c r="F69">
        <v>270.39999999999998</v>
      </c>
      <c r="G69">
        <v>281.26666</v>
      </c>
      <c r="H69">
        <v>0.96136520000000003</v>
      </c>
      <c r="I69">
        <v>3.8634755E-2</v>
      </c>
      <c r="J69">
        <v>0.50984894999999997</v>
      </c>
    </row>
    <row r="70" spans="1:10" x14ac:dyDescent="0.3">
      <c r="A70">
        <v>68</v>
      </c>
      <c r="B70">
        <v>1246</v>
      </c>
      <c r="C70" t="b">
        <v>1</v>
      </c>
      <c r="D70">
        <v>8152</v>
      </c>
      <c r="E70">
        <v>8176</v>
      </c>
      <c r="F70">
        <v>270.93331999999998</v>
      </c>
      <c r="G70">
        <v>282.86667</v>
      </c>
      <c r="H70">
        <v>0.95781280000000002</v>
      </c>
      <c r="I70">
        <v>4.2187188E-2</v>
      </c>
      <c r="J70">
        <v>0.51077410000000001</v>
      </c>
    </row>
    <row r="71" spans="1:10" x14ac:dyDescent="0.3">
      <c r="A71">
        <v>69</v>
      </c>
      <c r="B71">
        <v>1262</v>
      </c>
      <c r="C71" t="b">
        <v>1</v>
      </c>
      <c r="D71">
        <v>8112</v>
      </c>
      <c r="E71">
        <v>8176</v>
      </c>
      <c r="F71">
        <v>270.93331999999998</v>
      </c>
      <c r="G71">
        <v>283.39999999999998</v>
      </c>
      <c r="H71">
        <v>0.95601033999999996</v>
      </c>
      <c r="I71">
        <v>4.3989680000000003E-2</v>
      </c>
      <c r="J71">
        <v>0.51124480000000005</v>
      </c>
    </row>
    <row r="72" spans="1:10" x14ac:dyDescent="0.3">
      <c r="A72">
        <v>70</v>
      </c>
      <c r="B72">
        <v>1277</v>
      </c>
      <c r="C72" t="b">
        <v>1</v>
      </c>
      <c r="D72">
        <v>8104</v>
      </c>
      <c r="E72">
        <v>8192</v>
      </c>
      <c r="F72">
        <v>270.39999999999998</v>
      </c>
      <c r="G72">
        <v>282.86667</v>
      </c>
      <c r="H72">
        <v>0.95592739999999998</v>
      </c>
      <c r="I72">
        <v>4.4072617000000001E-2</v>
      </c>
      <c r="J72">
        <v>0.51126640000000001</v>
      </c>
    </row>
    <row r="73" spans="1:10" x14ac:dyDescent="0.3">
      <c r="A73">
        <v>71</v>
      </c>
      <c r="B73">
        <v>1293</v>
      </c>
      <c r="C73" t="b">
        <v>1</v>
      </c>
      <c r="D73">
        <v>8144</v>
      </c>
      <c r="E73">
        <v>8200</v>
      </c>
      <c r="F73">
        <v>270.93331999999998</v>
      </c>
      <c r="G73">
        <v>282.33334000000002</v>
      </c>
      <c r="H73">
        <v>0.95962210000000003</v>
      </c>
      <c r="I73">
        <v>4.037789E-2</v>
      </c>
      <c r="J73">
        <v>0.51030249999999999</v>
      </c>
    </row>
    <row r="74" spans="1:10" x14ac:dyDescent="0.3">
      <c r="A74">
        <v>72</v>
      </c>
      <c r="B74">
        <v>1309</v>
      </c>
      <c r="C74" t="b">
        <v>1</v>
      </c>
      <c r="D74">
        <v>8160</v>
      </c>
      <c r="E74">
        <v>8200</v>
      </c>
      <c r="F74">
        <v>272.53332999999998</v>
      </c>
      <c r="G74">
        <v>281.8</v>
      </c>
      <c r="H74">
        <v>0.96711619999999998</v>
      </c>
      <c r="I74">
        <v>3.2883830000000003E-2</v>
      </c>
      <c r="J74">
        <v>0.50835836000000001</v>
      </c>
    </row>
    <row r="75" spans="1:10" x14ac:dyDescent="0.3">
      <c r="A75">
        <v>73</v>
      </c>
      <c r="B75">
        <v>1325</v>
      </c>
      <c r="C75" t="b">
        <v>1</v>
      </c>
      <c r="D75">
        <v>8128</v>
      </c>
      <c r="E75">
        <v>8200</v>
      </c>
      <c r="F75">
        <v>273.06668000000002</v>
      </c>
      <c r="G75">
        <v>281.8</v>
      </c>
      <c r="H75">
        <v>0.96900885999999997</v>
      </c>
      <c r="I75">
        <v>3.0991154E-2</v>
      </c>
      <c r="J75">
        <v>0.50786969999999998</v>
      </c>
    </row>
    <row r="76" spans="1:10" x14ac:dyDescent="0.3">
      <c r="A76">
        <v>74</v>
      </c>
      <c r="B76">
        <v>1341</v>
      </c>
      <c r="C76" t="b">
        <v>1</v>
      </c>
      <c r="D76">
        <v>8088</v>
      </c>
      <c r="E76">
        <v>8176</v>
      </c>
      <c r="F76">
        <v>274.66665999999998</v>
      </c>
      <c r="G76">
        <v>281.8</v>
      </c>
      <c r="H76">
        <v>0.97468655999999998</v>
      </c>
      <c r="I76">
        <v>2.5313456000000002E-2</v>
      </c>
      <c r="J76">
        <v>0.50640947000000003</v>
      </c>
    </row>
    <row r="77" spans="1:10" x14ac:dyDescent="0.3">
      <c r="A77">
        <v>75</v>
      </c>
      <c r="B77">
        <v>1357</v>
      </c>
      <c r="C77" t="b">
        <v>1</v>
      </c>
      <c r="D77">
        <v>8152</v>
      </c>
      <c r="E77">
        <v>8200</v>
      </c>
      <c r="F77">
        <v>277.86667</v>
      </c>
      <c r="G77">
        <v>281.8</v>
      </c>
      <c r="H77">
        <v>0.98604214000000001</v>
      </c>
      <c r="I77">
        <v>1.3957839E-2</v>
      </c>
      <c r="J77">
        <v>0.50351400000000002</v>
      </c>
    </row>
    <row r="78" spans="1:10" x14ac:dyDescent="0.3">
      <c r="A78">
        <v>76</v>
      </c>
      <c r="B78">
        <v>1373</v>
      </c>
      <c r="C78" t="b">
        <v>1</v>
      </c>
      <c r="D78">
        <v>8128</v>
      </c>
      <c r="E78">
        <v>8240</v>
      </c>
      <c r="F78">
        <v>280</v>
      </c>
      <c r="G78">
        <v>281.8</v>
      </c>
      <c r="H78">
        <v>0.99361250000000001</v>
      </c>
      <c r="I78">
        <v>6.3874656000000004E-3</v>
      </c>
      <c r="J78">
        <v>0.50160199999999999</v>
      </c>
    </row>
    <row r="79" spans="1:10" x14ac:dyDescent="0.3">
      <c r="A79">
        <v>77</v>
      </c>
      <c r="B79">
        <v>1389</v>
      </c>
      <c r="C79" t="b">
        <v>1</v>
      </c>
      <c r="D79">
        <v>8112</v>
      </c>
      <c r="E79">
        <v>8192</v>
      </c>
      <c r="F79">
        <v>282.13333</v>
      </c>
      <c r="G79">
        <v>281.8</v>
      </c>
      <c r="H79">
        <v>1.0011829000000001</v>
      </c>
      <c r="I79">
        <v>-1.1829081999999999E-3</v>
      </c>
      <c r="J79">
        <v>0.49970441999999998</v>
      </c>
    </row>
    <row r="80" spans="1:10" x14ac:dyDescent="0.3">
      <c r="A80">
        <v>78</v>
      </c>
      <c r="B80">
        <v>1405</v>
      </c>
      <c r="C80" t="b">
        <v>1</v>
      </c>
      <c r="D80">
        <v>8088</v>
      </c>
      <c r="E80">
        <v>8200</v>
      </c>
      <c r="F80">
        <v>282.66665999999998</v>
      </c>
      <c r="G80">
        <v>282.86667</v>
      </c>
      <c r="H80">
        <v>0.99929290000000004</v>
      </c>
      <c r="I80">
        <v>7.0709009999999999E-4</v>
      </c>
      <c r="J80">
        <v>0.50017685000000001</v>
      </c>
    </row>
    <row r="81" spans="1:10" x14ac:dyDescent="0.3">
      <c r="A81">
        <v>79</v>
      </c>
      <c r="B81">
        <v>1420</v>
      </c>
      <c r="C81" t="b">
        <v>1</v>
      </c>
      <c r="D81">
        <v>8160</v>
      </c>
      <c r="E81">
        <v>8208</v>
      </c>
      <c r="F81">
        <v>283.73334</v>
      </c>
      <c r="G81">
        <v>283.93331999999998</v>
      </c>
      <c r="H81">
        <v>0.99929564999999998</v>
      </c>
      <c r="I81">
        <v>7.0432625999999996E-4</v>
      </c>
      <c r="J81">
        <v>0.50017619999999996</v>
      </c>
    </row>
    <row r="82" spans="1:10" x14ac:dyDescent="0.3">
      <c r="A82">
        <v>80</v>
      </c>
      <c r="B82">
        <v>1436</v>
      </c>
      <c r="C82" t="b">
        <v>1</v>
      </c>
      <c r="D82">
        <v>8112</v>
      </c>
      <c r="E82">
        <v>8224</v>
      </c>
      <c r="F82">
        <v>283.73334</v>
      </c>
      <c r="G82">
        <v>285.53332999999998</v>
      </c>
      <c r="H82">
        <v>0.99369602999999995</v>
      </c>
      <c r="I82">
        <v>6.3039497000000003E-3</v>
      </c>
      <c r="J82">
        <v>0.50158095000000003</v>
      </c>
    </row>
    <row r="83" spans="1:10" x14ac:dyDescent="0.3">
      <c r="A83">
        <v>81</v>
      </c>
      <c r="B83">
        <v>1452</v>
      </c>
      <c r="C83" t="b">
        <v>1</v>
      </c>
      <c r="D83">
        <v>8112</v>
      </c>
      <c r="E83">
        <v>8208</v>
      </c>
      <c r="F83">
        <v>283.73334</v>
      </c>
      <c r="G83">
        <v>286.06668000000002</v>
      </c>
      <c r="H83">
        <v>0.99184333999999996</v>
      </c>
      <c r="I83">
        <v>8.1566420000000004E-3</v>
      </c>
      <c r="J83">
        <v>0.50204749999999998</v>
      </c>
    </row>
    <row r="84" spans="1:10" x14ac:dyDescent="0.3">
      <c r="A84">
        <v>82</v>
      </c>
      <c r="B84">
        <v>1468</v>
      </c>
      <c r="C84" t="b">
        <v>1</v>
      </c>
      <c r="D84">
        <v>8120</v>
      </c>
      <c r="E84">
        <v>8208</v>
      </c>
      <c r="F84">
        <v>283.2</v>
      </c>
      <c r="G84">
        <v>286.06668000000002</v>
      </c>
      <c r="H84">
        <v>0.98997900000000005</v>
      </c>
      <c r="I84">
        <v>1.0020981E-2</v>
      </c>
      <c r="J84">
        <v>0.50251780000000001</v>
      </c>
    </row>
    <row r="85" spans="1:10" x14ac:dyDescent="0.3">
      <c r="A85">
        <v>83</v>
      </c>
      <c r="B85">
        <v>1484</v>
      </c>
      <c r="C85" t="b">
        <v>1</v>
      </c>
      <c r="D85">
        <v>8096</v>
      </c>
      <c r="E85">
        <v>8184</v>
      </c>
      <c r="F85">
        <v>282.66665999999998</v>
      </c>
      <c r="G85">
        <v>286.06668000000002</v>
      </c>
      <c r="H85">
        <v>0.98811459999999995</v>
      </c>
      <c r="I85">
        <v>1.1885425999999999E-2</v>
      </c>
      <c r="J85">
        <v>0.50298909999999997</v>
      </c>
    </row>
    <row r="86" spans="1:10" x14ac:dyDescent="0.3">
      <c r="A86">
        <v>84</v>
      </c>
      <c r="B86">
        <v>1500</v>
      </c>
      <c r="C86" t="b">
        <v>1</v>
      </c>
      <c r="D86">
        <v>8112</v>
      </c>
      <c r="E86">
        <v>8200</v>
      </c>
      <c r="F86">
        <v>282.13333</v>
      </c>
      <c r="G86">
        <v>286.06668000000002</v>
      </c>
      <c r="H86">
        <v>0.98625019999999997</v>
      </c>
      <c r="I86">
        <v>1.3749765000000001E-2</v>
      </c>
      <c r="J86">
        <v>0.50346124000000003</v>
      </c>
    </row>
    <row r="87" spans="1:10" x14ac:dyDescent="0.3">
      <c r="A87">
        <v>85</v>
      </c>
      <c r="B87">
        <v>1516</v>
      </c>
      <c r="C87" t="b">
        <v>1</v>
      </c>
      <c r="D87">
        <v>8128</v>
      </c>
      <c r="E87">
        <v>8192</v>
      </c>
      <c r="F87">
        <v>282.13333</v>
      </c>
      <c r="G87">
        <v>286.60000000000002</v>
      </c>
      <c r="H87">
        <v>0.98441493999999996</v>
      </c>
      <c r="I87">
        <v>1.5585048000000001E-2</v>
      </c>
      <c r="J87">
        <v>0.50392689999999996</v>
      </c>
    </row>
    <row r="88" spans="1:10" x14ac:dyDescent="0.3">
      <c r="A88">
        <v>86</v>
      </c>
      <c r="B88">
        <v>1532</v>
      </c>
      <c r="C88" t="b">
        <v>1</v>
      </c>
      <c r="D88">
        <v>8136</v>
      </c>
      <c r="E88">
        <v>8200</v>
      </c>
      <c r="F88">
        <v>282.13333</v>
      </c>
      <c r="G88">
        <v>287.13333</v>
      </c>
      <c r="H88">
        <v>0.98258650000000003</v>
      </c>
      <c r="I88">
        <v>1.7413514000000001E-2</v>
      </c>
      <c r="J88">
        <v>0.50439160000000005</v>
      </c>
    </row>
    <row r="89" spans="1:10" x14ac:dyDescent="0.3">
      <c r="A89">
        <v>87</v>
      </c>
      <c r="B89">
        <v>1564</v>
      </c>
      <c r="C89" t="b">
        <v>1</v>
      </c>
      <c r="D89">
        <v>8128</v>
      </c>
      <c r="E89">
        <v>8176</v>
      </c>
      <c r="F89">
        <v>281.06668000000002</v>
      </c>
      <c r="G89">
        <v>287.13333</v>
      </c>
      <c r="H89">
        <v>0.97887164000000004</v>
      </c>
      <c r="I89">
        <v>2.1128339999999999E-2</v>
      </c>
      <c r="J89">
        <v>0.50533850000000002</v>
      </c>
    </row>
    <row r="90" spans="1:10" x14ac:dyDescent="0.3">
      <c r="A90">
        <v>88</v>
      </c>
      <c r="B90">
        <v>1579</v>
      </c>
      <c r="C90" t="b">
        <v>1</v>
      </c>
      <c r="D90">
        <v>8080</v>
      </c>
      <c r="E90">
        <v>8200</v>
      </c>
      <c r="F90">
        <v>281.06668000000002</v>
      </c>
      <c r="G90">
        <v>287.13333</v>
      </c>
      <c r="H90">
        <v>0.97887164000000004</v>
      </c>
      <c r="I90">
        <v>2.1128339999999999E-2</v>
      </c>
      <c r="J90">
        <v>0.50533850000000002</v>
      </c>
    </row>
    <row r="91" spans="1:10" x14ac:dyDescent="0.3">
      <c r="A91">
        <v>89</v>
      </c>
      <c r="B91">
        <v>1595</v>
      </c>
      <c r="C91" t="b">
        <v>1</v>
      </c>
      <c r="D91">
        <v>8120</v>
      </c>
      <c r="E91">
        <v>8224</v>
      </c>
      <c r="F91">
        <v>281.06668000000002</v>
      </c>
      <c r="G91">
        <v>287.13333</v>
      </c>
      <c r="H91">
        <v>0.97887164000000004</v>
      </c>
      <c r="I91">
        <v>2.1128339999999999E-2</v>
      </c>
      <c r="J91">
        <v>0.50533850000000002</v>
      </c>
    </row>
    <row r="92" spans="1:10" x14ac:dyDescent="0.3">
      <c r="A92">
        <v>90</v>
      </c>
      <c r="B92">
        <v>1611</v>
      </c>
      <c r="C92" t="b">
        <v>1</v>
      </c>
      <c r="D92">
        <v>8104</v>
      </c>
      <c r="E92">
        <v>8216</v>
      </c>
      <c r="F92">
        <v>279.46667000000002</v>
      </c>
      <c r="G92">
        <v>287.13333</v>
      </c>
      <c r="H92">
        <v>0.97329929999999998</v>
      </c>
      <c r="I92">
        <v>2.6700684999999998E-2</v>
      </c>
      <c r="J92">
        <v>0.50676553999999996</v>
      </c>
    </row>
    <row r="93" spans="1:10" x14ac:dyDescent="0.3">
      <c r="A93">
        <v>91</v>
      </c>
      <c r="B93">
        <v>1627</v>
      </c>
      <c r="C93" t="b">
        <v>1</v>
      </c>
      <c r="D93">
        <v>8120</v>
      </c>
      <c r="E93">
        <v>8224</v>
      </c>
      <c r="F93">
        <v>278.93331999999998</v>
      </c>
      <c r="G93">
        <v>288.2</v>
      </c>
      <c r="H93">
        <v>0.96784632999999998</v>
      </c>
      <c r="I93">
        <v>3.2153689999999999E-2</v>
      </c>
      <c r="J93">
        <v>0.5081698</v>
      </c>
    </row>
    <row r="94" spans="1:10" x14ac:dyDescent="0.3">
      <c r="A94">
        <v>92</v>
      </c>
      <c r="B94">
        <v>1643</v>
      </c>
      <c r="C94" t="b">
        <v>1</v>
      </c>
      <c r="D94">
        <v>8096</v>
      </c>
      <c r="E94">
        <v>8176</v>
      </c>
      <c r="F94">
        <v>277.33334000000002</v>
      </c>
      <c r="G94">
        <v>289.26666</v>
      </c>
      <c r="H94">
        <v>0.95874630000000005</v>
      </c>
      <c r="I94">
        <v>4.1253696999999999E-2</v>
      </c>
      <c r="J94">
        <v>0.51053064999999997</v>
      </c>
    </row>
    <row r="95" spans="1:10" x14ac:dyDescent="0.3">
      <c r="A95">
        <v>93</v>
      </c>
      <c r="B95">
        <v>1659</v>
      </c>
      <c r="C95" t="b">
        <v>1</v>
      </c>
      <c r="D95">
        <v>8128</v>
      </c>
      <c r="E95">
        <v>8184</v>
      </c>
      <c r="F95">
        <v>277.86667</v>
      </c>
      <c r="G95">
        <v>290.33334000000002</v>
      </c>
      <c r="H95">
        <v>0.95706080000000004</v>
      </c>
      <c r="I95">
        <v>4.293918E-2</v>
      </c>
      <c r="J95">
        <v>0.51097029999999999</v>
      </c>
    </row>
    <row r="96" spans="1:10" x14ac:dyDescent="0.3">
      <c r="A96">
        <v>94</v>
      </c>
      <c r="B96">
        <v>1675</v>
      </c>
      <c r="C96" t="b">
        <v>1</v>
      </c>
      <c r="D96">
        <v>8112</v>
      </c>
      <c r="E96">
        <v>8216</v>
      </c>
      <c r="F96">
        <v>276.8</v>
      </c>
      <c r="G96">
        <v>291.39999999999998</v>
      </c>
      <c r="H96">
        <v>0.94989705000000002</v>
      </c>
      <c r="I96">
        <v>5.0102969999999997E-2</v>
      </c>
      <c r="J96">
        <v>0.51284759999999996</v>
      </c>
    </row>
    <row r="97" spans="1:10" x14ac:dyDescent="0.3">
      <c r="A97">
        <v>95</v>
      </c>
      <c r="B97">
        <v>1691</v>
      </c>
      <c r="C97" t="b">
        <v>1</v>
      </c>
      <c r="D97">
        <v>8088</v>
      </c>
      <c r="E97">
        <v>8184</v>
      </c>
      <c r="F97">
        <v>276.8</v>
      </c>
      <c r="G97">
        <v>289.8</v>
      </c>
      <c r="H97">
        <v>0.95514149999999998</v>
      </c>
      <c r="I97">
        <v>4.4858526000000003E-2</v>
      </c>
      <c r="J97">
        <v>0.51147189999999998</v>
      </c>
    </row>
    <row r="98" spans="1:10" x14ac:dyDescent="0.3">
      <c r="A98">
        <v>96</v>
      </c>
      <c r="B98">
        <v>1706</v>
      </c>
      <c r="C98" t="b">
        <v>1</v>
      </c>
      <c r="D98">
        <v>8128</v>
      </c>
      <c r="E98">
        <v>8232</v>
      </c>
      <c r="F98">
        <v>276.8</v>
      </c>
      <c r="G98">
        <v>288.2</v>
      </c>
      <c r="H98">
        <v>0.96044403</v>
      </c>
      <c r="I98">
        <v>3.9555949999999999E-2</v>
      </c>
      <c r="J98">
        <v>0.51008849999999994</v>
      </c>
    </row>
    <row r="99" spans="1:10" x14ac:dyDescent="0.3">
      <c r="A99">
        <v>97</v>
      </c>
      <c r="B99">
        <v>1722</v>
      </c>
      <c r="C99" t="b">
        <v>1</v>
      </c>
      <c r="D99">
        <v>8128</v>
      </c>
      <c r="E99">
        <v>8176</v>
      </c>
      <c r="F99">
        <v>277.86667</v>
      </c>
      <c r="G99">
        <v>286.60000000000002</v>
      </c>
      <c r="H99">
        <v>0.96952780000000005</v>
      </c>
      <c r="I99">
        <v>3.0472216999999999E-2</v>
      </c>
      <c r="J99">
        <v>0.50773590000000002</v>
      </c>
    </row>
    <row r="100" spans="1:10" x14ac:dyDescent="0.3">
      <c r="A100">
        <v>98</v>
      </c>
      <c r="B100">
        <v>1738</v>
      </c>
      <c r="C100" t="b">
        <v>1</v>
      </c>
      <c r="D100">
        <v>8088</v>
      </c>
      <c r="E100">
        <v>8200</v>
      </c>
      <c r="F100">
        <v>277.86667</v>
      </c>
      <c r="G100">
        <v>286.06668000000002</v>
      </c>
      <c r="H100">
        <v>0.97133530000000001</v>
      </c>
      <c r="I100">
        <v>2.8664688000000001E-2</v>
      </c>
      <c r="J100">
        <v>0.50727040000000001</v>
      </c>
    </row>
    <row r="101" spans="1:10" x14ac:dyDescent="0.3">
      <c r="A101">
        <v>99</v>
      </c>
      <c r="B101">
        <v>1754</v>
      </c>
      <c r="C101" t="b">
        <v>1</v>
      </c>
      <c r="D101">
        <v>8120</v>
      </c>
      <c r="E101">
        <v>8216</v>
      </c>
      <c r="F101">
        <v>278.39999999999998</v>
      </c>
      <c r="G101">
        <v>285.53332999999998</v>
      </c>
      <c r="H101">
        <v>0.97501749999999998</v>
      </c>
      <c r="I101">
        <v>2.4982482E-2</v>
      </c>
      <c r="J101">
        <v>0.50632460000000001</v>
      </c>
    </row>
    <row r="102" spans="1:10" x14ac:dyDescent="0.3">
      <c r="A102">
        <v>100</v>
      </c>
      <c r="B102">
        <v>1786</v>
      </c>
      <c r="C102" t="b">
        <v>1</v>
      </c>
      <c r="D102">
        <v>8104</v>
      </c>
      <c r="E102">
        <v>8184</v>
      </c>
      <c r="F102">
        <v>278.93331999999998</v>
      </c>
      <c r="G102">
        <v>285.53332999999998</v>
      </c>
      <c r="H102">
        <v>0.97688529999999996</v>
      </c>
      <c r="I102">
        <v>2.3114659999999999E-2</v>
      </c>
      <c r="J102">
        <v>0.50584620000000002</v>
      </c>
    </row>
    <row r="103" spans="1:10" x14ac:dyDescent="0.3">
      <c r="A103">
        <v>101</v>
      </c>
      <c r="B103">
        <v>1802</v>
      </c>
      <c r="C103" t="b">
        <v>1</v>
      </c>
      <c r="D103">
        <v>8104</v>
      </c>
      <c r="E103">
        <v>8208</v>
      </c>
      <c r="F103">
        <v>277.86667</v>
      </c>
      <c r="G103">
        <v>285.53332999999998</v>
      </c>
      <c r="H103">
        <v>0.97314970000000001</v>
      </c>
      <c r="I103">
        <v>2.6850303999999998E-2</v>
      </c>
      <c r="J103">
        <v>0.50680389999999997</v>
      </c>
    </row>
    <row r="104" spans="1:10" x14ac:dyDescent="0.3">
      <c r="A104">
        <v>102</v>
      </c>
      <c r="B104">
        <v>1818</v>
      </c>
      <c r="C104" t="b">
        <v>1</v>
      </c>
      <c r="D104">
        <v>8128</v>
      </c>
      <c r="E104">
        <v>8184</v>
      </c>
      <c r="F104">
        <v>276.26666</v>
      </c>
      <c r="G104">
        <v>286.06668000000002</v>
      </c>
      <c r="H104">
        <v>0.9657422</v>
      </c>
      <c r="I104">
        <v>3.425781E-2</v>
      </c>
      <c r="J104">
        <v>0.50871365999999996</v>
      </c>
    </row>
    <row r="105" spans="1:10" x14ac:dyDescent="0.3">
      <c r="A105">
        <v>103</v>
      </c>
      <c r="B105">
        <v>1834</v>
      </c>
      <c r="C105" t="b">
        <v>1</v>
      </c>
      <c r="D105">
        <v>8128</v>
      </c>
      <c r="E105">
        <v>8192</v>
      </c>
      <c r="F105">
        <v>275.73334</v>
      </c>
      <c r="G105">
        <v>285.53332999999998</v>
      </c>
      <c r="H105">
        <v>0.96567833000000003</v>
      </c>
      <c r="I105">
        <v>3.4321695999999999E-2</v>
      </c>
      <c r="J105">
        <v>0.50873022999999995</v>
      </c>
    </row>
    <row r="106" spans="1:10" x14ac:dyDescent="0.3">
      <c r="A106">
        <v>104</v>
      </c>
      <c r="B106">
        <v>1850</v>
      </c>
      <c r="C106" t="b">
        <v>1</v>
      </c>
      <c r="D106">
        <v>8072</v>
      </c>
      <c r="E106">
        <v>8208</v>
      </c>
      <c r="F106">
        <v>274.13333</v>
      </c>
      <c r="G106">
        <v>285</v>
      </c>
      <c r="H106">
        <v>0.96187129999999998</v>
      </c>
      <c r="I106">
        <v>3.8128663E-2</v>
      </c>
      <c r="J106">
        <v>0.50971745999999996</v>
      </c>
    </row>
    <row r="107" spans="1:10" x14ac:dyDescent="0.3">
      <c r="A107">
        <v>105</v>
      </c>
      <c r="B107">
        <v>1866</v>
      </c>
      <c r="C107" t="b">
        <v>1</v>
      </c>
      <c r="D107">
        <v>8128</v>
      </c>
      <c r="E107">
        <v>8176</v>
      </c>
      <c r="F107">
        <v>274.66665999999998</v>
      </c>
      <c r="G107">
        <v>284.46667000000002</v>
      </c>
      <c r="H107">
        <v>0.96554949999999995</v>
      </c>
      <c r="I107">
        <v>3.4450496999999997E-2</v>
      </c>
      <c r="J107">
        <v>0.50876359999999998</v>
      </c>
    </row>
    <row r="108" spans="1:10" x14ac:dyDescent="0.3">
      <c r="A108">
        <v>106</v>
      </c>
      <c r="B108">
        <v>1882</v>
      </c>
      <c r="C108" t="b">
        <v>1</v>
      </c>
      <c r="D108">
        <v>8136</v>
      </c>
      <c r="E108">
        <v>8208</v>
      </c>
      <c r="F108">
        <v>275.2</v>
      </c>
      <c r="G108">
        <v>282.86667</v>
      </c>
      <c r="H108">
        <v>0.9728966</v>
      </c>
      <c r="I108">
        <v>2.7103427999999999E-2</v>
      </c>
      <c r="J108">
        <v>0.50686896000000004</v>
      </c>
    </row>
    <row r="109" spans="1:10" x14ac:dyDescent="0.3">
      <c r="A109">
        <v>107</v>
      </c>
      <c r="B109">
        <v>1898</v>
      </c>
      <c r="C109" t="b">
        <v>1</v>
      </c>
      <c r="D109">
        <v>8096</v>
      </c>
      <c r="E109">
        <v>8200</v>
      </c>
      <c r="F109">
        <v>276.8</v>
      </c>
      <c r="G109">
        <v>281.8</v>
      </c>
      <c r="H109">
        <v>0.98225689999999999</v>
      </c>
      <c r="I109">
        <v>1.7743080000000001E-2</v>
      </c>
      <c r="J109">
        <v>0.50447549999999997</v>
      </c>
    </row>
    <row r="110" spans="1:10" x14ac:dyDescent="0.3">
      <c r="A110">
        <v>108</v>
      </c>
      <c r="B110">
        <v>1929</v>
      </c>
      <c r="C110" t="b">
        <v>1</v>
      </c>
      <c r="D110">
        <v>8120</v>
      </c>
      <c r="E110">
        <v>8200</v>
      </c>
      <c r="F110">
        <v>276.8</v>
      </c>
      <c r="G110">
        <v>280.73334</v>
      </c>
      <c r="H110">
        <v>0.98598903000000004</v>
      </c>
      <c r="I110">
        <v>1.4010982E-2</v>
      </c>
      <c r="J110">
        <v>0.50352746000000004</v>
      </c>
    </row>
    <row r="111" spans="1:10" x14ac:dyDescent="0.3">
      <c r="A111">
        <v>109</v>
      </c>
      <c r="B111">
        <v>1961</v>
      </c>
      <c r="C111" t="b">
        <v>1</v>
      </c>
      <c r="D111">
        <v>8088</v>
      </c>
      <c r="E111">
        <v>8224</v>
      </c>
      <c r="F111">
        <v>277.33334000000002</v>
      </c>
      <c r="G111">
        <v>279.66665999999998</v>
      </c>
      <c r="H111">
        <v>0.9916568</v>
      </c>
      <c r="I111">
        <v>8.343194E-3</v>
      </c>
      <c r="J111">
        <v>0.5020945</v>
      </c>
    </row>
    <row r="112" spans="1:10" x14ac:dyDescent="0.3">
      <c r="A112">
        <v>110</v>
      </c>
      <c r="B112">
        <v>1977</v>
      </c>
      <c r="C112" t="b">
        <v>1</v>
      </c>
      <c r="D112">
        <v>8128</v>
      </c>
      <c r="E112">
        <v>8168</v>
      </c>
      <c r="F112">
        <v>277.86667</v>
      </c>
      <c r="G112">
        <v>280.73334</v>
      </c>
      <c r="H112">
        <v>0.98978865000000005</v>
      </c>
      <c r="I112">
        <v>1.0211359E-2</v>
      </c>
      <c r="J112">
        <v>0.50256599999999996</v>
      </c>
    </row>
    <row r="113" spans="1:10" x14ac:dyDescent="0.3">
      <c r="A113">
        <v>111</v>
      </c>
      <c r="B113">
        <v>1993</v>
      </c>
      <c r="C113" t="b">
        <v>1</v>
      </c>
      <c r="D113">
        <v>8112</v>
      </c>
      <c r="E113">
        <v>8200</v>
      </c>
      <c r="F113">
        <v>277.86667</v>
      </c>
      <c r="G113">
        <v>281.8</v>
      </c>
      <c r="H113">
        <v>0.98604214000000001</v>
      </c>
      <c r="I113">
        <v>1.3957839E-2</v>
      </c>
      <c r="J113">
        <v>0.50351400000000002</v>
      </c>
    </row>
    <row r="114" spans="1:10" x14ac:dyDescent="0.3">
      <c r="A114">
        <v>112</v>
      </c>
      <c r="B114">
        <v>2008</v>
      </c>
      <c r="C114" t="b">
        <v>1</v>
      </c>
      <c r="D114">
        <v>8088</v>
      </c>
      <c r="E114">
        <v>8224</v>
      </c>
      <c r="F114">
        <v>276.8</v>
      </c>
      <c r="G114">
        <v>282.86667</v>
      </c>
      <c r="H114">
        <v>0.97855289999999995</v>
      </c>
      <c r="I114">
        <v>2.1447139E-2</v>
      </c>
      <c r="J114">
        <v>0.50541990000000003</v>
      </c>
    </row>
    <row r="115" spans="1:10" x14ac:dyDescent="0.3">
      <c r="A115">
        <v>113</v>
      </c>
      <c r="B115">
        <v>2024</v>
      </c>
      <c r="C115" t="b">
        <v>1</v>
      </c>
      <c r="D115">
        <v>8104</v>
      </c>
      <c r="E115">
        <v>8200</v>
      </c>
      <c r="F115">
        <v>276.26666</v>
      </c>
      <c r="G115">
        <v>282.86667</v>
      </c>
      <c r="H115">
        <v>0.97666739999999996</v>
      </c>
      <c r="I115">
        <v>2.333257E-2</v>
      </c>
      <c r="J115">
        <v>0.50590204999999999</v>
      </c>
    </row>
    <row r="116" spans="1:10" x14ac:dyDescent="0.3">
      <c r="A116">
        <v>114</v>
      </c>
      <c r="B116">
        <v>2040</v>
      </c>
      <c r="C116" t="b">
        <v>1</v>
      </c>
      <c r="D116">
        <v>8096</v>
      </c>
      <c r="E116">
        <v>8192</v>
      </c>
      <c r="F116">
        <v>275.2</v>
      </c>
      <c r="G116">
        <v>282.86667</v>
      </c>
      <c r="H116">
        <v>0.9728966</v>
      </c>
      <c r="I116">
        <v>2.7103427999999999E-2</v>
      </c>
      <c r="J116">
        <v>0.50686896000000004</v>
      </c>
    </row>
    <row r="117" spans="1:10" x14ac:dyDescent="0.3">
      <c r="A117">
        <v>115</v>
      </c>
      <c r="B117">
        <v>2056</v>
      </c>
      <c r="C117" t="b">
        <v>1</v>
      </c>
      <c r="D117">
        <v>8112</v>
      </c>
      <c r="E117">
        <v>8224</v>
      </c>
      <c r="F117">
        <v>274.13333</v>
      </c>
      <c r="G117">
        <v>282.86667</v>
      </c>
      <c r="H117">
        <v>0.96912560000000003</v>
      </c>
      <c r="I117">
        <v>3.0874395999999998E-2</v>
      </c>
      <c r="J117">
        <v>0.50783959999999995</v>
      </c>
    </row>
    <row r="118" spans="1:10" x14ac:dyDescent="0.3">
      <c r="A118">
        <v>116</v>
      </c>
      <c r="B118">
        <v>2072</v>
      </c>
      <c r="C118" t="b">
        <v>1</v>
      </c>
      <c r="D118">
        <v>8096</v>
      </c>
      <c r="E118">
        <v>8200</v>
      </c>
      <c r="F118">
        <v>273.60000000000002</v>
      </c>
      <c r="G118">
        <v>282.86667</v>
      </c>
      <c r="H118">
        <v>0.96724014999999997</v>
      </c>
      <c r="I118">
        <v>3.2759826999999998E-2</v>
      </c>
      <c r="J118">
        <v>0.50832635000000004</v>
      </c>
    </row>
    <row r="119" spans="1:10" x14ac:dyDescent="0.3">
      <c r="A119">
        <v>117</v>
      </c>
      <c r="B119">
        <v>2103</v>
      </c>
      <c r="C119" t="b">
        <v>1</v>
      </c>
      <c r="D119">
        <v>8080</v>
      </c>
      <c r="E119">
        <v>8224</v>
      </c>
      <c r="F119">
        <v>273.06668000000002</v>
      </c>
      <c r="G119">
        <v>282.86667</v>
      </c>
      <c r="H119">
        <v>0.96535473999999999</v>
      </c>
      <c r="I119">
        <v>3.4645255999999999E-2</v>
      </c>
      <c r="J119">
        <v>0.50881399999999999</v>
      </c>
    </row>
    <row r="120" spans="1:10" x14ac:dyDescent="0.3">
      <c r="A120">
        <v>118</v>
      </c>
      <c r="B120">
        <v>2119</v>
      </c>
      <c r="C120" t="b">
        <v>1</v>
      </c>
      <c r="D120">
        <v>8048</v>
      </c>
      <c r="E120">
        <v>8192</v>
      </c>
      <c r="F120">
        <v>271.46667000000002</v>
      </c>
      <c r="G120">
        <v>283.39999999999998</v>
      </c>
      <c r="H120">
        <v>0.95789230000000003</v>
      </c>
      <c r="I120">
        <v>4.2107690000000003E-2</v>
      </c>
      <c r="J120">
        <v>0.51075329999999997</v>
      </c>
    </row>
    <row r="121" spans="1:10" x14ac:dyDescent="0.3">
      <c r="A121">
        <v>119</v>
      </c>
      <c r="B121">
        <v>2135</v>
      </c>
      <c r="C121" t="b">
        <v>1</v>
      </c>
      <c r="D121">
        <v>8072</v>
      </c>
      <c r="E121">
        <v>8224</v>
      </c>
      <c r="F121">
        <v>269.86667</v>
      </c>
      <c r="G121">
        <v>285.53332999999998</v>
      </c>
      <c r="H121">
        <v>0.94513195999999999</v>
      </c>
      <c r="I121">
        <v>5.4868050000000002E-2</v>
      </c>
      <c r="J121">
        <v>0.51410389999999995</v>
      </c>
    </row>
    <row r="122" spans="1:10" x14ac:dyDescent="0.3">
      <c r="A122">
        <v>120</v>
      </c>
      <c r="B122">
        <v>2151</v>
      </c>
      <c r="C122" t="b">
        <v>1</v>
      </c>
      <c r="D122">
        <v>8104</v>
      </c>
      <c r="E122">
        <v>8200</v>
      </c>
      <c r="F122">
        <v>266.66665999999998</v>
      </c>
      <c r="G122">
        <v>286.06668000000002</v>
      </c>
      <c r="H122">
        <v>0.93218356000000002</v>
      </c>
      <c r="I122">
        <v>6.7816444000000004E-2</v>
      </c>
      <c r="J122">
        <v>0.51754915999999995</v>
      </c>
    </row>
    <row r="123" spans="1:10" x14ac:dyDescent="0.3">
      <c r="A123">
        <v>121</v>
      </c>
      <c r="B123">
        <v>2167</v>
      </c>
      <c r="C123" t="b">
        <v>1</v>
      </c>
      <c r="D123">
        <v>8104</v>
      </c>
      <c r="E123">
        <v>8208</v>
      </c>
      <c r="F123">
        <v>263.46667000000002</v>
      </c>
      <c r="G123">
        <v>287.13333</v>
      </c>
      <c r="H123">
        <v>0.91757610000000001</v>
      </c>
      <c r="I123">
        <v>8.2423924999999995E-2</v>
      </c>
      <c r="J123">
        <v>0.5214917</v>
      </c>
    </row>
    <row r="124" spans="1:10" x14ac:dyDescent="0.3">
      <c r="A124">
        <v>122</v>
      </c>
      <c r="B124">
        <v>2182</v>
      </c>
      <c r="C124" t="b">
        <v>1</v>
      </c>
      <c r="D124">
        <v>8120</v>
      </c>
      <c r="E124">
        <v>8216</v>
      </c>
      <c r="F124">
        <v>261.86667</v>
      </c>
      <c r="G124">
        <v>287.66665999999998</v>
      </c>
      <c r="H124">
        <v>0.91031289999999998</v>
      </c>
      <c r="I124">
        <v>8.9687100000000006E-2</v>
      </c>
      <c r="J124">
        <v>0.52347445000000004</v>
      </c>
    </row>
    <row r="125" spans="1:10" x14ac:dyDescent="0.3">
      <c r="A125">
        <v>123</v>
      </c>
      <c r="B125">
        <v>2198</v>
      </c>
      <c r="C125" t="b">
        <v>1</v>
      </c>
      <c r="D125">
        <v>8096</v>
      </c>
      <c r="E125">
        <v>8208</v>
      </c>
      <c r="F125">
        <v>260.8</v>
      </c>
      <c r="G125">
        <v>288.2</v>
      </c>
      <c r="H125">
        <v>0.90492709999999998</v>
      </c>
      <c r="I125">
        <v>9.5072950000000003E-2</v>
      </c>
      <c r="J125">
        <v>0.52495449999999999</v>
      </c>
    </row>
    <row r="126" spans="1:10" x14ac:dyDescent="0.3">
      <c r="A126">
        <v>124</v>
      </c>
      <c r="B126">
        <v>2214</v>
      </c>
      <c r="C126" t="b">
        <v>1</v>
      </c>
      <c r="D126">
        <v>8136</v>
      </c>
      <c r="E126">
        <v>8224</v>
      </c>
      <c r="F126">
        <v>259.73334</v>
      </c>
      <c r="G126">
        <v>288.73334</v>
      </c>
      <c r="H126">
        <v>0.89956130000000001</v>
      </c>
      <c r="I126">
        <v>0.10043870000000001</v>
      </c>
      <c r="J126">
        <v>0.52643733999999998</v>
      </c>
    </row>
    <row r="127" spans="1:10" x14ac:dyDescent="0.3">
      <c r="A127">
        <v>125</v>
      </c>
      <c r="B127">
        <v>2247</v>
      </c>
      <c r="C127" t="b">
        <v>1</v>
      </c>
      <c r="D127">
        <v>8120</v>
      </c>
      <c r="E127">
        <v>8192</v>
      </c>
      <c r="F127">
        <v>259.73334</v>
      </c>
      <c r="G127">
        <v>289.26666</v>
      </c>
      <c r="H127">
        <v>0.8979028</v>
      </c>
      <c r="I127">
        <v>0.10209723</v>
      </c>
      <c r="J127">
        <v>0.52689739999999996</v>
      </c>
    </row>
    <row r="128" spans="1:10" x14ac:dyDescent="0.3">
      <c r="A128">
        <v>126</v>
      </c>
      <c r="B128">
        <v>2262</v>
      </c>
      <c r="C128" t="b">
        <v>1</v>
      </c>
      <c r="D128">
        <v>8088</v>
      </c>
      <c r="E128">
        <v>8208</v>
      </c>
      <c r="F128">
        <v>260.26666</v>
      </c>
      <c r="G128">
        <v>289.8</v>
      </c>
      <c r="H128">
        <v>0.89809066000000004</v>
      </c>
      <c r="I128">
        <v>0.10190934</v>
      </c>
      <c r="J128">
        <v>0.52684520000000001</v>
      </c>
    </row>
    <row r="129" spans="1:10" x14ac:dyDescent="0.3">
      <c r="A129">
        <v>127</v>
      </c>
      <c r="B129">
        <v>2278</v>
      </c>
      <c r="C129" t="b">
        <v>1</v>
      </c>
      <c r="D129">
        <v>8112</v>
      </c>
      <c r="E129">
        <v>8200</v>
      </c>
      <c r="F129">
        <v>260.26666</v>
      </c>
      <c r="G129">
        <v>290.33334000000002</v>
      </c>
      <c r="H129">
        <v>0.89644080000000004</v>
      </c>
      <c r="I129">
        <v>0.10355917000000001</v>
      </c>
      <c r="J129">
        <v>0.52730359999999998</v>
      </c>
    </row>
    <row r="130" spans="1:10" x14ac:dyDescent="0.3">
      <c r="A130">
        <v>128</v>
      </c>
      <c r="B130">
        <v>2294</v>
      </c>
      <c r="C130" t="b">
        <v>1</v>
      </c>
      <c r="D130">
        <v>8048</v>
      </c>
      <c r="E130">
        <v>8216</v>
      </c>
      <c r="F130">
        <v>260.8</v>
      </c>
      <c r="G130">
        <v>290.86667</v>
      </c>
      <c r="H130">
        <v>0.8966307</v>
      </c>
      <c r="I130">
        <v>0.10336929</v>
      </c>
      <c r="J130">
        <v>0.52725080000000002</v>
      </c>
    </row>
    <row r="131" spans="1:10" x14ac:dyDescent="0.3">
      <c r="A131">
        <v>129</v>
      </c>
      <c r="B131">
        <v>2326</v>
      </c>
      <c r="C131" t="b">
        <v>1</v>
      </c>
      <c r="D131">
        <v>8104</v>
      </c>
      <c r="E131">
        <v>8200</v>
      </c>
      <c r="F131">
        <v>260.8</v>
      </c>
      <c r="G131">
        <v>290.86667</v>
      </c>
      <c r="H131">
        <v>0.8966307</v>
      </c>
      <c r="I131">
        <v>0.10336929</v>
      </c>
      <c r="J131">
        <v>0.52725080000000002</v>
      </c>
    </row>
    <row r="132" spans="1:10" x14ac:dyDescent="0.3">
      <c r="A132">
        <v>130</v>
      </c>
      <c r="B132">
        <v>2342</v>
      </c>
      <c r="C132" t="b">
        <v>1</v>
      </c>
      <c r="D132">
        <v>8168</v>
      </c>
      <c r="E132">
        <v>8200</v>
      </c>
      <c r="F132">
        <v>260.8</v>
      </c>
      <c r="G132">
        <v>290.86667</v>
      </c>
      <c r="H132">
        <v>0.8966307</v>
      </c>
      <c r="I132">
        <v>0.10336929</v>
      </c>
      <c r="J132">
        <v>0.52725080000000002</v>
      </c>
    </row>
    <row r="133" spans="1:10" x14ac:dyDescent="0.3">
      <c r="A133">
        <v>131</v>
      </c>
      <c r="B133">
        <v>2358</v>
      </c>
      <c r="C133" t="b">
        <v>1</v>
      </c>
      <c r="D133">
        <v>8112</v>
      </c>
      <c r="E133">
        <v>8176</v>
      </c>
      <c r="F133">
        <v>261.86667</v>
      </c>
      <c r="G133">
        <v>290.86667</v>
      </c>
      <c r="H133">
        <v>0.90029793999999996</v>
      </c>
      <c r="I133">
        <v>9.9702040000000006E-2</v>
      </c>
      <c r="J133">
        <v>0.52623326000000004</v>
      </c>
    </row>
    <row r="134" spans="1:10" x14ac:dyDescent="0.3">
      <c r="A134">
        <v>132</v>
      </c>
      <c r="B134">
        <v>2374</v>
      </c>
      <c r="C134" t="b">
        <v>1</v>
      </c>
      <c r="D134">
        <v>8144</v>
      </c>
      <c r="E134">
        <v>8200</v>
      </c>
      <c r="F134">
        <v>262.93331999999998</v>
      </c>
      <c r="G134">
        <v>290.86667</v>
      </c>
      <c r="H134">
        <v>0.90396509999999997</v>
      </c>
      <c r="I134">
        <v>9.6034889999999998E-2</v>
      </c>
      <c r="J134">
        <v>0.52521974000000005</v>
      </c>
    </row>
    <row r="135" spans="1:10" x14ac:dyDescent="0.3">
      <c r="A135">
        <v>133</v>
      </c>
      <c r="B135">
        <v>2389</v>
      </c>
      <c r="C135" t="b">
        <v>1</v>
      </c>
      <c r="D135">
        <v>8064</v>
      </c>
      <c r="E135">
        <v>8224</v>
      </c>
      <c r="F135">
        <v>264</v>
      </c>
      <c r="G135">
        <v>290.86667</v>
      </c>
      <c r="H135">
        <v>0.90763234999999998</v>
      </c>
      <c r="I135">
        <v>9.2367640000000001E-2</v>
      </c>
      <c r="J135">
        <v>0.52420999999999995</v>
      </c>
    </row>
    <row r="136" spans="1:10" x14ac:dyDescent="0.3">
      <c r="A136">
        <v>134</v>
      </c>
      <c r="B136">
        <v>2406</v>
      </c>
      <c r="C136" t="b">
        <v>1</v>
      </c>
      <c r="D136">
        <v>8104</v>
      </c>
      <c r="E136">
        <v>8208</v>
      </c>
      <c r="F136">
        <v>266.13333</v>
      </c>
      <c r="G136">
        <v>289.26666</v>
      </c>
      <c r="H136">
        <v>0.9200277</v>
      </c>
      <c r="I136">
        <v>7.9972340000000003E-2</v>
      </c>
      <c r="J136">
        <v>0.52082580000000001</v>
      </c>
    </row>
    <row r="137" spans="1:10" x14ac:dyDescent="0.3">
      <c r="A137">
        <v>135</v>
      </c>
      <c r="B137">
        <v>2421</v>
      </c>
      <c r="C137" t="b">
        <v>1</v>
      </c>
      <c r="D137">
        <v>8104</v>
      </c>
      <c r="E137">
        <v>8192</v>
      </c>
      <c r="F137">
        <v>267.73334</v>
      </c>
      <c r="G137">
        <v>289.26666</v>
      </c>
      <c r="H137">
        <v>0.92555889999999996</v>
      </c>
      <c r="I137">
        <v>7.4441090000000001E-2</v>
      </c>
      <c r="J137">
        <v>0.51932970000000001</v>
      </c>
    </row>
    <row r="138" spans="1:10" x14ac:dyDescent="0.3">
      <c r="A138">
        <v>136</v>
      </c>
      <c r="B138">
        <v>2437</v>
      </c>
      <c r="C138" t="b">
        <v>1</v>
      </c>
      <c r="D138">
        <v>8040</v>
      </c>
      <c r="E138">
        <v>8200</v>
      </c>
      <c r="F138">
        <v>269.33334000000002</v>
      </c>
      <c r="G138">
        <v>288.73334</v>
      </c>
      <c r="H138">
        <v>0.93281000000000003</v>
      </c>
      <c r="I138">
        <v>6.7190009999999994E-2</v>
      </c>
      <c r="J138">
        <v>0.51738139999999999</v>
      </c>
    </row>
    <row r="139" spans="1:10" x14ac:dyDescent="0.3">
      <c r="A139">
        <v>137</v>
      </c>
      <c r="B139">
        <v>2453</v>
      </c>
      <c r="C139" t="b">
        <v>1</v>
      </c>
      <c r="D139">
        <v>8128</v>
      </c>
      <c r="E139">
        <v>8224</v>
      </c>
      <c r="F139">
        <v>269.33334000000002</v>
      </c>
      <c r="G139">
        <v>288.73334</v>
      </c>
      <c r="H139">
        <v>0.93281000000000003</v>
      </c>
      <c r="I139">
        <v>6.7190009999999994E-2</v>
      </c>
      <c r="J139">
        <v>0.51738139999999999</v>
      </c>
    </row>
    <row r="140" spans="1:10" x14ac:dyDescent="0.3">
      <c r="A140">
        <v>138</v>
      </c>
      <c r="B140">
        <v>2484</v>
      </c>
      <c r="C140" t="b">
        <v>1</v>
      </c>
      <c r="D140">
        <v>8104</v>
      </c>
      <c r="E140">
        <v>8216</v>
      </c>
      <c r="F140">
        <v>269.33334000000002</v>
      </c>
      <c r="G140">
        <v>288.73334</v>
      </c>
      <c r="H140">
        <v>0.93281000000000003</v>
      </c>
      <c r="I140">
        <v>6.7190009999999994E-2</v>
      </c>
      <c r="J140">
        <v>0.51738139999999999</v>
      </c>
    </row>
    <row r="141" spans="1:10" x14ac:dyDescent="0.3">
      <c r="A141">
        <v>139</v>
      </c>
      <c r="B141">
        <v>2500</v>
      </c>
      <c r="C141" t="b">
        <v>1</v>
      </c>
      <c r="D141">
        <v>8072</v>
      </c>
      <c r="E141">
        <v>8200</v>
      </c>
      <c r="F141">
        <v>269.33334000000002</v>
      </c>
      <c r="G141">
        <v>288.2</v>
      </c>
      <c r="H141">
        <v>0.93453620000000004</v>
      </c>
      <c r="I141">
        <v>6.5463800000000003E-2</v>
      </c>
      <c r="J141">
        <v>0.51691980000000004</v>
      </c>
    </row>
    <row r="142" spans="1:10" x14ac:dyDescent="0.3">
      <c r="A142">
        <v>140</v>
      </c>
      <c r="B142">
        <v>2516</v>
      </c>
      <c r="C142" t="b">
        <v>1</v>
      </c>
      <c r="D142">
        <v>8072</v>
      </c>
      <c r="E142">
        <v>8200</v>
      </c>
      <c r="F142">
        <v>266.13333</v>
      </c>
      <c r="G142">
        <v>287.66665999999998</v>
      </c>
      <c r="H142">
        <v>0.92514485000000002</v>
      </c>
      <c r="I142">
        <v>7.4855134000000004E-2</v>
      </c>
      <c r="J142">
        <v>0.51944140000000005</v>
      </c>
    </row>
    <row r="143" spans="1:10" x14ac:dyDescent="0.3">
      <c r="A143">
        <v>141</v>
      </c>
      <c r="B143">
        <v>2532</v>
      </c>
      <c r="C143" t="b">
        <v>1</v>
      </c>
      <c r="D143">
        <v>8128</v>
      </c>
      <c r="E143">
        <v>8216</v>
      </c>
      <c r="F143">
        <v>265.06668000000002</v>
      </c>
      <c r="G143">
        <v>288.2</v>
      </c>
      <c r="H143">
        <v>0.91973170000000004</v>
      </c>
      <c r="I143">
        <v>8.0268320000000004E-2</v>
      </c>
      <c r="J143">
        <v>0.52090610000000004</v>
      </c>
    </row>
    <row r="144" spans="1:10" x14ac:dyDescent="0.3">
      <c r="A144">
        <v>142</v>
      </c>
      <c r="B144">
        <v>2564</v>
      </c>
      <c r="C144" t="b">
        <v>1</v>
      </c>
      <c r="D144">
        <v>8096</v>
      </c>
      <c r="E144">
        <v>8184</v>
      </c>
      <c r="F144">
        <v>264</v>
      </c>
      <c r="G144">
        <v>287.66665999999998</v>
      </c>
      <c r="H144">
        <v>0.91772889999999996</v>
      </c>
      <c r="I144">
        <v>8.2271114000000006E-2</v>
      </c>
      <c r="J144">
        <v>0.52145016</v>
      </c>
    </row>
    <row r="145" spans="1:10" x14ac:dyDescent="0.3">
      <c r="A145">
        <v>143</v>
      </c>
      <c r="B145">
        <v>2596</v>
      </c>
      <c r="C145" t="b">
        <v>1</v>
      </c>
      <c r="D145">
        <v>8128</v>
      </c>
      <c r="E145">
        <v>8184</v>
      </c>
      <c r="F145">
        <v>262.93331999999998</v>
      </c>
      <c r="G145">
        <v>287.13333</v>
      </c>
      <c r="H145">
        <v>0.91571855999999996</v>
      </c>
      <c r="I145">
        <v>8.4281444999999997E-2</v>
      </c>
      <c r="J145">
        <v>0.52199733000000004</v>
      </c>
    </row>
    <row r="146" spans="1:10" x14ac:dyDescent="0.3">
      <c r="A146">
        <v>144</v>
      </c>
      <c r="B146">
        <v>2612</v>
      </c>
      <c r="C146" t="b">
        <v>1</v>
      </c>
      <c r="D146">
        <v>8088</v>
      </c>
      <c r="E146">
        <v>8192</v>
      </c>
      <c r="F146">
        <v>262.39999999999998</v>
      </c>
      <c r="G146">
        <v>286.60000000000002</v>
      </c>
      <c r="H146">
        <v>0.91556174000000001</v>
      </c>
      <c r="I146">
        <v>8.4438280000000004E-2</v>
      </c>
      <c r="J146">
        <v>0.52204006999999997</v>
      </c>
    </row>
    <row r="147" spans="1:10" x14ac:dyDescent="0.3">
      <c r="A147">
        <v>145</v>
      </c>
      <c r="B147">
        <v>2627</v>
      </c>
      <c r="C147" t="b">
        <v>1</v>
      </c>
      <c r="D147">
        <v>8128</v>
      </c>
      <c r="E147">
        <v>8200</v>
      </c>
      <c r="F147">
        <v>264</v>
      </c>
      <c r="G147">
        <v>286.06668000000002</v>
      </c>
      <c r="H147">
        <v>0.92286175000000004</v>
      </c>
      <c r="I147">
        <v>7.7138244999999994E-2</v>
      </c>
      <c r="J147">
        <v>0.52005820000000003</v>
      </c>
    </row>
    <row r="148" spans="1:10" x14ac:dyDescent="0.3">
      <c r="A148">
        <v>146</v>
      </c>
      <c r="B148">
        <v>2643</v>
      </c>
      <c r="C148" t="b">
        <v>1</v>
      </c>
      <c r="D148">
        <v>8128</v>
      </c>
      <c r="E148">
        <v>8224</v>
      </c>
      <c r="F148">
        <v>265.06668000000002</v>
      </c>
      <c r="G148">
        <v>285.53332999999998</v>
      </c>
      <c r="H148">
        <v>0.92832135999999998</v>
      </c>
      <c r="I148">
        <v>7.1678649999999997E-2</v>
      </c>
      <c r="J148">
        <v>0.51858579999999999</v>
      </c>
    </row>
    <row r="149" spans="1:10" x14ac:dyDescent="0.3">
      <c r="A149">
        <v>147</v>
      </c>
      <c r="B149">
        <v>2659</v>
      </c>
      <c r="C149" t="b">
        <v>1</v>
      </c>
      <c r="D149">
        <v>8152</v>
      </c>
      <c r="E149">
        <v>8216</v>
      </c>
      <c r="F149">
        <v>266.13333</v>
      </c>
      <c r="G149">
        <v>285.53332999999998</v>
      </c>
      <c r="H149">
        <v>0.93205696000000005</v>
      </c>
      <c r="I149">
        <v>6.7943013999999996E-2</v>
      </c>
      <c r="J149">
        <v>0.51758313</v>
      </c>
    </row>
    <row r="150" spans="1:10" x14ac:dyDescent="0.3">
      <c r="A150">
        <v>148</v>
      </c>
      <c r="B150">
        <v>2675</v>
      </c>
      <c r="C150" t="b">
        <v>1</v>
      </c>
      <c r="D150">
        <v>8072</v>
      </c>
      <c r="E150">
        <v>8184</v>
      </c>
      <c r="F150">
        <v>267.2</v>
      </c>
      <c r="G150">
        <v>285.53332999999998</v>
      </c>
      <c r="H150">
        <v>0.93579274000000001</v>
      </c>
      <c r="I150">
        <v>6.4207260000000002E-2</v>
      </c>
      <c r="J150">
        <v>0.51658420000000005</v>
      </c>
    </row>
    <row r="151" spans="1:10" x14ac:dyDescent="0.3">
      <c r="A151">
        <v>149</v>
      </c>
      <c r="B151">
        <v>2691</v>
      </c>
      <c r="C151" t="b">
        <v>1</v>
      </c>
      <c r="D151">
        <v>8104</v>
      </c>
      <c r="E151">
        <v>8208</v>
      </c>
      <c r="F151">
        <v>268.26666</v>
      </c>
      <c r="G151">
        <v>286.06668000000002</v>
      </c>
      <c r="H151">
        <v>0.93777670000000002</v>
      </c>
      <c r="I151">
        <v>6.2223319999999999E-2</v>
      </c>
      <c r="J151">
        <v>0.51605529999999999</v>
      </c>
    </row>
    <row r="152" spans="1:10" x14ac:dyDescent="0.3">
      <c r="A152">
        <v>150</v>
      </c>
      <c r="B152">
        <v>2707</v>
      </c>
      <c r="C152" t="b">
        <v>1</v>
      </c>
      <c r="D152">
        <v>8120</v>
      </c>
      <c r="E152">
        <v>8216</v>
      </c>
      <c r="F152">
        <v>269.33334000000002</v>
      </c>
      <c r="G152">
        <v>287.13333</v>
      </c>
      <c r="H152">
        <v>0.93800795000000003</v>
      </c>
      <c r="I152">
        <v>6.1992064E-2</v>
      </c>
      <c r="J152">
        <v>0.51599379999999995</v>
      </c>
    </row>
    <row r="153" spans="1:10" x14ac:dyDescent="0.3">
      <c r="A153">
        <v>151</v>
      </c>
      <c r="B153">
        <v>2723</v>
      </c>
      <c r="C153" t="b">
        <v>1</v>
      </c>
      <c r="D153">
        <v>8104</v>
      </c>
      <c r="E153">
        <v>8192</v>
      </c>
      <c r="F153">
        <v>269.33334000000002</v>
      </c>
      <c r="G153">
        <v>287.66665999999998</v>
      </c>
      <c r="H153">
        <v>0.93626889999999996</v>
      </c>
      <c r="I153">
        <v>6.3731103999999997E-2</v>
      </c>
      <c r="J153">
        <v>0.51645719999999995</v>
      </c>
    </row>
    <row r="154" spans="1:10" x14ac:dyDescent="0.3">
      <c r="A154">
        <v>152</v>
      </c>
      <c r="B154">
        <v>2739</v>
      </c>
      <c r="C154" t="b">
        <v>1</v>
      </c>
      <c r="D154">
        <v>8144</v>
      </c>
      <c r="E154">
        <v>8200</v>
      </c>
      <c r="F154">
        <v>269.33334000000002</v>
      </c>
      <c r="G154">
        <v>287.13333</v>
      </c>
      <c r="H154">
        <v>0.93800795000000003</v>
      </c>
      <c r="I154">
        <v>6.1992064E-2</v>
      </c>
      <c r="J154">
        <v>0.51599379999999995</v>
      </c>
    </row>
    <row r="155" spans="1:10" x14ac:dyDescent="0.3">
      <c r="A155">
        <v>153</v>
      </c>
      <c r="B155">
        <v>2755</v>
      </c>
      <c r="C155" t="b">
        <v>1</v>
      </c>
      <c r="D155">
        <v>8144</v>
      </c>
      <c r="E155">
        <v>8200</v>
      </c>
      <c r="F155">
        <v>270.39999999999998</v>
      </c>
      <c r="G155">
        <v>286.60000000000002</v>
      </c>
      <c r="H155">
        <v>0.94347519999999996</v>
      </c>
      <c r="I155">
        <v>5.6524813E-2</v>
      </c>
      <c r="J155">
        <v>0.51454219999999995</v>
      </c>
    </row>
    <row r="156" spans="1:10" x14ac:dyDescent="0.3">
      <c r="A156">
        <v>154</v>
      </c>
      <c r="B156">
        <v>2770</v>
      </c>
      <c r="C156" t="b">
        <v>1</v>
      </c>
      <c r="D156">
        <v>8128</v>
      </c>
      <c r="E156">
        <v>8192</v>
      </c>
      <c r="F156">
        <v>272</v>
      </c>
      <c r="G156">
        <v>286.60000000000002</v>
      </c>
      <c r="H156">
        <v>0.94905790000000001</v>
      </c>
      <c r="I156">
        <v>5.0942099999999997E-2</v>
      </c>
      <c r="J156">
        <v>0.51306843999999996</v>
      </c>
    </row>
    <row r="157" spans="1:10" x14ac:dyDescent="0.3">
      <c r="A157">
        <v>155</v>
      </c>
      <c r="B157">
        <v>2787</v>
      </c>
      <c r="C157" t="b">
        <v>1</v>
      </c>
      <c r="D157">
        <v>8056</v>
      </c>
      <c r="E157">
        <v>8200</v>
      </c>
      <c r="F157">
        <v>275.73334</v>
      </c>
      <c r="G157">
        <v>286.60000000000002</v>
      </c>
      <c r="H157">
        <v>0.96208419999999994</v>
      </c>
      <c r="I157">
        <v>3.79158E-2</v>
      </c>
      <c r="J157">
        <v>0.50966210000000001</v>
      </c>
    </row>
    <row r="158" spans="1:10" x14ac:dyDescent="0.3">
      <c r="A158">
        <v>156</v>
      </c>
      <c r="B158">
        <v>2803</v>
      </c>
      <c r="C158" t="b">
        <v>1</v>
      </c>
      <c r="D158">
        <v>8080</v>
      </c>
      <c r="E158">
        <v>8208</v>
      </c>
      <c r="F158">
        <v>277.33334000000002</v>
      </c>
      <c r="G158">
        <v>285.53332999999998</v>
      </c>
      <c r="H158">
        <v>0.97128190000000003</v>
      </c>
      <c r="I158">
        <v>2.8718125000000001E-2</v>
      </c>
      <c r="J158">
        <v>0.50728410000000002</v>
      </c>
    </row>
    <row r="159" spans="1:10" x14ac:dyDescent="0.3">
      <c r="A159">
        <v>157</v>
      </c>
      <c r="B159">
        <v>2834</v>
      </c>
      <c r="C159" t="b">
        <v>1</v>
      </c>
      <c r="D159">
        <v>8120</v>
      </c>
      <c r="E159">
        <v>8184</v>
      </c>
      <c r="F159">
        <v>278.93331999999998</v>
      </c>
      <c r="G159">
        <v>285.53332999999998</v>
      </c>
      <c r="H159">
        <v>0.97688529999999996</v>
      </c>
      <c r="I159">
        <v>2.3114659999999999E-2</v>
      </c>
      <c r="J159">
        <v>0.50584620000000002</v>
      </c>
    </row>
    <row r="160" spans="1:10" x14ac:dyDescent="0.3">
      <c r="A160">
        <v>158</v>
      </c>
      <c r="B160">
        <v>2866</v>
      </c>
      <c r="C160" t="b">
        <v>1</v>
      </c>
      <c r="D160">
        <v>8144</v>
      </c>
      <c r="E160">
        <v>8208</v>
      </c>
      <c r="F160">
        <v>280.53332999999998</v>
      </c>
      <c r="G160">
        <v>285.53332999999998</v>
      </c>
      <c r="H160">
        <v>0.98248893000000004</v>
      </c>
      <c r="I160">
        <v>1.751109E-2</v>
      </c>
      <c r="J160">
        <v>0.50441647000000001</v>
      </c>
    </row>
    <row r="161" spans="1:10" x14ac:dyDescent="0.3">
      <c r="A161">
        <v>159</v>
      </c>
      <c r="B161">
        <v>2897</v>
      </c>
      <c r="C161" t="b">
        <v>1</v>
      </c>
      <c r="D161">
        <v>8096</v>
      </c>
      <c r="E161">
        <v>8208</v>
      </c>
      <c r="F161">
        <v>280.53332999999998</v>
      </c>
      <c r="G161">
        <v>286.60000000000002</v>
      </c>
      <c r="H161">
        <v>0.97883224000000002</v>
      </c>
      <c r="I161">
        <v>2.1167762999999999E-2</v>
      </c>
      <c r="J161">
        <v>0.50534855999999995</v>
      </c>
    </row>
    <row r="162" spans="1:10" x14ac:dyDescent="0.3">
      <c r="A162">
        <v>160</v>
      </c>
      <c r="B162">
        <v>2915</v>
      </c>
      <c r="C162" t="b">
        <v>1</v>
      </c>
      <c r="D162">
        <v>8064</v>
      </c>
      <c r="E162">
        <v>8192</v>
      </c>
      <c r="F162">
        <v>278.39999999999998</v>
      </c>
      <c r="G162">
        <v>287.66665999999998</v>
      </c>
      <c r="H162">
        <v>0.96778679999999995</v>
      </c>
      <c r="I162">
        <v>3.2213195999999999E-2</v>
      </c>
      <c r="J162">
        <v>0.50818514999999997</v>
      </c>
    </row>
    <row r="163" spans="1:10" x14ac:dyDescent="0.3">
      <c r="A163">
        <v>161</v>
      </c>
      <c r="B163">
        <v>2934</v>
      </c>
      <c r="C163" t="b">
        <v>1</v>
      </c>
      <c r="D163">
        <v>8128</v>
      </c>
      <c r="E163">
        <v>8184</v>
      </c>
      <c r="F163">
        <v>277.86667</v>
      </c>
      <c r="G163">
        <v>287.66665999999998</v>
      </c>
      <c r="H163">
        <v>0.96593284999999995</v>
      </c>
      <c r="I163">
        <v>3.4067165000000003E-2</v>
      </c>
      <c r="J163">
        <v>0.50866436999999998</v>
      </c>
    </row>
    <row r="164" spans="1:10" x14ac:dyDescent="0.3">
      <c r="A164">
        <v>162</v>
      </c>
      <c r="B164">
        <v>2950</v>
      </c>
      <c r="C164" t="b">
        <v>1</v>
      </c>
      <c r="D164">
        <v>8128</v>
      </c>
      <c r="E164">
        <v>8192</v>
      </c>
      <c r="F164">
        <v>277.86667</v>
      </c>
      <c r="G164">
        <v>287.13333</v>
      </c>
      <c r="H164">
        <v>0.96772694999999997</v>
      </c>
      <c r="I164">
        <v>3.2273030000000001E-2</v>
      </c>
      <c r="J164">
        <v>0.5082006</v>
      </c>
    </row>
    <row r="165" spans="1:10" x14ac:dyDescent="0.3">
      <c r="A165">
        <v>163</v>
      </c>
      <c r="B165">
        <v>2966</v>
      </c>
      <c r="C165" t="b">
        <v>1</v>
      </c>
      <c r="D165">
        <v>8128</v>
      </c>
      <c r="E165">
        <v>8200</v>
      </c>
      <c r="F165">
        <v>277.86667</v>
      </c>
      <c r="G165">
        <v>286.60000000000002</v>
      </c>
      <c r="H165">
        <v>0.96952780000000005</v>
      </c>
      <c r="I165">
        <v>3.0472216999999999E-2</v>
      </c>
      <c r="J165">
        <v>0.50773590000000002</v>
      </c>
    </row>
    <row r="166" spans="1:10" x14ac:dyDescent="0.3">
      <c r="A166">
        <v>164</v>
      </c>
      <c r="B166">
        <v>2981</v>
      </c>
      <c r="C166" t="b">
        <v>1</v>
      </c>
      <c r="D166">
        <v>8160</v>
      </c>
      <c r="E166">
        <v>8200</v>
      </c>
      <c r="F166">
        <v>277.86667</v>
      </c>
      <c r="G166">
        <v>285.53332999999998</v>
      </c>
      <c r="H166">
        <v>0.97314970000000001</v>
      </c>
      <c r="I166">
        <v>2.6850303999999998E-2</v>
      </c>
      <c r="J166">
        <v>0.50680389999999997</v>
      </c>
    </row>
    <row r="167" spans="1:10" x14ac:dyDescent="0.3">
      <c r="A167">
        <v>165</v>
      </c>
      <c r="B167">
        <v>2997</v>
      </c>
      <c r="C167" t="b">
        <v>1</v>
      </c>
      <c r="D167">
        <v>8088</v>
      </c>
      <c r="E167">
        <v>8200</v>
      </c>
      <c r="F167">
        <v>278.39999999999998</v>
      </c>
      <c r="G167">
        <v>284.46667000000002</v>
      </c>
      <c r="H167">
        <v>0.97867349999999997</v>
      </c>
      <c r="I167">
        <v>2.1326508000000001E-2</v>
      </c>
      <c r="J167">
        <v>0.50538910000000004</v>
      </c>
    </row>
    <row r="168" spans="1:10" x14ac:dyDescent="0.3">
      <c r="A168">
        <v>166</v>
      </c>
      <c r="B168">
        <v>3014</v>
      </c>
      <c r="C168" t="b">
        <v>1</v>
      </c>
      <c r="D168">
        <v>8104</v>
      </c>
      <c r="E168">
        <v>8216</v>
      </c>
      <c r="F168">
        <v>280</v>
      </c>
      <c r="G168">
        <v>283.93331999999998</v>
      </c>
      <c r="H168">
        <v>0.98614705000000002</v>
      </c>
      <c r="I168">
        <v>1.3852968E-2</v>
      </c>
      <c r="J168">
        <v>0.50348735</v>
      </c>
    </row>
    <row r="169" spans="1:10" x14ac:dyDescent="0.3">
      <c r="A169">
        <v>167</v>
      </c>
      <c r="B169">
        <v>3029</v>
      </c>
      <c r="C169" t="b">
        <v>1</v>
      </c>
      <c r="D169">
        <v>8080</v>
      </c>
      <c r="E169">
        <v>8192</v>
      </c>
      <c r="F169">
        <v>280</v>
      </c>
      <c r="G169">
        <v>283.93331999999998</v>
      </c>
      <c r="H169">
        <v>0.98614705000000002</v>
      </c>
      <c r="I169">
        <v>1.3852968E-2</v>
      </c>
      <c r="J169">
        <v>0.50348735</v>
      </c>
    </row>
    <row r="170" spans="1:10" x14ac:dyDescent="0.3">
      <c r="A170">
        <v>168</v>
      </c>
      <c r="B170">
        <v>3046</v>
      </c>
      <c r="C170" t="b">
        <v>1</v>
      </c>
      <c r="D170">
        <v>8104</v>
      </c>
      <c r="E170">
        <v>8200</v>
      </c>
      <c r="F170">
        <v>278.93331999999998</v>
      </c>
      <c r="G170">
        <v>283.93331999999998</v>
      </c>
      <c r="H170">
        <v>0.98239019999999999</v>
      </c>
      <c r="I170">
        <v>1.7609768000000001E-2</v>
      </c>
      <c r="J170">
        <v>0.50444155999999996</v>
      </c>
    </row>
    <row r="171" spans="1:10" x14ac:dyDescent="0.3">
      <c r="A171">
        <v>169</v>
      </c>
      <c r="B171">
        <v>3062</v>
      </c>
      <c r="C171" t="b">
        <v>1</v>
      </c>
      <c r="D171">
        <v>8048</v>
      </c>
      <c r="E171">
        <v>8208</v>
      </c>
      <c r="F171">
        <v>276.26666</v>
      </c>
      <c r="G171">
        <v>283.93331999999998</v>
      </c>
      <c r="H171">
        <v>0.97299840000000004</v>
      </c>
      <c r="I171">
        <v>2.7001609999999999E-2</v>
      </c>
      <c r="J171">
        <v>0.50684280000000004</v>
      </c>
    </row>
    <row r="172" spans="1:10" x14ac:dyDescent="0.3">
      <c r="A172">
        <v>170</v>
      </c>
      <c r="B172">
        <v>3078</v>
      </c>
      <c r="C172" t="b">
        <v>1</v>
      </c>
      <c r="D172">
        <v>8136</v>
      </c>
      <c r="E172">
        <v>8208</v>
      </c>
      <c r="F172">
        <v>274.66665999999998</v>
      </c>
      <c r="G172">
        <v>284.46667000000002</v>
      </c>
      <c r="H172">
        <v>0.96554949999999995</v>
      </c>
      <c r="I172">
        <v>3.4450496999999997E-2</v>
      </c>
      <c r="J172">
        <v>0.50876359999999998</v>
      </c>
    </row>
    <row r="173" spans="1:10" x14ac:dyDescent="0.3">
      <c r="A173">
        <v>171</v>
      </c>
      <c r="B173">
        <v>3094</v>
      </c>
      <c r="C173" t="b">
        <v>1</v>
      </c>
      <c r="D173">
        <v>8168</v>
      </c>
      <c r="E173">
        <v>8200</v>
      </c>
      <c r="F173">
        <v>273.06668000000002</v>
      </c>
      <c r="G173">
        <v>284.46667000000002</v>
      </c>
      <c r="H173">
        <v>0.95992506</v>
      </c>
      <c r="I173">
        <v>4.0074970000000001E-2</v>
      </c>
      <c r="J173">
        <v>0.5102236</v>
      </c>
    </row>
    <row r="174" spans="1:10" x14ac:dyDescent="0.3">
      <c r="A174">
        <v>172</v>
      </c>
      <c r="B174">
        <v>3109</v>
      </c>
      <c r="C174" t="b">
        <v>1</v>
      </c>
      <c r="D174">
        <v>8096</v>
      </c>
      <c r="E174">
        <v>8192</v>
      </c>
      <c r="F174">
        <v>272</v>
      </c>
      <c r="G174">
        <v>284.46667000000002</v>
      </c>
      <c r="H174">
        <v>0.95617527000000002</v>
      </c>
      <c r="I174">
        <v>4.3824729999999999E-2</v>
      </c>
      <c r="J174">
        <v>0.51120160000000003</v>
      </c>
    </row>
    <row r="175" spans="1:10" x14ac:dyDescent="0.3">
      <c r="A175">
        <v>173</v>
      </c>
      <c r="B175">
        <v>3125</v>
      </c>
      <c r="C175" t="b">
        <v>1</v>
      </c>
      <c r="D175">
        <v>8128</v>
      </c>
      <c r="E175">
        <v>8216</v>
      </c>
      <c r="F175">
        <v>272.53332999999998</v>
      </c>
      <c r="G175">
        <v>285</v>
      </c>
      <c r="H175">
        <v>0.95625729999999998</v>
      </c>
      <c r="I175">
        <v>4.3742719999999999E-2</v>
      </c>
      <c r="J175">
        <v>0.51118019999999997</v>
      </c>
    </row>
    <row r="176" spans="1:10" x14ac:dyDescent="0.3">
      <c r="A176">
        <v>174</v>
      </c>
      <c r="B176">
        <v>3141</v>
      </c>
      <c r="C176" t="b">
        <v>1</v>
      </c>
      <c r="D176">
        <v>8104</v>
      </c>
      <c r="E176">
        <v>8200</v>
      </c>
      <c r="F176">
        <v>274.66665999999998</v>
      </c>
      <c r="G176">
        <v>284.46667000000002</v>
      </c>
      <c r="H176">
        <v>0.96554949999999995</v>
      </c>
      <c r="I176">
        <v>3.4450496999999997E-2</v>
      </c>
      <c r="J176">
        <v>0.50876359999999998</v>
      </c>
    </row>
    <row r="177" spans="1:10" x14ac:dyDescent="0.3">
      <c r="A177">
        <v>175</v>
      </c>
      <c r="B177">
        <v>3157</v>
      </c>
      <c r="C177" t="b">
        <v>1</v>
      </c>
      <c r="D177">
        <v>8184</v>
      </c>
      <c r="E177">
        <v>8224</v>
      </c>
      <c r="F177">
        <v>276.8</v>
      </c>
      <c r="G177">
        <v>283.93331999999998</v>
      </c>
      <c r="H177">
        <v>0.97487676000000001</v>
      </c>
      <c r="I177">
        <v>2.5123263E-2</v>
      </c>
      <c r="J177">
        <v>0.50636077000000002</v>
      </c>
    </row>
    <row r="178" spans="1:10" x14ac:dyDescent="0.3">
      <c r="A178">
        <v>176</v>
      </c>
      <c r="B178">
        <v>3173</v>
      </c>
      <c r="C178" t="b">
        <v>1</v>
      </c>
      <c r="D178">
        <v>8048</v>
      </c>
      <c r="E178">
        <v>8224</v>
      </c>
      <c r="F178">
        <v>275.73334</v>
      </c>
      <c r="G178">
        <v>285.53332999999998</v>
      </c>
      <c r="H178">
        <v>0.96567833000000003</v>
      </c>
      <c r="I178">
        <v>3.4321695999999999E-2</v>
      </c>
      <c r="J178">
        <v>0.50873022999999995</v>
      </c>
    </row>
    <row r="179" spans="1:10" x14ac:dyDescent="0.3">
      <c r="A179">
        <v>177</v>
      </c>
      <c r="B179">
        <v>3189</v>
      </c>
      <c r="C179" t="b">
        <v>1</v>
      </c>
      <c r="D179">
        <v>8096</v>
      </c>
      <c r="E179">
        <v>8200</v>
      </c>
      <c r="F179">
        <v>274.13333</v>
      </c>
      <c r="G179">
        <v>287.13333</v>
      </c>
      <c r="H179">
        <v>0.95472484999999996</v>
      </c>
      <c r="I179">
        <v>4.5275133000000002E-2</v>
      </c>
      <c r="J179">
        <v>0.51158093999999998</v>
      </c>
    </row>
    <row r="180" spans="1:10" x14ac:dyDescent="0.3">
      <c r="A180">
        <v>178</v>
      </c>
      <c r="B180">
        <v>3205</v>
      </c>
      <c r="C180" t="b">
        <v>1</v>
      </c>
      <c r="D180">
        <v>8112</v>
      </c>
      <c r="E180">
        <v>8184</v>
      </c>
      <c r="F180">
        <v>272.53332999999998</v>
      </c>
      <c r="G180">
        <v>287.66665999999998</v>
      </c>
      <c r="H180">
        <v>0.94739280000000003</v>
      </c>
      <c r="I180">
        <v>5.2607180000000003E-2</v>
      </c>
      <c r="J180">
        <v>0.51350709999999999</v>
      </c>
    </row>
    <row r="181" spans="1:10" x14ac:dyDescent="0.3">
      <c r="A181">
        <v>179</v>
      </c>
      <c r="B181">
        <v>3221</v>
      </c>
      <c r="C181" t="b">
        <v>1</v>
      </c>
      <c r="D181">
        <v>8120</v>
      </c>
      <c r="E181">
        <v>8200</v>
      </c>
      <c r="F181">
        <v>271.46667000000002</v>
      </c>
      <c r="G181">
        <v>288.2</v>
      </c>
      <c r="H181">
        <v>0.94193846000000003</v>
      </c>
      <c r="I181">
        <v>5.8061544E-2</v>
      </c>
      <c r="J181">
        <v>0.5149494</v>
      </c>
    </row>
    <row r="182" spans="1:10" x14ac:dyDescent="0.3">
      <c r="A182">
        <v>180</v>
      </c>
      <c r="B182">
        <v>3237</v>
      </c>
      <c r="C182" t="b">
        <v>1</v>
      </c>
      <c r="D182">
        <v>8128</v>
      </c>
      <c r="E182">
        <v>8176</v>
      </c>
      <c r="F182">
        <v>270.39999999999998</v>
      </c>
      <c r="G182">
        <v>288.2</v>
      </c>
      <c r="H182">
        <v>0.93823725000000002</v>
      </c>
      <c r="I182">
        <v>6.1762723999999998E-2</v>
      </c>
      <c r="J182">
        <v>0.51593274</v>
      </c>
    </row>
    <row r="183" spans="1:10" x14ac:dyDescent="0.3">
      <c r="A183">
        <v>181</v>
      </c>
      <c r="B183">
        <v>3268</v>
      </c>
      <c r="C183" t="b">
        <v>1</v>
      </c>
      <c r="D183">
        <v>8088</v>
      </c>
      <c r="E183">
        <v>8224</v>
      </c>
      <c r="F183">
        <v>269.33334000000002</v>
      </c>
      <c r="G183">
        <v>288.2</v>
      </c>
      <c r="H183">
        <v>0.93453620000000004</v>
      </c>
      <c r="I183">
        <v>6.5463800000000003E-2</v>
      </c>
      <c r="J183">
        <v>0.51691980000000004</v>
      </c>
    </row>
    <row r="184" spans="1:10" x14ac:dyDescent="0.3">
      <c r="A184">
        <v>182</v>
      </c>
      <c r="B184">
        <v>3284</v>
      </c>
      <c r="C184" t="b">
        <v>1</v>
      </c>
      <c r="D184">
        <v>8136</v>
      </c>
      <c r="E184">
        <v>8208</v>
      </c>
      <c r="F184">
        <v>270.39999999999998</v>
      </c>
      <c r="G184">
        <v>288.2</v>
      </c>
      <c r="H184">
        <v>0.93823725000000002</v>
      </c>
      <c r="I184">
        <v>6.1762723999999998E-2</v>
      </c>
      <c r="J184">
        <v>0.51593274</v>
      </c>
    </row>
    <row r="185" spans="1:10" x14ac:dyDescent="0.3">
      <c r="A185">
        <v>183</v>
      </c>
      <c r="B185">
        <v>3300</v>
      </c>
      <c r="C185" t="b">
        <v>1</v>
      </c>
      <c r="D185">
        <v>8128</v>
      </c>
      <c r="E185">
        <v>8224</v>
      </c>
      <c r="F185">
        <v>272</v>
      </c>
      <c r="G185">
        <v>288.73334</v>
      </c>
      <c r="H185">
        <v>0.94204569999999999</v>
      </c>
      <c r="I185">
        <v>5.7954296000000002E-2</v>
      </c>
      <c r="J185">
        <v>0.51492095000000004</v>
      </c>
    </row>
    <row r="186" spans="1:10" x14ac:dyDescent="0.3">
      <c r="A186">
        <v>184</v>
      </c>
      <c r="B186">
        <v>3332</v>
      </c>
      <c r="C186" t="b">
        <v>1</v>
      </c>
      <c r="D186">
        <v>8072</v>
      </c>
      <c r="E186">
        <v>8224</v>
      </c>
      <c r="F186">
        <v>274.66665999999998</v>
      </c>
      <c r="G186">
        <v>290.33334000000002</v>
      </c>
      <c r="H186">
        <v>0.94603895999999998</v>
      </c>
      <c r="I186">
        <v>5.396103E-2</v>
      </c>
      <c r="J186">
        <v>0.51386434000000003</v>
      </c>
    </row>
    <row r="187" spans="1:10" x14ac:dyDescent="0.3">
      <c r="A187">
        <v>185</v>
      </c>
      <c r="B187">
        <v>3363</v>
      </c>
      <c r="C187" t="b">
        <v>1</v>
      </c>
      <c r="D187">
        <v>8112</v>
      </c>
      <c r="E187">
        <v>8216</v>
      </c>
      <c r="F187">
        <v>275.2</v>
      </c>
      <c r="G187">
        <v>291.39999999999998</v>
      </c>
      <c r="H187">
        <v>0.94440639999999998</v>
      </c>
      <c r="I187">
        <v>5.5593625000000001E-2</v>
      </c>
      <c r="J187">
        <v>0.51429579999999997</v>
      </c>
    </row>
    <row r="188" spans="1:10" x14ac:dyDescent="0.3">
      <c r="A188">
        <v>186</v>
      </c>
      <c r="B188">
        <v>3379</v>
      </c>
      <c r="C188" t="b">
        <v>1</v>
      </c>
      <c r="D188">
        <v>8136</v>
      </c>
      <c r="E188">
        <v>8200</v>
      </c>
      <c r="F188">
        <v>276.8</v>
      </c>
      <c r="G188">
        <v>292.46667000000002</v>
      </c>
      <c r="H188">
        <v>0.94643259999999996</v>
      </c>
      <c r="I188">
        <v>5.3567424000000002E-2</v>
      </c>
      <c r="J188">
        <v>0.51376040000000001</v>
      </c>
    </row>
    <row r="189" spans="1:10" x14ac:dyDescent="0.3">
      <c r="A189">
        <v>187</v>
      </c>
      <c r="B189">
        <v>3395</v>
      </c>
      <c r="C189" t="b">
        <v>1</v>
      </c>
      <c r="D189">
        <v>8128</v>
      </c>
      <c r="E189">
        <v>8200</v>
      </c>
      <c r="F189">
        <v>278.39999999999998</v>
      </c>
      <c r="G189">
        <v>293.53332999999998</v>
      </c>
      <c r="H189">
        <v>0.94844424999999999</v>
      </c>
      <c r="I189">
        <v>5.1555753000000003E-2</v>
      </c>
      <c r="J189">
        <v>0.51322997000000004</v>
      </c>
    </row>
    <row r="190" spans="1:10" x14ac:dyDescent="0.3">
      <c r="A190">
        <v>188</v>
      </c>
      <c r="B190">
        <v>3410</v>
      </c>
      <c r="C190" t="b">
        <v>1</v>
      </c>
      <c r="D190">
        <v>8088</v>
      </c>
      <c r="E190">
        <v>8192</v>
      </c>
      <c r="F190">
        <v>277.33334000000002</v>
      </c>
      <c r="G190">
        <v>293</v>
      </c>
      <c r="H190">
        <v>0.94653016000000001</v>
      </c>
      <c r="I190">
        <v>5.3469818000000002E-2</v>
      </c>
      <c r="J190">
        <v>0.51373464000000002</v>
      </c>
    </row>
    <row r="191" spans="1:10" x14ac:dyDescent="0.3">
      <c r="A191">
        <v>189</v>
      </c>
      <c r="B191">
        <v>3426</v>
      </c>
      <c r="C191" t="b">
        <v>1</v>
      </c>
      <c r="D191">
        <v>8104</v>
      </c>
      <c r="E191">
        <v>8200</v>
      </c>
      <c r="F191">
        <v>276.26666</v>
      </c>
      <c r="G191">
        <v>293</v>
      </c>
      <c r="H191">
        <v>0.94288963000000003</v>
      </c>
      <c r="I191">
        <v>5.7110365000000003E-2</v>
      </c>
      <c r="J191">
        <v>0.51469725</v>
      </c>
    </row>
    <row r="192" spans="1:10" x14ac:dyDescent="0.3">
      <c r="A192">
        <v>190</v>
      </c>
      <c r="B192">
        <v>3442</v>
      </c>
      <c r="C192" t="b">
        <v>1</v>
      </c>
      <c r="D192">
        <v>8064</v>
      </c>
      <c r="E192">
        <v>8224</v>
      </c>
      <c r="F192">
        <v>274.66665999999998</v>
      </c>
      <c r="G192">
        <v>293</v>
      </c>
      <c r="H192">
        <v>0.93742882999999999</v>
      </c>
      <c r="I192">
        <v>6.2571139999999997E-2</v>
      </c>
      <c r="J192">
        <v>0.51614802999999998</v>
      </c>
    </row>
    <row r="193" spans="1:10" x14ac:dyDescent="0.3">
      <c r="A193">
        <v>191</v>
      </c>
      <c r="B193">
        <v>3458</v>
      </c>
      <c r="C193" t="b">
        <v>1</v>
      </c>
      <c r="D193">
        <v>8104</v>
      </c>
      <c r="E193">
        <v>8200</v>
      </c>
      <c r="F193">
        <v>274.66665999999998</v>
      </c>
      <c r="G193">
        <v>291.93331999999998</v>
      </c>
      <c r="H193">
        <v>0.94085410000000003</v>
      </c>
      <c r="I193">
        <v>5.9145913000000001E-2</v>
      </c>
      <c r="J193">
        <v>0.5152371</v>
      </c>
    </row>
    <row r="194" spans="1:10" x14ac:dyDescent="0.3">
      <c r="A194">
        <v>192</v>
      </c>
      <c r="B194">
        <v>3474</v>
      </c>
      <c r="C194" t="b">
        <v>1</v>
      </c>
      <c r="D194">
        <v>8112</v>
      </c>
      <c r="E194">
        <v>8200</v>
      </c>
      <c r="F194">
        <v>274.66665999999998</v>
      </c>
      <c r="G194">
        <v>290.86667</v>
      </c>
      <c r="H194">
        <v>0.94430435000000001</v>
      </c>
      <c r="I194">
        <v>5.5695663999999999E-2</v>
      </c>
      <c r="J194">
        <v>0.51432275999999999</v>
      </c>
    </row>
    <row r="195" spans="1:10" x14ac:dyDescent="0.3">
      <c r="A195">
        <v>193</v>
      </c>
      <c r="B195">
        <v>3490</v>
      </c>
      <c r="C195" t="b">
        <v>1</v>
      </c>
      <c r="D195">
        <v>8104</v>
      </c>
      <c r="E195">
        <v>8184</v>
      </c>
      <c r="F195">
        <v>274.66665999999998</v>
      </c>
      <c r="G195">
        <v>290.86667</v>
      </c>
      <c r="H195">
        <v>0.94430435000000001</v>
      </c>
      <c r="I195">
        <v>5.5695663999999999E-2</v>
      </c>
      <c r="J195">
        <v>0.51432275999999999</v>
      </c>
    </row>
    <row r="196" spans="1:10" x14ac:dyDescent="0.3">
      <c r="A196">
        <v>194</v>
      </c>
      <c r="B196">
        <v>3505</v>
      </c>
      <c r="C196" t="b">
        <v>1</v>
      </c>
      <c r="D196">
        <v>8104</v>
      </c>
      <c r="E196">
        <v>8224</v>
      </c>
      <c r="F196">
        <v>274.13333</v>
      </c>
      <c r="G196">
        <v>290.86667</v>
      </c>
      <c r="H196">
        <v>0.94247080000000005</v>
      </c>
      <c r="I196">
        <v>5.7529236999999997E-2</v>
      </c>
      <c r="J196">
        <v>0.51480824000000003</v>
      </c>
    </row>
    <row r="197" spans="1:10" x14ac:dyDescent="0.3">
      <c r="A197">
        <v>195</v>
      </c>
      <c r="B197">
        <v>3521</v>
      </c>
      <c r="C197" t="b">
        <v>1</v>
      </c>
      <c r="D197">
        <v>8104</v>
      </c>
      <c r="E197">
        <v>8224</v>
      </c>
      <c r="F197">
        <v>273.60000000000002</v>
      </c>
      <c r="G197">
        <v>290.86667</v>
      </c>
      <c r="H197">
        <v>0.94063719999999995</v>
      </c>
      <c r="I197">
        <v>5.9362810000000002E-2</v>
      </c>
      <c r="J197">
        <v>0.51529469999999999</v>
      </c>
    </row>
    <row r="198" spans="1:10" x14ac:dyDescent="0.3">
      <c r="A198">
        <v>196</v>
      </c>
      <c r="B198">
        <v>3537</v>
      </c>
      <c r="C198" t="b">
        <v>1</v>
      </c>
      <c r="D198">
        <v>8064</v>
      </c>
      <c r="E198">
        <v>8184</v>
      </c>
      <c r="F198">
        <v>273.06668000000002</v>
      </c>
      <c r="G198">
        <v>290.86667</v>
      </c>
      <c r="H198">
        <v>0.93880359999999996</v>
      </c>
      <c r="I198">
        <v>6.1196383E-2</v>
      </c>
      <c r="J198">
        <v>0.51578199999999996</v>
      </c>
    </row>
    <row r="199" spans="1:10" x14ac:dyDescent="0.3">
      <c r="A199">
        <v>197</v>
      </c>
      <c r="B199">
        <v>3553</v>
      </c>
      <c r="C199" t="b">
        <v>1</v>
      </c>
      <c r="D199">
        <v>8160</v>
      </c>
      <c r="E199">
        <v>8200</v>
      </c>
      <c r="F199">
        <v>272</v>
      </c>
      <c r="G199">
        <v>290.86667</v>
      </c>
      <c r="H199">
        <v>0.93513639999999998</v>
      </c>
      <c r="I199">
        <v>6.4863630000000005E-2</v>
      </c>
      <c r="J199">
        <v>0.51675939999999998</v>
      </c>
    </row>
    <row r="200" spans="1:10" x14ac:dyDescent="0.3">
      <c r="A200">
        <v>198</v>
      </c>
      <c r="B200">
        <v>3569</v>
      </c>
      <c r="C200" t="b">
        <v>1</v>
      </c>
      <c r="D200">
        <v>8104</v>
      </c>
      <c r="E200">
        <v>8200</v>
      </c>
      <c r="F200">
        <v>270.39999999999998</v>
      </c>
      <c r="G200">
        <v>290.33334000000002</v>
      </c>
      <c r="H200">
        <v>0.93134326000000001</v>
      </c>
      <c r="I200">
        <v>6.8656770000000006E-2</v>
      </c>
      <c r="J200">
        <v>0.51777434</v>
      </c>
    </row>
    <row r="201" spans="1:10" x14ac:dyDescent="0.3">
      <c r="A201">
        <v>199</v>
      </c>
      <c r="B201">
        <v>3585</v>
      </c>
      <c r="C201" t="b">
        <v>1</v>
      </c>
      <c r="D201">
        <v>8136</v>
      </c>
      <c r="E201">
        <v>8216</v>
      </c>
      <c r="F201">
        <v>268.8</v>
      </c>
      <c r="G201">
        <v>288.73334</v>
      </c>
      <c r="H201">
        <v>0.93096274000000001</v>
      </c>
      <c r="I201">
        <v>6.9037230000000005E-2</v>
      </c>
      <c r="J201">
        <v>0.51787640000000001</v>
      </c>
    </row>
    <row r="202" spans="1:10" x14ac:dyDescent="0.3">
      <c r="A202">
        <v>200</v>
      </c>
      <c r="B202">
        <v>3617</v>
      </c>
      <c r="C202" t="b">
        <v>1</v>
      </c>
      <c r="D202">
        <v>8104</v>
      </c>
      <c r="E202">
        <v>8224</v>
      </c>
      <c r="F202">
        <v>268.26666</v>
      </c>
      <c r="G202">
        <v>287.13333</v>
      </c>
      <c r="H202">
        <v>0.93429302999999997</v>
      </c>
      <c r="I202">
        <v>6.5707000000000002E-2</v>
      </c>
      <c r="J202">
        <v>0.51698469999999996</v>
      </c>
    </row>
    <row r="203" spans="1:10" x14ac:dyDescent="0.3">
      <c r="A203">
        <v>201</v>
      </c>
      <c r="B203">
        <v>3633</v>
      </c>
      <c r="C203" t="b">
        <v>1</v>
      </c>
      <c r="D203">
        <v>8120</v>
      </c>
      <c r="E203">
        <v>8200</v>
      </c>
      <c r="F203">
        <v>267.73334</v>
      </c>
      <c r="G203">
        <v>286.06668000000002</v>
      </c>
      <c r="H203">
        <v>0.93591239999999998</v>
      </c>
      <c r="I203">
        <v>6.4087660000000005E-2</v>
      </c>
      <c r="J203">
        <v>0.51655227000000004</v>
      </c>
    </row>
    <row r="204" spans="1:10" x14ac:dyDescent="0.3">
      <c r="A204">
        <v>202</v>
      </c>
      <c r="B204">
        <v>3665</v>
      </c>
      <c r="C204" t="b">
        <v>1</v>
      </c>
      <c r="D204">
        <v>8144</v>
      </c>
      <c r="E204">
        <v>8208</v>
      </c>
      <c r="F204">
        <v>267.2</v>
      </c>
      <c r="G204">
        <v>285.53332999999998</v>
      </c>
      <c r="H204">
        <v>0.93579274000000001</v>
      </c>
      <c r="I204">
        <v>6.4207260000000002E-2</v>
      </c>
      <c r="J204">
        <v>0.51658420000000005</v>
      </c>
    </row>
    <row r="205" spans="1:10" x14ac:dyDescent="0.3">
      <c r="A205">
        <v>203</v>
      </c>
      <c r="B205">
        <v>3697</v>
      </c>
      <c r="C205" t="b">
        <v>1</v>
      </c>
      <c r="D205">
        <v>8104</v>
      </c>
      <c r="E205">
        <v>8208</v>
      </c>
      <c r="F205">
        <v>267.73334</v>
      </c>
      <c r="G205">
        <v>286.06668000000002</v>
      </c>
      <c r="H205">
        <v>0.93591239999999998</v>
      </c>
      <c r="I205">
        <v>6.4087660000000005E-2</v>
      </c>
      <c r="J205">
        <v>0.51655227000000004</v>
      </c>
    </row>
    <row r="206" spans="1:10" x14ac:dyDescent="0.3">
      <c r="A206">
        <v>204</v>
      </c>
      <c r="B206">
        <v>3713</v>
      </c>
      <c r="C206" t="b">
        <v>1</v>
      </c>
      <c r="D206">
        <v>8136</v>
      </c>
      <c r="E206">
        <v>8208</v>
      </c>
      <c r="F206">
        <v>268.26666</v>
      </c>
      <c r="G206">
        <v>286.60000000000002</v>
      </c>
      <c r="H206">
        <v>0.93603159999999996</v>
      </c>
      <c r="I206">
        <v>6.3968399999999995E-2</v>
      </c>
      <c r="J206">
        <v>0.51652043999999997</v>
      </c>
    </row>
    <row r="207" spans="1:10" x14ac:dyDescent="0.3">
      <c r="A207">
        <v>205</v>
      </c>
      <c r="B207">
        <v>3729</v>
      </c>
      <c r="C207" t="b">
        <v>1</v>
      </c>
      <c r="D207">
        <v>8056</v>
      </c>
      <c r="E207">
        <v>8216</v>
      </c>
      <c r="F207">
        <v>269.33334000000002</v>
      </c>
      <c r="G207">
        <v>287.13333</v>
      </c>
      <c r="H207">
        <v>0.93800795000000003</v>
      </c>
      <c r="I207">
        <v>6.1992064E-2</v>
      </c>
      <c r="J207">
        <v>0.51599379999999995</v>
      </c>
    </row>
    <row r="208" spans="1:10" x14ac:dyDescent="0.3">
      <c r="A208">
        <v>206</v>
      </c>
      <c r="B208">
        <v>3760</v>
      </c>
      <c r="C208" t="b">
        <v>1</v>
      </c>
      <c r="D208">
        <v>8080</v>
      </c>
      <c r="E208">
        <v>8224</v>
      </c>
      <c r="F208">
        <v>269.33334000000002</v>
      </c>
      <c r="G208">
        <v>287.66665999999998</v>
      </c>
      <c r="H208">
        <v>0.93626889999999996</v>
      </c>
      <c r="I208">
        <v>6.3731103999999997E-2</v>
      </c>
      <c r="J208">
        <v>0.51645719999999995</v>
      </c>
    </row>
    <row r="209" spans="1:10" x14ac:dyDescent="0.3">
      <c r="A209">
        <v>207</v>
      </c>
      <c r="B209">
        <v>3776</v>
      </c>
      <c r="C209" t="b">
        <v>1</v>
      </c>
      <c r="D209">
        <v>8128</v>
      </c>
      <c r="E209">
        <v>8224</v>
      </c>
      <c r="F209">
        <v>269.33334000000002</v>
      </c>
      <c r="G209">
        <v>288.73334</v>
      </c>
      <c r="H209">
        <v>0.93281000000000003</v>
      </c>
      <c r="I209">
        <v>6.7190009999999994E-2</v>
      </c>
      <c r="J209">
        <v>0.51738139999999999</v>
      </c>
    </row>
    <row r="210" spans="1:10" x14ac:dyDescent="0.3">
      <c r="A210">
        <v>208</v>
      </c>
      <c r="B210">
        <v>3792</v>
      </c>
      <c r="C210" t="b">
        <v>1</v>
      </c>
      <c r="D210">
        <v>8120</v>
      </c>
      <c r="E210">
        <v>8208</v>
      </c>
      <c r="F210">
        <v>270.39999999999998</v>
      </c>
      <c r="G210">
        <v>289.8</v>
      </c>
      <c r="H210">
        <v>0.93305729999999998</v>
      </c>
      <c r="I210">
        <v>6.6942699999999994E-2</v>
      </c>
      <c r="J210">
        <v>0.51731526999999999</v>
      </c>
    </row>
    <row r="211" spans="1:10" x14ac:dyDescent="0.3">
      <c r="A211">
        <v>209</v>
      </c>
      <c r="B211">
        <v>3808</v>
      </c>
      <c r="C211" t="b">
        <v>1</v>
      </c>
      <c r="D211">
        <v>8064</v>
      </c>
      <c r="E211">
        <v>8216</v>
      </c>
      <c r="F211">
        <v>268.8</v>
      </c>
      <c r="G211">
        <v>290.86667</v>
      </c>
      <c r="H211">
        <v>0.92413473000000002</v>
      </c>
      <c r="I211">
        <v>7.5865275999999995E-2</v>
      </c>
      <c r="J211">
        <v>0.51971420000000002</v>
      </c>
    </row>
    <row r="212" spans="1:10" x14ac:dyDescent="0.3">
      <c r="A212">
        <v>210</v>
      </c>
      <c r="B212">
        <v>3824</v>
      </c>
      <c r="C212" t="b">
        <v>1</v>
      </c>
      <c r="D212">
        <v>8128</v>
      </c>
      <c r="E212">
        <v>8224</v>
      </c>
      <c r="F212">
        <v>269.86667</v>
      </c>
      <c r="G212">
        <v>292.46667000000002</v>
      </c>
      <c r="H212">
        <v>0.92272620000000005</v>
      </c>
      <c r="I212">
        <v>7.727378E-2</v>
      </c>
      <c r="J212">
        <v>0.52009479999999997</v>
      </c>
    </row>
    <row r="213" spans="1:10" x14ac:dyDescent="0.3">
      <c r="A213">
        <v>211</v>
      </c>
      <c r="B213">
        <v>3839</v>
      </c>
      <c r="C213" t="b">
        <v>1</v>
      </c>
      <c r="D213">
        <v>8128</v>
      </c>
      <c r="E213">
        <v>8208</v>
      </c>
      <c r="F213">
        <v>271.46667000000002</v>
      </c>
      <c r="G213">
        <v>293.53332999999998</v>
      </c>
      <c r="H213">
        <v>0.92482405999999995</v>
      </c>
      <c r="I213">
        <v>7.517596E-2</v>
      </c>
      <c r="J213">
        <v>0.51952803000000003</v>
      </c>
    </row>
    <row r="214" spans="1:10" x14ac:dyDescent="0.3">
      <c r="A214">
        <v>212</v>
      </c>
      <c r="B214">
        <v>3855</v>
      </c>
      <c r="C214" t="b">
        <v>1</v>
      </c>
      <c r="D214">
        <v>8072</v>
      </c>
      <c r="E214">
        <v>8200</v>
      </c>
      <c r="F214">
        <v>272.53332999999998</v>
      </c>
      <c r="G214">
        <v>294.06668000000002</v>
      </c>
      <c r="H214">
        <v>0.92677390000000004</v>
      </c>
      <c r="I214">
        <v>7.3226100000000002E-2</v>
      </c>
      <c r="J214">
        <v>0.51900226000000005</v>
      </c>
    </row>
    <row r="215" spans="1:10" x14ac:dyDescent="0.3">
      <c r="A215">
        <v>213</v>
      </c>
      <c r="B215">
        <v>3871</v>
      </c>
      <c r="C215" t="b">
        <v>1</v>
      </c>
      <c r="D215">
        <v>8064</v>
      </c>
      <c r="E215">
        <v>8192</v>
      </c>
      <c r="F215">
        <v>270.39999999999998</v>
      </c>
      <c r="G215">
        <v>294.60000000000002</v>
      </c>
      <c r="H215">
        <v>0.91785466999999998</v>
      </c>
      <c r="I215">
        <v>8.2145319999999994E-2</v>
      </c>
      <c r="J215">
        <v>0.52141594999999996</v>
      </c>
    </row>
    <row r="216" spans="1:10" x14ac:dyDescent="0.3">
      <c r="A216">
        <v>214</v>
      </c>
      <c r="B216">
        <v>3887</v>
      </c>
      <c r="C216" t="b">
        <v>1</v>
      </c>
      <c r="D216">
        <v>8064</v>
      </c>
      <c r="E216">
        <v>8192</v>
      </c>
      <c r="F216">
        <v>268.26666</v>
      </c>
      <c r="G216">
        <v>294.60000000000002</v>
      </c>
      <c r="H216">
        <v>0.91061323999999999</v>
      </c>
      <c r="I216">
        <v>8.9386770000000004E-2</v>
      </c>
      <c r="J216">
        <v>0.52339214000000001</v>
      </c>
    </row>
    <row r="217" spans="1:10" x14ac:dyDescent="0.3">
      <c r="A217">
        <v>215</v>
      </c>
      <c r="B217">
        <v>3903</v>
      </c>
      <c r="C217" t="b">
        <v>1</v>
      </c>
      <c r="D217">
        <v>8120</v>
      </c>
      <c r="E217">
        <v>8208</v>
      </c>
      <c r="F217">
        <v>266.13333</v>
      </c>
      <c r="G217">
        <v>294.60000000000002</v>
      </c>
      <c r="H217">
        <v>0.90337175000000003</v>
      </c>
      <c r="I217">
        <v>9.6628220000000001E-2</v>
      </c>
      <c r="J217">
        <v>0.52538339999999994</v>
      </c>
    </row>
    <row r="218" spans="1:10" x14ac:dyDescent="0.3">
      <c r="A218">
        <v>216</v>
      </c>
      <c r="B218">
        <v>3919</v>
      </c>
      <c r="C218" t="b">
        <v>1</v>
      </c>
      <c r="D218">
        <v>8096</v>
      </c>
      <c r="E218">
        <v>8216</v>
      </c>
      <c r="F218">
        <v>262.93331999999998</v>
      </c>
      <c r="G218">
        <v>294.60000000000002</v>
      </c>
      <c r="H218">
        <v>0.89250960000000001</v>
      </c>
      <c r="I218">
        <v>0.10749045</v>
      </c>
      <c r="J218">
        <v>0.52839893000000004</v>
      </c>
    </row>
    <row r="219" spans="1:10" x14ac:dyDescent="0.3">
      <c r="A219">
        <v>217</v>
      </c>
      <c r="B219">
        <v>3934</v>
      </c>
      <c r="C219" t="b">
        <v>1</v>
      </c>
      <c r="D219">
        <v>8112</v>
      </c>
      <c r="E219">
        <v>8176</v>
      </c>
      <c r="F219">
        <v>261.33334000000002</v>
      </c>
      <c r="G219">
        <v>293.53332999999998</v>
      </c>
      <c r="H219">
        <v>0.89030209999999999</v>
      </c>
      <c r="I219">
        <v>0.10969787</v>
      </c>
      <c r="J219">
        <v>0.52901595999999995</v>
      </c>
    </row>
    <row r="220" spans="1:10" x14ac:dyDescent="0.3">
      <c r="A220">
        <v>218</v>
      </c>
      <c r="B220">
        <v>3950</v>
      </c>
      <c r="C220" t="b">
        <v>1</v>
      </c>
      <c r="D220">
        <v>8064</v>
      </c>
      <c r="E220">
        <v>8184</v>
      </c>
      <c r="F220">
        <v>259.73334</v>
      </c>
      <c r="G220">
        <v>292.46667000000002</v>
      </c>
      <c r="H220">
        <v>0.88807840000000005</v>
      </c>
      <c r="I220">
        <v>0.1119216</v>
      </c>
      <c r="J220">
        <v>0.52963899999999997</v>
      </c>
    </row>
    <row r="221" spans="1:10" x14ac:dyDescent="0.3">
      <c r="A221">
        <v>219</v>
      </c>
      <c r="B221">
        <v>3966</v>
      </c>
      <c r="C221" t="b">
        <v>1</v>
      </c>
      <c r="D221">
        <v>8120</v>
      </c>
      <c r="E221">
        <v>8208</v>
      </c>
      <c r="F221">
        <v>259.2</v>
      </c>
      <c r="G221">
        <v>292.46667000000002</v>
      </c>
      <c r="H221">
        <v>0.88625485000000004</v>
      </c>
      <c r="I221">
        <v>0.11374513999999999</v>
      </c>
      <c r="J221">
        <v>0.53015106999999995</v>
      </c>
    </row>
    <row r="222" spans="1:10" x14ac:dyDescent="0.3">
      <c r="A222">
        <v>220</v>
      </c>
      <c r="B222">
        <v>3982</v>
      </c>
      <c r="C222" t="b">
        <v>1</v>
      </c>
      <c r="D222">
        <v>8136</v>
      </c>
      <c r="E222">
        <v>8184</v>
      </c>
      <c r="F222">
        <v>258.66665999999998</v>
      </c>
      <c r="G222">
        <v>290.86667</v>
      </c>
      <c r="H222">
        <v>0.88929630000000004</v>
      </c>
      <c r="I222">
        <v>0.110703684</v>
      </c>
      <c r="J222">
        <v>0.52929760000000003</v>
      </c>
    </row>
    <row r="223" spans="1:10" x14ac:dyDescent="0.3">
      <c r="A223">
        <v>221</v>
      </c>
      <c r="B223">
        <v>4014</v>
      </c>
      <c r="C223" t="b">
        <v>1</v>
      </c>
      <c r="D223">
        <v>8088</v>
      </c>
      <c r="E223">
        <v>8224</v>
      </c>
      <c r="F223">
        <v>259.2</v>
      </c>
      <c r="G223">
        <v>289.26666</v>
      </c>
      <c r="H223">
        <v>0.89605904000000003</v>
      </c>
      <c r="I223">
        <v>0.10394095</v>
      </c>
      <c r="J223">
        <v>0.52740973000000002</v>
      </c>
    </row>
    <row r="224" spans="1:10" x14ac:dyDescent="0.3">
      <c r="A224">
        <v>222</v>
      </c>
      <c r="B224">
        <v>4046</v>
      </c>
      <c r="C224" t="b">
        <v>1</v>
      </c>
      <c r="D224">
        <v>8096</v>
      </c>
      <c r="E224">
        <v>8208</v>
      </c>
      <c r="F224">
        <v>258.66665999999998</v>
      </c>
      <c r="G224">
        <v>288.73334</v>
      </c>
      <c r="H224">
        <v>0.89586692999999995</v>
      </c>
      <c r="I224">
        <v>0.10413304</v>
      </c>
      <c r="J224">
        <v>0.52746314000000005</v>
      </c>
    </row>
    <row r="225" spans="1:10" x14ac:dyDescent="0.3">
      <c r="A225">
        <v>223</v>
      </c>
      <c r="B225">
        <v>4062</v>
      </c>
      <c r="C225" t="b">
        <v>1</v>
      </c>
      <c r="D225">
        <v>8112</v>
      </c>
      <c r="E225">
        <v>8224</v>
      </c>
      <c r="F225">
        <v>258.13333</v>
      </c>
      <c r="G225">
        <v>288.2</v>
      </c>
      <c r="H225">
        <v>0.89567419999999998</v>
      </c>
      <c r="I225">
        <v>0.10432574</v>
      </c>
      <c r="J225">
        <v>0.52751680000000001</v>
      </c>
    </row>
    <row r="226" spans="1:10" x14ac:dyDescent="0.3">
      <c r="A226">
        <v>224</v>
      </c>
      <c r="B226">
        <v>4078</v>
      </c>
      <c r="C226" t="b">
        <v>1</v>
      </c>
      <c r="D226">
        <v>8128</v>
      </c>
      <c r="E226">
        <v>8200</v>
      </c>
      <c r="F226">
        <v>260.26666</v>
      </c>
      <c r="G226">
        <v>287.66665999999998</v>
      </c>
      <c r="H226">
        <v>0.90475090000000002</v>
      </c>
      <c r="I226">
        <v>9.5249120000000007E-2</v>
      </c>
      <c r="J226">
        <v>0.525003</v>
      </c>
    </row>
    <row r="227" spans="1:10" x14ac:dyDescent="0.3">
      <c r="A227">
        <v>225</v>
      </c>
      <c r="B227">
        <v>4109</v>
      </c>
      <c r="C227" t="b">
        <v>1</v>
      </c>
      <c r="D227">
        <v>8104</v>
      </c>
      <c r="E227">
        <v>8208</v>
      </c>
      <c r="F227">
        <v>259.2</v>
      </c>
      <c r="G227">
        <v>286.60000000000002</v>
      </c>
      <c r="H227">
        <v>0.90439639999999999</v>
      </c>
      <c r="I227">
        <v>9.5603610000000006E-2</v>
      </c>
      <c r="J227">
        <v>0.52510069999999998</v>
      </c>
    </row>
    <row r="228" spans="1:10" x14ac:dyDescent="0.3">
      <c r="A228">
        <v>226</v>
      </c>
      <c r="B228">
        <v>4125</v>
      </c>
      <c r="C228" t="b">
        <v>1</v>
      </c>
      <c r="D228">
        <v>8120</v>
      </c>
      <c r="E228">
        <v>8200</v>
      </c>
      <c r="F228">
        <v>258.13333</v>
      </c>
      <c r="G228">
        <v>286.06668000000002</v>
      </c>
      <c r="H228">
        <v>0.90235370000000004</v>
      </c>
      <c r="I228">
        <v>9.7646289999999997E-2</v>
      </c>
      <c r="J228">
        <v>0.52566460000000004</v>
      </c>
    </row>
    <row r="229" spans="1:10" x14ac:dyDescent="0.3">
      <c r="A229">
        <v>227</v>
      </c>
      <c r="B229">
        <v>4140</v>
      </c>
      <c r="C229" t="b">
        <v>1</v>
      </c>
      <c r="D229">
        <v>8136</v>
      </c>
      <c r="E229">
        <v>8200</v>
      </c>
      <c r="F229">
        <v>258.13333</v>
      </c>
      <c r="G229">
        <v>285.53332999999998</v>
      </c>
      <c r="H229">
        <v>0.90403926000000001</v>
      </c>
      <c r="I229">
        <v>9.5960760000000006E-2</v>
      </c>
      <c r="J229">
        <v>0.52519930000000004</v>
      </c>
    </row>
    <row r="230" spans="1:10" x14ac:dyDescent="0.3">
      <c r="A230">
        <v>228</v>
      </c>
      <c r="B230">
        <v>4157</v>
      </c>
      <c r="C230" t="b">
        <v>1</v>
      </c>
      <c r="D230">
        <v>8104</v>
      </c>
      <c r="E230">
        <v>8216</v>
      </c>
      <c r="F230">
        <v>261.33334000000002</v>
      </c>
      <c r="G230">
        <v>285</v>
      </c>
      <c r="H230">
        <v>0.91695910000000003</v>
      </c>
      <c r="I230">
        <v>8.3040900000000001E-2</v>
      </c>
      <c r="J230">
        <v>0.52165950000000005</v>
      </c>
    </row>
    <row r="231" spans="1:10" x14ac:dyDescent="0.3">
      <c r="A231">
        <v>229</v>
      </c>
      <c r="B231">
        <v>4172</v>
      </c>
      <c r="C231" t="b">
        <v>1</v>
      </c>
      <c r="D231">
        <v>8072</v>
      </c>
      <c r="E231">
        <v>8200</v>
      </c>
      <c r="F231">
        <v>263.46667000000002</v>
      </c>
      <c r="G231">
        <v>285</v>
      </c>
      <c r="H231">
        <v>0.9244445</v>
      </c>
      <c r="I231">
        <v>7.5555525999999998E-2</v>
      </c>
      <c r="J231">
        <v>0.5196305</v>
      </c>
    </row>
    <row r="232" spans="1:10" x14ac:dyDescent="0.3">
      <c r="A232">
        <v>230</v>
      </c>
      <c r="B232">
        <v>4188</v>
      </c>
      <c r="C232" t="b">
        <v>1</v>
      </c>
      <c r="D232">
        <v>8112</v>
      </c>
      <c r="E232">
        <v>8224</v>
      </c>
      <c r="F232">
        <v>266.13333</v>
      </c>
      <c r="G232">
        <v>285</v>
      </c>
      <c r="H232">
        <v>0.9338012</v>
      </c>
      <c r="I232">
        <v>6.6198839999999995E-2</v>
      </c>
      <c r="J232">
        <v>0.51711625000000006</v>
      </c>
    </row>
    <row r="233" spans="1:10" x14ac:dyDescent="0.3">
      <c r="A233">
        <v>231</v>
      </c>
      <c r="B233">
        <v>4204</v>
      </c>
      <c r="C233" t="b">
        <v>1</v>
      </c>
      <c r="D233">
        <v>8064</v>
      </c>
      <c r="E233">
        <v>8200</v>
      </c>
      <c r="F233">
        <v>268.26666</v>
      </c>
      <c r="G233">
        <v>285</v>
      </c>
      <c r="H233">
        <v>0.94128655999999999</v>
      </c>
      <c r="I233">
        <v>5.8713465999999999E-2</v>
      </c>
      <c r="J233">
        <v>0.51512230000000003</v>
      </c>
    </row>
    <row r="234" spans="1:10" x14ac:dyDescent="0.3">
      <c r="A234">
        <v>232</v>
      </c>
      <c r="B234">
        <v>4220</v>
      </c>
      <c r="C234" t="b">
        <v>1</v>
      </c>
      <c r="D234">
        <v>8096</v>
      </c>
      <c r="E234">
        <v>8192</v>
      </c>
      <c r="F234">
        <v>268.26666</v>
      </c>
      <c r="G234">
        <v>285.53332999999998</v>
      </c>
      <c r="H234">
        <v>0.93952840000000004</v>
      </c>
      <c r="I234">
        <v>6.0471619999999997E-2</v>
      </c>
      <c r="J234">
        <v>0.51558923999999995</v>
      </c>
    </row>
    <row r="235" spans="1:10" x14ac:dyDescent="0.3">
      <c r="A235">
        <v>233</v>
      </c>
      <c r="B235">
        <v>4236</v>
      </c>
      <c r="C235" t="b">
        <v>1</v>
      </c>
      <c r="D235">
        <v>8112</v>
      </c>
      <c r="E235">
        <v>8208</v>
      </c>
      <c r="F235">
        <v>268.26666</v>
      </c>
      <c r="G235">
        <v>286.06668000000002</v>
      </c>
      <c r="H235">
        <v>0.93777670000000002</v>
      </c>
      <c r="I235">
        <v>6.2223319999999999E-2</v>
      </c>
      <c r="J235">
        <v>0.51605529999999999</v>
      </c>
    </row>
    <row r="236" spans="1:10" x14ac:dyDescent="0.3">
      <c r="A236">
        <v>234</v>
      </c>
      <c r="B236">
        <v>4251</v>
      </c>
      <c r="C236" t="b">
        <v>1</v>
      </c>
      <c r="D236">
        <v>8128</v>
      </c>
      <c r="E236">
        <v>8208</v>
      </c>
      <c r="F236">
        <v>268.26666</v>
      </c>
      <c r="G236">
        <v>286.06668000000002</v>
      </c>
      <c r="H236">
        <v>0.93777670000000002</v>
      </c>
      <c r="I236">
        <v>6.2223319999999999E-2</v>
      </c>
      <c r="J236">
        <v>0.51605529999999999</v>
      </c>
    </row>
    <row r="237" spans="1:10" x14ac:dyDescent="0.3">
      <c r="A237">
        <v>235</v>
      </c>
      <c r="B237">
        <v>4267</v>
      </c>
      <c r="C237" t="b">
        <v>1</v>
      </c>
      <c r="D237">
        <v>8088</v>
      </c>
      <c r="E237">
        <v>8200</v>
      </c>
      <c r="F237">
        <v>267.2</v>
      </c>
      <c r="G237">
        <v>287.13333</v>
      </c>
      <c r="H237">
        <v>0.93057820000000002</v>
      </c>
      <c r="I237">
        <v>6.9421819999999995E-2</v>
      </c>
      <c r="J237">
        <v>0.51797950000000004</v>
      </c>
    </row>
    <row r="238" spans="1:10" x14ac:dyDescent="0.3">
      <c r="A238">
        <v>236</v>
      </c>
      <c r="B238">
        <v>4283</v>
      </c>
      <c r="C238" t="b">
        <v>1</v>
      </c>
      <c r="D238">
        <v>8128</v>
      </c>
      <c r="E238">
        <v>8200</v>
      </c>
      <c r="F238">
        <v>267.2</v>
      </c>
      <c r="G238">
        <v>288.2</v>
      </c>
      <c r="H238">
        <v>0.92713389999999996</v>
      </c>
      <c r="I238">
        <v>7.2866059999999996E-2</v>
      </c>
      <c r="J238">
        <v>0.51890530000000001</v>
      </c>
    </row>
    <row r="239" spans="1:10" x14ac:dyDescent="0.3">
      <c r="A239">
        <v>237</v>
      </c>
      <c r="B239">
        <v>4315</v>
      </c>
      <c r="C239" t="b">
        <v>1</v>
      </c>
      <c r="D239">
        <v>8152</v>
      </c>
      <c r="E239">
        <v>8224</v>
      </c>
      <c r="F239">
        <v>269.33334000000002</v>
      </c>
      <c r="G239">
        <v>288.2</v>
      </c>
      <c r="H239">
        <v>0.93453620000000004</v>
      </c>
      <c r="I239">
        <v>6.5463800000000003E-2</v>
      </c>
      <c r="J239">
        <v>0.51691980000000004</v>
      </c>
    </row>
    <row r="240" spans="1:10" x14ac:dyDescent="0.3">
      <c r="A240">
        <v>238</v>
      </c>
      <c r="B240">
        <v>4346</v>
      </c>
      <c r="C240" t="b">
        <v>1</v>
      </c>
      <c r="D240">
        <v>8128</v>
      </c>
      <c r="E240">
        <v>8184</v>
      </c>
      <c r="F240">
        <v>270.39999999999998</v>
      </c>
      <c r="G240">
        <v>287.66665999999998</v>
      </c>
      <c r="H240">
        <v>0.93997679999999995</v>
      </c>
      <c r="I240">
        <v>6.0023162999999997E-2</v>
      </c>
      <c r="J240">
        <v>0.51547010000000004</v>
      </c>
    </row>
    <row r="241" spans="1:10" x14ac:dyDescent="0.3">
      <c r="A241">
        <v>239</v>
      </c>
      <c r="B241">
        <v>4362</v>
      </c>
      <c r="C241" t="b">
        <v>1</v>
      </c>
      <c r="D241">
        <v>8120</v>
      </c>
      <c r="E241">
        <v>8176</v>
      </c>
      <c r="F241">
        <v>271.46667000000002</v>
      </c>
      <c r="G241">
        <v>287.13333</v>
      </c>
      <c r="H241">
        <v>0.94543767000000001</v>
      </c>
      <c r="I241">
        <v>5.4562303999999999E-2</v>
      </c>
      <c r="J241">
        <v>0.51402320000000001</v>
      </c>
    </row>
    <row r="242" spans="1:10" x14ac:dyDescent="0.3">
      <c r="A242">
        <v>240</v>
      </c>
      <c r="B242">
        <v>4378</v>
      </c>
      <c r="C242" t="b">
        <v>1</v>
      </c>
      <c r="D242">
        <v>8128</v>
      </c>
      <c r="E242">
        <v>8176</v>
      </c>
      <c r="F242">
        <v>273.06668000000002</v>
      </c>
      <c r="G242">
        <v>285.53332999999998</v>
      </c>
      <c r="H242">
        <v>0.9563391</v>
      </c>
      <c r="I242">
        <v>4.3660909999999997E-2</v>
      </c>
      <c r="J242">
        <v>0.51115889999999997</v>
      </c>
    </row>
    <row r="243" spans="1:10" x14ac:dyDescent="0.3">
      <c r="A243">
        <v>241</v>
      </c>
      <c r="B243">
        <v>4393</v>
      </c>
      <c r="C243" t="b">
        <v>1</v>
      </c>
      <c r="D243">
        <v>8128</v>
      </c>
      <c r="E243">
        <v>8192</v>
      </c>
      <c r="F243">
        <v>274.13333</v>
      </c>
      <c r="G243">
        <v>283.93331999999998</v>
      </c>
      <c r="H243">
        <v>0.96548489999999998</v>
      </c>
      <c r="I243">
        <v>3.45151E-2</v>
      </c>
      <c r="J243">
        <v>0.50878029999999996</v>
      </c>
    </row>
    <row r="244" spans="1:10" x14ac:dyDescent="0.3">
      <c r="A244">
        <v>242</v>
      </c>
      <c r="B244">
        <v>4409</v>
      </c>
      <c r="C244" t="b">
        <v>1</v>
      </c>
      <c r="D244">
        <v>8096</v>
      </c>
      <c r="E244">
        <v>8216</v>
      </c>
      <c r="F244">
        <v>274.66665999999998</v>
      </c>
      <c r="G244">
        <v>282.86667</v>
      </c>
      <c r="H244">
        <v>0.97101104000000005</v>
      </c>
      <c r="I244">
        <v>2.8988967000000001E-2</v>
      </c>
      <c r="J244">
        <v>0.50735383999999994</v>
      </c>
    </row>
    <row r="245" spans="1:10" x14ac:dyDescent="0.3">
      <c r="A245">
        <v>243</v>
      </c>
      <c r="B245">
        <v>4425</v>
      </c>
      <c r="C245" t="b">
        <v>1</v>
      </c>
      <c r="D245">
        <v>8080</v>
      </c>
      <c r="E245">
        <v>8224</v>
      </c>
      <c r="F245">
        <v>274.66665999999998</v>
      </c>
      <c r="G245">
        <v>282.33334000000002</v>
      </c>
      <c r="H245">
        <v>0.97284526000000004</v>
      </c>
      <c r="I245">
        <v>2.7154734E-2</v>
      </c>
      <c r="J245">
        <v>0.50688213000000004</v>
      </c>
    </row>
    <row r="246" spans="1:10" x14ac:dyDescent="0.3">
      <c r="A246">
        <v>244</v>
      </c>
      <c r="B246">
        <v>4441</v>
      </c>
      <c r="C246" t="b">
        <v>1</v>
      </c>
      <c r="D246">
        <v>8112</v>
      </c>
      <c r="E246">
        <v>8184</v>
      </c>
      <c r="F246">
        <v>275.2</v>
      </c>
      <c r="G246">
        <v>281.8</v>
      </c>
      <c r="H246">
        <v>0.97657925000000001</v>
      </c>
      <c r="I246">
        <v>2.3420779999999999E-2</v>
      </c>
      <c r="J246">
        <v>0.50592459999999995</v>
      </c>
    </row>
    <row r="247" spans="1:10" x14ac:dyDescent="0.3">
      <c r="A247">
        <v>245</v>
      </c>
      <c r="B247">
        <v>4457</v>
      </c>
      <c r="C247" t="b">
        <v>1</v>
      </c>
      <c r="D247">
        <v>8064</v>
      </c>
      <c r="E247">
        <v>8200</v>
      </c>
      <c r="F247">
        <v>274.13333</v>
      </c>
      <c r="G247">
        <v>281.8</v>
      </c>
      <c r="H247">
        <v>0.97279400000000005</v>
      </c>
      <c r="I247">
        <v>2.7206022E-2</v>
      </c>
      <c r="J247">
        <v>0.50689530000000005</v>
      </c>
    </row>
    <row r="248" spans="1:10" x14ac:dyDescent="0.3">
      <c r="A248">
        <v>246</v>
      </c>
      <c r="B248">
        <v>4472</v>
      </c>
      <c r="C248" t="b">
        <v>1</v>
      </c>
      <c r="D248">
        <v>8128</v>
      </c>
      <c r="E248">
        <v>8200</v>
      </c>
      <c r="F248">
        <v>273.60000000000002</v>
      </c>
      <c r="G248">
        <v>281.8</v>
      </c>
      <c r="H248">
        <v>0.97090140000000003</v>
      </c>
      <c r="I248">
        <v>2.9098586999999999E-2</v>
      </c>
      <c r="J248">
        <v>0.50738203999999998</v>
      </c>
    </row>
    <row r="249" spans="1:10" x14ac:dyDescent="0.3">
      <c r="A249">
        <v>247</v>
      </c>
      <c r="B249">
        <v>4489</v>
      </c>
      <c r="C249" t="b">
        <v>1</v>
      </c>
      <c r="D249">
        <v>8088</v>
      </c>
      <c r="E249">
        <v>8208</v>
      </c>
      <c r="F249">
        <v>273.06668000000002</v>
      </c>
      <c r="G249">
        <v>281.8</v>
      </c>
      <c r="H249">
        <v>0.96900885999999997</v>
      </c>
      <c r="I249">
        <v>3.0991154E-2</v>
      </c>
      <c r="J249">
        <v>0.50786969999999998</v>
      </c>
    </row>
    <row r="250" spans="1:10" x14ac:dyDescent="0.3">
      <c r="A250">
        <v>248</v>
      </c>
      <c r="B250">
        <v>4504</v>
      </c>
      <c r="C250" t="b">
        <v>1</v>
      </c>
      <c r="D250">
        <v>8128</v>
      </c>
      <c r="E250">
        <v>8208</v>
      </c>
      <c r="F250">
        <v>274.13333</v>
      </c>
      <c r="G250">
        <v>281.8</v>
      </c>
      <c r="H250">
        <v>0.97279400000000005</v>
      </c>
      <c r="I250">
        <v>2.7206022E-2</v>
      </c>
      <c r="J250">
        <v>0.50689530000000005</v>
      </c>
    </row>
    <row r="251" spans="1:10" x14ac:dyDescent="0.3">
      <c r="A251">
        <v>249</v>
      </c>
      <c r="B251">
        <v>4520</v>
      </c>
      <c r="C251" t="b">
        <v>1</v>
      </c>
      <c r="D251">
        <v>8064</v>
      </c>
      <c r="E251">
        <v>8200</v>
      </c>
      <c r="F251">
        <v>272.53332999999998</v>
      </c>
      <c r="G251">
        <v>281.26666</v>
      </c>
      <c r="H251">
        <v>0.96894999999999998</v>
      </c>
      <c r="I251">
        <v>3.1050026000000001E-2</v>
      </c>
      <c r="J251">
        <v>0.50788489999999997</v>
      </c>
    </row>
    <row r="252" spans="1:10" x14ac:dyDescent="0.3">
      <c r="A252">
        <v>250</v>
      </c>
      <c r="B252">
        <v>4536</v>
      </c>
      <c r="C252" t="b">
        <v>1</v>
      </c>
      <c r="D252">
        <v>8144</v>
      </c>
      <c r="E252">
        <v>8184</v>
      </c>
      <c r="F252">
        <v>274.66665999999998</v>
      </c>
      <c r="G252">
        <v>281.26666</v>
      </c>
      <c r="H252">
        <v>0.97653469999999998</v>
      </c>
      <c r="I252">
        <v>2.3465297999999999E-2</v>
      </c>
      <c r="J252">
        <v>0.50593597000000001</v>
      </c>
    </row>
    <row r="253" spans="1:10" x14ac:dyDescent="0.3">
      <c r="A253">
        <v>251</v>
      </c>
      <c r="B253">
        <v>4552</v>
      </c>
      <c r="C253" t="b">
        <v>1</v>
      </c>
      <c r="D253">
        <v>8136</v>
      </c>
      <c r="E253">
        <v>8224</v>
      </c>
      <c r="F253">
        <v>275.73334</v>
      </c>
      <c r="G253">
        <v>281.8</v>
      </c>
      <c r="H253">
        <v>0.9784718</v>
      </c>
      <c r="I253">
        <v>2.1528214E-2</v>
      </c>
      <c r="J253">
        <v>0.50544060000000002</v>
      </c>
    </row>
    <row r="254" spans="1:10" x14ac:dyDescent="0.3">
      <c r="A254">
        <v>252</v>
      </c>
      <c r="B254">
        <v>4567</v>
      </c>
      <c r="C254" t="b">
        <v>1</v>
      </c>
      <c r="D254">
        <v>8104</v>
      </c>
      <c r="E254">
        <v>8208</v>
      </c>
      <c r="F254">
        <v>275.73334</v>
      </c>
      <c r="G254">
        <v>281.8</v>
      </c>
      <c r="H254">
        <v>0.9784718</v>
      </c>
      <c r="I254">
        <v>2.1528214E-2</v>
      </c>
      <c r="J254">
        <v>0.50544060000000002</v>
      </c>
    </row>
    <row r="255" spans="1:10" x14ac:dyDescent="0.3">
      <c r="A255">
        <v>253</v>
      </c>
      <c r="B255">
        <v>4583</v>
      </c>
      <c r="C255" t="b">
        <v>1</v>
      </c>
      <c r="D255">
        <v>8112</v>
      </c>
      <c r="E255">
        <v>8208</v>
      </c>
      <c r="F255">
        <v>274.66665999999998</v>
      </c>
      <c r="G255">
        <v>282.33334000000002</v>
      </c>
      <c r="H255">
        <v>0.97284526000000004</v>
      </c>
      <c r="I255">
        <v>2.7154734E-2</v>
      </c>
      <c r="J255">
        <v>0.50688213000000004</v>
      </c>
    </row>
    <row r="256" spans="1:10" x14ac:dyDescent="0.3">
      <c r="A256">
        <v>254</v>
      </c>
      <c r="B256">
        <v>4599</v>
      </c>
      <c r="C256" t="b">
        <v>1</v>
      </c>
      <c r="D256">
        <v>8096</v>
      </c>
      <c r="E256">
        <v>8208</v>
      </c>
      <c r="F256">
        <v>273.60000000000002</v>
      </c>
      <c r="G256">
        <v>282.86667</v>
      </c>
      <c r="H256">
        <v>0.96724014999999997</v>
      </c>
      <c r="I256">
        <v>3.2759826999999998E-2</v>
      </c>
      <c r="J256">
        <v>0.50832635000000004</v>
      </c>
    </row>
    <row r="257" spans="1:10" x14ac:dyDescent="0.3">
      <c r="A257">
        <v>255</v>
      </c>
      <c r="B257">
        <v>4615</v>
      </c>
      <c r="C257" t="b">
        <v>1</v>
      </c>
      <c r="D257">
        <v>8104</v>
      </c>
      <c r="E257">
        <v>8224</v>
      </c>
      <c r="F257">
        <v>272</v>
      </c>
      <c r="G257">
        <v>284.46667000000002</v>
      </c>
      <c r="H257">
        <v>0.95617527000000002</v>
      </c>
      <c r="I257">
        <v>4.3824729999999999E-2</v>
      </c>
      <c r="J257">
        <v>0.51120160000000003</v>
      </c>
    </row>
    <row r="258" spans="1:10" x14ac:dyDescent="0.3">
      <c r="A258">
        <v>256</v>
      </c>
      <c r="B258">
        <v>4631</v>
      </c>
      <c r="C258" t="b">
        <v>1</v>
      </c>
      <c r="D258">
        <v>8120</v>
      </c>
      <c r="E258">
        <v>8200</v>
      </c>
      <c r="F258">
        <v>270.39999999999998</v>
      </c>
      <c r="G258">
        <v>286.06668000000002</v>
      </c>
      <c r="H258">
        <v>0.94523409999999997</v>
      </c>
      <c r="I258">
        <v>5.4765858000000001E-2</v>
      </c>
      <c r="J258">
        <v>0.51407694999999998</v>
      </c>
    </row>
    <row r="259" spans="1:10" x14ac:dyDescent="0.3">
      <c r="A259">
        <v>257</v>
      </c>
      <c r="B259">
        <v>4647</v>
      </c>
      <c r="C259" t="b">
        <v>1</v>
      </c>
      <c r="D259">
        <v>8104</v>
      </c>
      <c r="E259">
        <v>8200</v>
      </c>
      <c r="F259">
        <v>268.8</v>
      </c>
      <c r="G259">
        <v>287.66665999999998</v>
      </c>
      <c r="H259">
        <v>0.93441479999999999</v>
      </c>
      <c r="I259">
        <v>6.5585180000000007E-2</v>
      </c>
      <c r="J259">
        <v>0.51695215999999999</v>
      </c>
    </row>
    <row r="260" spans="1:10" x14ac:dyDescent="0.3">
      <c r="A260">
        <v>258</v>
      </c>
      <c r="B260">
        <v>4678</v>
      </c>
      <c r="C260" t="b">
        <v>1</v>
      </c>
      <c r="D260">
        <v>8128</v>
      </c>
      <c r="E260">
        <v>8200</v>
      </c>
      <c r="F260">
        <v>267.73334</v>
      </c>
      <c r="G260">
        <v>288.2</v>
      </c>
      <c r="H260">
        <v>0.92898446000000001</v>
      </c>
      <c r="I260">
        <v>7.1015519999999999E-2</v>
      </c>
      <c r="J260">
        <v>0.51840746000000004</v>
      </c>
    </row>
    <row r="261" spans="1:10" x14ac:dyDescent="0.3">
      <c r="A261">
        <v>259</v>
      </c>
      <c r="B261">
        <v>4694</v>
      </c>
      <c r="C261" t="b">
        <v>1</v>
      </c>
      <c r="D261">
        <v>8112</v>
      </c>
      <c r="E261">
        <v>8192</v>
      </c>
      <c r="F261">
        <v>267.73334</v>
      </c>
      <c r="G261">
        <v>288.73334</v>
      </c>
      <c r="H261">
        <v>0.92726850000000005</v>
      </c>
      <c r="I261">
        <v>7.2731470000000006E-2</v>
      </c>
      <c r="J261">
        <v>0.51886904</v>
      </c>
    </row>
    <row r="262" spans="1:10" x14ac:dyDescent="0.3">
      <c r="A262">
        <v>260</v>
      </c>
      <c r="B262">
        <v>4709</v>
      </c>
      <c r="C262" t="b">
        <v>1</v>
      </c>
      <c r="D262">
        <v>8040</v>
      </c>
      <c r="E262">
        <v>8192</v>
      </c>
      <c r="F262">
        <v>268.8</v>
      </c>
      <c r="G262">
        <v>288.73334</v>
      </c>
      <c r="H262">
        <v>0.93096274000000001</v>
      </c>
      <c r="I262">
        <v>6.9037230000000005E-2</v>
      </c>
      <c r="J262">
        <v>0.51787640000000001</v>
      </c>
    </row>
    <row r="263" spans="1:10" x14ac:dyDescent="0.3">
      <c r="A263">
        <v>261</v>
      </c>
      <c r="B263">
        <v>4725</v>
      </c>
      <c r="C263" t="b">
        <v>1</v>
      </c>
      <c r="D263">
        <v>8112</v>
      </c>
      <c r="E263">
        <v>8200</v>
      </c>
      <c r="F263">
        <v>269.86667</v>
      </c>
      <c r="G263">
        <v>288.73334</v>
      </c>
      <c r="H263">
        <v>0.93465710000000002</v>
      </c>
      <c r="I263">
        <v>6.5342880000000006E-2</v>
      </c>
      <c r="J263">
        <v>0.51688750000000006</v>
      </c>
    </row>
    <row r="264" spans="1:10" x14ac:dyDescent="0.3">
      <c r="A264">
        <v>262</v>
      </c>
      <c r="B264">
        <v>4740</v>
      </c>
      <c r="C264" t="b">
        <v>1</v>
      </c>
      <c r="D264">
        <v>8104</v>
      </c>
      <c r="E264">
        <v>8224</v>
      </c>
      <c r="F264">
        <v>271.46667000000002</v>
      </c>
      <c r="G264">
        <v>288.73334</v>
      </c>
      <c r="H264">
        <v>0.9401986</v>
      </c>
      <c r="I264">
        <v>5.9801420000000001E-2</v>
      </c>
      <c r="J264">
        <v>0.51541113999999999</v>
      </c>
    </row>
    <row r="265" spans="1:10" x14ac:dyDescent="0.3">
      <c r="A265">
        <v>263</v>
      </c>
      <c r="B265">
        <v>4756</v>
      </c>
      <c r="C265" t="b">
        <v>1</v>
      </c>
      <c r="D265">
        <v>8112</v>
      </c>
      <c r="E265">
        <v>8216</v>
      </c>
      <c r="F265">
        <v>271.46667000000002</v>
      </c>
      <c r="G265">
        <v>288.73334</v>
      </c>
      <c r="H265">
        <v>0.9401986</v>
      </c>
      <c r="I265">
        <v>5.9801420000000001E-2</v>
      </c>
      <c r="J265">
        <v>0.51541113999999999</v>
      </c>
    </row>
    <row r="266" spans="1:10" x14ac:dyDescent="0.3">
      <c r="A266">
        <v>264</v>
      </c>
      <c r="B266">
        <v>4772</v>
      </c>
      <c r="C266" t="b">
        <v>1</v>
      </c>
      <c r="D266">
        <v>8128</v>
      </c>
      <c r="E266">
        <v>8200</v>
      </c>
      <c r="F266">
        <v>273.06668000000002</v>
      </c>
      <c r="G266">
        <v>288.73334</v>
      </c>
      <c r="H266">
        <v>0.94574004</v>
      </c>
      <c r="I266">
        <v>5.4259950000000001E-2</v>
      </c>
      <c r="J266">
        <v>0.51394324999999996</v>
      </c>
    </row>
    <row r="267" spans="1:10" x14ac:dyDescent="0.3">
      <c r="A267">
        <v>265</v>
      </c>
      <c r="B267">
        <v>4788</v>
      </c>
      <c r="C267" t="b">
        <v>1</v>
      </c>
      <c r="D267">
        <v>8088</v>
      </c>
      <c r="E267">
        <v>8200</v>
      </c>
      <c r="F267">
        <v>272</v>
      </c>
      <c r="G267">
        <v>288.73334</v>
      </c>
      <c r="H267">
        <v>0.94204569999999999</v>
      </c>
      <c r="I267">
        <v>5.7954296000000002E-2</v>
      </c>
      <c r="J267">
        <v>0.51492095000000004</v>
      </c>
    </row>
    <row r="268" spans="1:10" x14ac:dyDescent="0.3">
      <c r="A268">
        <v>266</v>
      </c>
      <c r="B268">
        <v>4804</v>
      </c>
      <c r="C268" t="b">
        <v>1</v>
      </c>
      <c r="D268">
        <v>8104</v>
      </c>
      <c r="E268">
        <v>8192</v>
      </c>
      <c r="F268">
        <v>270.39999999999998</v>
      </c>
      <c r="G268">
        <v>288.2</v>
      </c>
      <c r="H268">
        <v>0.93823725000000002</v>
      </c>
      <c r="I268">
        <v>6.1762723999999998E-2</v>
      </c>
      <c r="J268">
        <v>0.51593274</v>
      </c>
    </row>
    <row r="269" spans="1:10" x14ac:dyDescent="0.3">
      <c r="A269">
        <v>267</v>
      </c>
      <c r="B269">
        <v>4819</v>
      </c>
      <c r="C269" t="b">
        <v>1</v>
      </c>
      <c r="D269">
        <v>8112</v>
      </c>
      <c r="E269">
        <v>8216</v>
      </c>
      <c r="F269">
        <v>269.33334000000002</v>
      </c>
      <c r="G269">
        <v>287.66665999999998</v>
      </c>
      <c r="H269">
        <v>0.93626889999999996</v>
      </c>
      <c r="I269">
        <v>6.3731103999999997E-2</v>
      </c>
      <c r="J269">
        <v>0.51645719999999995</v>
      </c>
    </row>
    <row r="270" spans="1:10" x14ac:dyDescent="0.3">
      <c r="A270">
        <v>268</v>
      </c>
      <c r="B270">
        <v>4835</v>
      </c>
      <c r="C270" t="b">
        <v>1</v>
      </c>
      <c r="D270">
        <v>8088</v>
      </c>
      <c r="E270">
        <v>8208</v>
      </c>
      <c r="F270">
        <v>268.8</v>
      </c>
      <c r="G270">
        <v>287.13333</v>
      </c>
      <c r="H270">
        <v>0.93615042999999998</v>
      </c>
      <c r="I270">
        <v>6.3849580000000003E-2</v>
      </c>
      <c r="J270">
        <v>0.51648879999999997</v>
      </c>
    </row>
    <row r="271" spans="1:10" x14ac:dyDescent="0.3">
      <c r="A271">
        <v>269</v>
      </c>
      <c r="B271">
        <v>4851</v>
      </c>
      <c r="C271" t="b">
        <v>1</v>
      </c>
      <c r="D271">
        <v>8136</v>
      </c>
      <c r="E271">
        <v>8192</v>
      </c>
      <c r="F271">
        <v>268.26666</v>
      </c>
      <c r="G271">
        <v>286.60000000000002</v>
      </c>
      <c r="H271">
        <v>0.93603159999999996</v>
      </c>
      <c r="I271">
        <v>6.3968399999999995E-2</v>
      </c>
      <c r="J271">
        <v>0.51652043999999997</v>
      </c>
    </row>
    <row r="272" spans="1:10" x14ac:dyDescent="0.3">
      <c r="A272">
        <v>270</v>
      </c>
      <c r="B272">
        <v>4867</v>
      </c>
      <c r="C272" t="b">
        <v>1</v>
      </c>
      <c r="D272">
        <v>8104</v>
      </c>
      <c r="E272">
        <v>8200</v>
      </c>
      <c r="F272">
        <v>268.26666</v>
      </c>
      <c r="G272">
        <v>286.06668000000002</v>
      </c>
      <c r="H272">
        <v>0.93777670000000002</v>
      </c>
      <c r="I272">
        <v>6.2223319999999999E-2</v>
      </c>
      <c r="J272">
        <v>0.51605529999999999</v>
      </c>
    </row>
    <row r="273" spans="1:10" x14ac:dyDescent="0.3">
      <c r="A273">
        <v>271</v>
      </c>
      <c r="B273">
        <v>4883</v>
      </c>
      <c r="C273" t="b">
        <v>1</v>
      </c>
      <c r="D273">
        <v>8088</v>
      </c>
      <c r="E273">
        <v>8208</v>
      </c>
      <c r="F273">
        <v>268.26666</v>
      </c>
      <c r="G273">
        <v>286.06668000000002</v>
      </c>
      <c r="H273">
        <v>0.93777670000000002</v>
      </c>
      <c r="I273">
        <v>6.2223319999999999E-2</v>
      </c>
      <c r="J273">
        <v>0.51605529999999999</v>
      </c>
    </row>
    <row r="274" spans="1:10" x14ac:dyDescent="0.3">
      <c r="A274">
        <v>272</v>
      </c>
      <c r="B274">
        <v>4899</v>
      </c>
      <c r="C274" t="b">
        <v>1</v>
      </c>
      <c r="D274">
        <v>8104</v>
      </c>
      <c r="E274">
        <v>8224</v>
      </c>
      <c r="F274">
        <v>268.26666</v>
      </c>
      <c r="G274">
        <v>286.06668000000002</v>
      </c>
      <c r="H274">
        <v>0.93777670000000002</v>
      </c>
      <c r="I274">
        <v>6.2223319999999999E-2</v>
      </c>
      <c r="J274">
        <v>0.51605529999999999</v>
      </c>
    </row>
    <row r="275" spans="1:10" x14ac:dyDescent="0.3">
      <c r="A275">
        <v>273</v>
      </c>
      <c r="B275">
        <v>4915</v>
      </c>
      <c r="C275" t="b">
        <v>1</v>
      </c>
      <c r="D275">
        <v>8104</v>
      </c>
      <c r="E275">
        <v>8176</v>
      </c>
      <c r="F275">
        <v>268.26666</v>
      </c>
      <c r="G275">
        <v>286.06668000000002</v>
      </c>
      <c r="H275">
        <v>0.93777670000000002</v>
      </c>
      <c r="I275">
        <v>6.2223319999999999E-2</v>
      </c>
      <c r="J275">
        <v>0.51605529999999999</v>
      </c>
    </row>
    <row r="276" spans="1:10" x14ac:dyDescent="0.3">
      <c r="A276">
        <v>274</v>
      </c>
      <c r="B276">
        <v>4930</v>
      </c>
      <c r="C276" t="b">
        <v>1</v>
      </c>
      <c r="D276">
        <v>8104</v>
      </c>
      <c r="E276">
        <v>8208</v>
      </c>
      <c r="F276">
        <v>267.73334</v>
      </c>
      <c r="G276">
        <v>286.60000000000002</v>
      </c>
      <c r="H276">
        <v>0.93417070000000002</v>
      </c>
      <c r="I276">
        <v>6.5829269999999995E-2</v>
      </c>
      <c r="J276">
        <v>0.51701739999999996</v>
      </c>
    </row>
    <row r="277" spans="1:10" x14ac:dyDescent="0.3">
      <c r="A277">
        <v>275</v>
      </c>
      <c r="B277">
        <v>4946</v>
      </c>
      <c r="C277" t="b">
        <v>1</v>
      </c>
      <c r="D277">
        <v>8128</v>
      </c>
      <c r="E277">
        <v>8200</v>
      </c>
      <c r="F277">
        <v>267.2</v>
      </c>
      <c r="G277">
        <v>287.13333</v>
      </c>
      <c r="H277">
        <v>0.93057820000000002</v>
      </c>
      <c r="I277">
        <v>6.9421819999999995E-2</v>
      </c>
      <c r="J277">
        <v>0.51797950000000004</v>
      </c>
    </row>
    <row r="278" spans="1:10" x14ac:dyDescent="0.3">
      <c r="A278">
        <v>276</v>
      </c>
      <c r="B278">
        <v>4962</v>
      </c>
      <c r="C278" t="b">
        <v>1</v>
      </c>
      <c r="D278">
        <v>8088</v>
      </c>
      <c r="E278">
        <v>8176</v>
      </c>
      <c r="F278">
        <v>266.66665999999998</v>
      </c>
      <c r="G278">
        <v>287.13333</v>
      </c>
      <c r="H278">
        <v>0.92872065000000004</v>
      </c>
      <c r="I278">
        <v>7.1279339999999997E-2</v>
      </c>
      <c r="J278">
        <v>0.51847840000000001</v>
      </c>
    </row>
    <row r="279" spans="1:10" x14ac:dyDescent="0.3">
      <c r="A279">
        <v>277</v>
      </c>
      <c r="B279">
        <v>4977</v>
      </c>
      <c r="C279" t="b">
        <v>1</v>
      </c>
      <c r="D279">
        <v>8104</v>
      </c>
      <c r="E279">
        <v>8200</v>
      </c>
      <c r="F279">
        <v>266.13333</v>
      </c>
      <c r="G279">
        <v>287.13333</v>
      </c>
      <c r="H279">
        <v>0.92686325000000003</v>
      </c>
      <c r="I279">
        <v>7.3136753999999998E-2</v>
      </c>
      <c r="J279">
        <v>0.51897819999999995</v>
      </c>
    </row>
    <row r="280" spans="1:10" x14ac:dyDescent="0.3">
      <c r="A280">
        <v>278</v>
      </c>
      <c r="B280">
        <v>4992</v>
      </c>
      <c r="C280" t="b">
        <v>1</v>
      </c>
      <c r="D280">
        <v>8064</v>
      </c>
      <c r="E280">
        <v>8192</v>
      </c>
      <c r="F280">
        <v>265.60000000000002</v>
      </c>
      <c r="G280">
        <v>287.13333</v>
      </c>
      <c r="H280">
        <v>0.92500585000000002</v>
      </c>
      <c r="I280">
        <v>7.4994169999999999E-2</v>
      </c>
      <c r="J280">
        <v>0.51947889999999997</v>
      </c>
    </row>
    <row r="281" spans="1:10" x14ac:dyDescent="0.3">
      <c r="A281">
        <v>279</v>
      </c>
      <c r="B281">
        <v>5008</v>
      </c>
      <c r="C281" t="b">
        <v>1</v>
      </c>
      <c r="D281">
        <v>8088</v>
      </c>
      <c r="E281">
        <v>8200</v>
      </c>
      <c r="F281">
        <v>264</v>
      </c>
      <c r="G281">
        <v>287.13333</v>
      </c>
      <c r="H281">
        <v>0.91943350000000001</v>
      </c>
      <c r="I281">
        <v>8.0566509999999994E-2</v>
      </c>
      <c r="J281">
        <v>0.52098710000000004</v>
      </c>
    </row>
    <row r="282" spans="1:10" x14ac:dyDescent="0.3">
      <c r="A282">
        <v>280</v>
      </c>
      <c r="B282">
        <v>5023</v>
      </c>
      <c r="C282" t="b">
        <v>1</v>
      </c>
      <c r="D282">
        <v>8048</v>
      </c>
      <c r="E282">
        <v>8152</v>
      </c>
      <c r="F282">
        <v>262.39999999999998</v>
      </c>
      <c r="G282">
        <v>286.60000000000002</v>
      </c>
      <c r="H282">
        <v>0.91556174000000001</v>
      </c>
      <c r="I282">
        <v>8.4438280000000004E-2</v>
      </c>
      <c r="J282">
        <v>0.52204006999999997</v>
      </c>
    </row>
    <row r="283" spans="1:10" x14ac:dyDescent="0.3">
      <c r="A283">
        <v>281</v>
      </c>
      <c r="B283">
        <v>5039</v>
      </c>
      <c r="C283" t="b">
        <v>1</v>
      </c>
      <c r="D283">
        <v>8128</v>
      </c>
      <c r="E283">
        <v>8200</v>
      </c>
      <c r="F283">
        <v>261.33334000000002</v>
      </c>
      <c r="G283">
        <v>286.60000000000002</v>
      </c>
      <c r="H283">
        <v>0.91183996</v>
      </c>
      <c r="I283">
        <v>8.8160020000000006E-2</v>
      </c>
      <c r="J283">
        <v>0.52305630000000003</v>
      </c>
    </row>
    <row r="284" spans="1:10" x14ac:dyDescent="0.3">
      <c r="A284">
        <v>282</v>
      </c>
      <c r="B284">
        <v>5054</v>
      </c>
      <c r="C284" t="b">
        <v>1</v>
      </c>
      <c r="D284">
        <v>8152</v>
      </c>
      <c r="E284">
        <v>8224</v>
      </c>
      <c r="F284">
        <v>259.73334</v>
      </c>
      <c r="G284">
        <v>286.60000000000002</v>
      </c>
      <c r="H284">
        <v>0.90625730000000004</v>
      </c>
      <c r="I284">
        <v>9.3742735999999993E-2</v>
      </c>
      <c r="J284">
        <v>0.5245881</v>
      </c>
    </row>
    <row r="285" spans="1:10" x14ac:dyDescent="0.3">
      <c r="A285">
        <v>283</v>
      </c>
      <c r="B285">
        <v>5070</v>
      </c>
      <c r="C285" t="b">
        <v>1</v>
      </c>
      <c r="D285">
        <v>8104</v>
      </c>
      <c r="E285">
        <v>8224</v>
      </c>
      <c r="F285">
        <v>259.73334</v>
      </c>
      <c r="G285">
        <v>286.60000000000002</v>
      </c>
      <c r="H285">
        <v>0.90625730000000004</v>
      </c>
      <c r="I285">
        <v>9.3742735999999993E-2</v>
      </c>
      <c r="J285">
        <v>0.5245881</v>
      </c>
    </row>
    <row r="286" spans="1:10" x14ac:dyDescent="0.3">
      <c r="A286">
        <v>284</v>
      </c>
      <c r="B286">
        <v>5086</v>
      </c>
      <c r="C286" t="b">
        <v>1</v>
      </c>
      <c r="D286">
        <v>8152</v>
      </c>
      <c r="E286">
        <v>8216</v>
      </c>
      <c r="F286">
        <v>261.33334000000002</v>
      </c>
      <c r="G286">
        <v>287.66665999999998</v>
      </c>
      <c r="H286">
        <v>0.90845894999999999</v>
      </c>
      <c r="I286">
        <v>9.1541070000000002E-2</v>
      </c>
      <c r="J286">
        <v>0.52398299999999998</v>
      </c>
    </row>
    <row r="287" spans="1:10" x14ac:dyDescent="0.3">
      <c r="A287">
        <v>285</v>
      </c>
      <c r="B287">
        <v>5102</v>
      </c>
      <c r="C287" t="b">
        <v>1</v>
      </c>
      <c r="D287">
        <v>8128</v>
      </c>
      <c r="E287">
        <v>8216</v>
      </c>
      <c r="F287">
        <v>262.93331999999998</v>
      </c>
      <c r="G287">
        <v>288.73334</v>
      </c>
      <c r="H287">
        <v>0.91064409999999996</v>
      </c>
      <c r="I287">
        <v>8.9355870000000004E-2</v>
      </c>
      <c r="J287">
        <v>0.52338373999999999</v>
      </c>
    </row>
    <row r="288" spans="1:10" x14ac:dyDescent="0.3">
      <c r="A288">
        <v>286</v>
      </c>
      <c r="B288">
        <v>5118</v>
      </c>
      <c r="C288" t="b">
        <v>1</v>
      </c>
      <c r="D288">
        <v>8112</v>
      </c>
      <c r="E288">
        <v>8224</v>
      </c>
      <c r="F288">
        <v>264.53332999999998</v>
      </c>
      <c r="G288">
        <v>289.8</v>
      </c>
      <c r="H288">
        <v>0.9128134</v>
      </c>
      <c r="I288">
        <v>8.7186550000000002E-2</v>
      </c>
      <c r="J288">
        <v>0.52279012999999996</v>
      </c>
    </row>
    <row r="289" spans="1:10" x14ac:dyDescent="0.3">
      <c r="A289">
        <v>287</v>
      </c>
      <c r="B289">
        <v>5133</v>
      </c>
      <c r="C289" t="b">
        <v>1</v>
      </c>
      <c r="D289">
        <v>8088</v>
      </c>
      <c r="E289">
        <v>8200</v>
      </c>
      <c r="F289">
        <v>265.06668000000002</v>
      </c>
      <c r="G289">
        <v>290.33334000000002</v>
      </c>
      <c r="H289">
        <v>0.91297360000000005</v>
      </c>
      <c r="I289">
        <v>8.7026389999999995E-2</v>
      </c>
      <c r="J289">
        <v>0.52274640000000006</v>
      </c>
    </row>
    <row r="290" spans="1:10" x14ac:dyDescent="0.3">
      <c r="A290">
        <v>288</v>
      </c>
      <c r="B290">
        <v>5149</v>
      </c>
      <c r="C290" t="b">
        <v>1</v>
      </c>
      <c r="D290">
        <v>8128</v>
      </c>
      <c r="E290">
        <v>8200</v>
      </c>
      <c r="F290">
        <v>266.66665999999998</v>
      </c>
      <c r="G290">
        <v>291.39999999999998</v>
      </c>
      <c r="H290">
        <v>0.9151224</v>
      </c>
      <c r="I290">
        <v>8.4877620000000001E-2</v>
      </c>
      <c r="J290">
        <v>0.52215979999999995</v>
      </c>
    </row>
    <row r="291" spans="1:10" x14ac:dyDescent="0.3">
      <c r="A291">
        <v>289</v>
      </c>
      <c r="B291">
        <v>5179</v>
      </c>
      <c r="C291" t="b">
        <v>1</v>
      </c>
      <c r="D291">
        <v>8128</v>
      </c>
      <c r="E291">
        <v>8216</v>
      </c>
      <c r="F291">
        <v>268.26666</v>
      </c>
      <c r="G291">
        <v>291.93331999999998</v>
      </c>
      <c r="H291">
        <v>0.91893130000000001</v>
      </c>
      <c r="I291">
        <v>8.1068710000000002E-2</v>
      </c>
      <c r="J291">
        <v>0.52112340000000001</v>
      </c>
    </row>
    <row r="292" spans="1:10" x14ac:dyDescent="0.3">
      <c r="A292">
        <v>290</v>
      </c>
      <c r="B292">
        <v>5195</v>
      </c>
      <c r="C292" t="b">
        <v>1</v>
      </c>
      <c r="D292">
        <v>8104</v>
      </c>
      <c r="E292">
        <v>8200</v>
      </c>
      <c r="F292">
        <v>268.8</v>
      </c>
      <c r="G292">
        <v>291.39999999999998</v>
      </c>
      <c r="H292">
        <v>0.92244333000000001</v>
      </c>
      <c r="I292">
        <v>7.7556650000000005E-2</v>
      </c>
      <c r="J292">
        <v>0.52017139999999995</v>
      </c>
    </row>
    <row r="293" spans="1:10" x14ac:dyDescent="0.3">
      <c r="A293">
        <v>291</v>
      </c>
      <c r="B293">
        <v>5211</v>
      </c>
      <c r="C293" t="b">
        <v>1</v>
      </c>
      <c r="D293">
        <v>8064</v>
      </c>
      <c r="E293">
        <v>8200</v>
      </c>
      <c r="F293">
        <v>268.8</v>
      </c>
      <c r="G293">
        <v>291.39999999999998</v>
      </c>
      <c r="H293">
        <v>0.92244333000000001</v>
      </c>
      <c r="I293">
        <v>7.7556650000000005E-2</v>
      </c>
      <c r="J293">
        <v>0.52017139999999995</v>
      </c>
    </row>
    <row r="294" spans="1:10" x14ac:dyDescent="0.3">
      <c r="A294">
        <v>292</v>
      </c>
      <c r="B294">
        <v>5227</v>
      </c>
      <c r="C294" t="b">
        <v>1</v>
      </c>
      <c r="D294">
        <v>8064</v>
      </c>
      <c r="E294">
        <v>8200</v>
      </c>
      <c r="F294">
        <v>268.8</v>
      </c>
      <c r="G294">
        <v>291.39999999999998</v>
      </c>
      <c r="H294">
        <v>0.92244333000000001</v>
      </c>
      <c r="I294">
        <v>7.7556650000000005E-2</v>
      </c>
      <c r="J294">
        <v>0.52017139999999995</v>
      </c>
    </row>
    <row r="295" spans="1:10" x14ac:dyDescent="0.3">
      <c r="A295">
        <v>293</v>
      </c>
      <c r="B295">
        <v>5242</v>
      </c>
      <c r="C295" t="b">
        <v>1</v>
      </c>
      <c r="D295">
        <v>8080</v>
      </c>
      <c r="E295">
        <v>8200</v>
      </c>
      <c r="F295">
        <v>267.2</v>
      </c>
      <c r="G295">
        <v>291.39999999999998</v>
      </c>
      <c r="H295">
        <v>0.91695269999999995</v>
      </c>
      <c r="I295">
        <v>8.3047289999999996E-2</v>
      </c>
      <c r="J295">
        <v>0.52166129999999999</v>
      </c>
    </row>
    <row r="296" spans="1:10" x14ac:dyDescent="0.3">
      <c r="A296">
        <v>294</v>
      </c>
      <c r="B296">
        <v>5258</v>
      </c>
      <c r="C296" t="b">
        <v>1</v>
      </c>
      <c r="D296">
        <v>8096</v>
      </c>
      <c r="E296">
        <v>8184</v>
      </c>
      <c r="F296">
        <v>266.66665999999998</v>
      </c>
      <c r="G296">
        <v>291.39999999999998</v>
      </c>
      <c r="H296">
        <v>0.9151224</v>
      </c>
      <c r="I296">
        <v>8.4877620000000001E-2</v>
      </c>
      <c r="J296">
        <v>0.52215979999999995</v>
      </c>
    </row>
    <row r="297" spans="1:10" x14ac:dyDescent="0.3">
      <c r="A297">
        <v>295</v>
      </c>
      <c r="B297">
        <v>5274</v>
      </c>
      <c r="C297" t="b">
        <v>1</v>
      </c>
      <c r="D297">
        <v>8088</v>
      </c>
      <c r="E297">
        <v>8200</v>
      </c>
      <c r="F297">
        <v>266.13333</v>
      </c>
      <c r="G297">
        <v>291.93331999999998</v>
      </c>
      <c r="H297">
        <v>0.91162370000000004</v>
      </c>
      <c r="I297">
        <v>8.8376306000000002E-2</v>
      </c>
      <c r="J297">
        <v>0.52311549999999996</v>
      </c>
    </row>
    <row r="298" spans="1:10" x14ac:dyDescent="0.3">
      <c r="A298">
        <v>296</v>
      </c>
      <c r="B298">
        <v>5289</v>
      </c>
      <c r="C298" t="b">
        <v>1</v>
      </c>
      <c r="D298">
        <v>8104</v>
      </c>
      <c r="E298">
        <v>8200</v>
      </c>
      <c r="F298">
        <v>266.13333</v>
      </c>
      <c r="G298">
        <v>291.93331999999998</v>
      </c>
      <c r="H298">
        <v>0.91162370000000004</v>
      </c>
      <c r="I298">
        <v>8.8376306000000002E-2</v>
      </c>
      <c r="J298">
        <v>0.52311549999999996</v>
      </c>
    </row>
    <row r="299" spans="1:10" x14ac:dyDescent="0.3">
      <c r="A299">
        <v>297</v>
      </c>
      <c r="B299">
        <v>5305</v>
      </c>
      <c r="C299" t="b">
        <v>1</v>
      </c>
      <c r="D299">
        <v>8088</v>
      </c>
      <c r="E299">
        <v>8160</v>
      </c>
      <c r="F299">
        <v>266.13333</v>
      </c>
      <c r="G299">
        <v>291.93331999999998</v>
      </c>
      <c r="H299">
        <v>0.91162370000000004</v>
      </c>
      <c r="I299">
        <v>8.8376306000000002E-2</v>
      </c>
      <c r="J299">
        <v>0.52311549999999996</v>
      </c>
    </row>
    <row r="300" spans="1:10" x14ac:dyDescent="0.3">
      <c r="A300">
        <v>298</v>
      </c>
      <c r="B300">
        <v>5321</v>
      </c>
      <c r="C300" t="b">
        <v>1</v>
      </c>
      <c r="D300">
        <v>8104</v>
      </c>
      <c r="E300">
        <v>8200</v>
      </c>
      <c r="F300">
        <v>265.60000000000002</v>
      </c>
      <c r="G300">
        <v>291.93331999999998</v>
      </c>
      <c r="H300">
        <v>0.90979683</v>
      </c>
      <c r="I300">
        <v>9.0203179999999994E-2</v>
      </c>
      <c r="J300">
        <v>0.52361590000000002</v>
      </c>
    </row>
    <row r="301" spans="1:10" x14ac:dyDescent="0.3">
      <c r="A301">
        <v>299</v>
      </c>
      <c r="B301">
        <v>5337</v>
      </c>
      <c r="C301" t="b">
        <v>1</v>
      </c>
      <c r="D301">
        <v>8128</v>
      </c>
      <c r="E301">
        <v>8200</v>
      </c>
      <c r="F301">
        <v>264</v>
      </c>
      <c r="G301">
        <v>290.86667</v>
      </c>
      <c r="H301">
        <v>0.90763234999999998</v>
      </c>
      <c r="I301">
        <v>9.2367640000000001E-2</v>
      </c>
      <c r="J301">
        <v>0.52420999999999995</v>
      </c>
    </row>
    <row r="302" spans="1:10" x14ac:dyDescent="0.3">
      <c r="A302">
        <v>300</v>
      </c>
      <c r="B302">
        <v>5353</v>
      </c>
      <c r="C302" t="b">
        <v>1</v>
      </c>
      <c r="D302">
        <v>8136</v>
      </c>
      <c r="E302">
        <v>8176</v>
      </c>
      <c r="F302">
        <v>262.39999999999998</v>
      </c>
      <c r="G302">
        <v>289.8</v>
      </c>
      <c r="H302">
        <v>0.90545209999999998</v>
      </c>
      <c r="I302">
        <v>9.4547950000000006E-2</v>
      </c>
      <c r="J302">
        <v>0.52480990000000005</v>
      </c>
    </row>
    <row r="303" spans="1:10" x14ac:dyDescent="0.3">
      <c r="A303">
        <v>301</v>
      </c>
      <c r="B303">
        <v>5369</v>
      </c>
      <c r="C303" t="b">
        <v>1</v>
      </c>
      <c r="D303">
        <v>8104</v>
      </c>
      <c r="E303">
        <v>8176</v>
      </c>
      <c r="F303">
        <v>260.8</v>
      </c>
      <c r="G303">
        <v>286.60000000000002</v>
      </c>
      <c r="H303">
        <v>0.90997899999999998</v>
      </c>
      <c r="I303">
        <v>9.0021000000000004E-2</v>
      </c>
      <c r="J303">
        <v>0.52356594999999995</v>
      </c>
    </row>
    <row r="304" spans="1:10" x14ac:dyDescent="0.3">
      <c r="A304">
        <v>302</v>
      </c>
      <c r="B304">
        <v>5385</v>
      </c>
      <c r="C304" t="b">
        <v>1</v>
      </c>
      <c r="D304">
        <v>8104</v>
      </c>
      <c r="E304">
        <v>8200</v>
      </c>
      <c r="F304">
        <v>260.26666</v>
      </c>
      <c r="G304">
        <v>285.53332999999998</v>
      </c>
      <c r="H304">
        <v>0.91151064999999998</v>
      </c>
      <c r="I304">
        <v>8.8489369999999998E-2</v>
      </c>
      <c r="J304">
        <v>0.52314645000000004</v>
      </c>
    </row>
    <row r="305" spans="1:10" x14ac:dyDescent="0.3">
      <c r="A305">
        <v>303</v>
      </c>
      <c r="B305">
        <v>5401</v>
      </c>
      <c r="C305" t="b">
        <v>1</v>
      </c>
      <c r="D305">
        <v>8096</v>
      </c>
      <c r="E305">
        <v>8216</v>
      </c>
      <c r="F305">
        <v>258.66665999999998</v>
      </c>
      <c r="G305">
        <v>284.46667000000002</v>
      </c>
      <c r="H305">
        <v>0.90930390000000005</v>
      </c>
      <c r="I305">
        <v>9.0696104E-2</v>
      </c>
      <c r="J305">
        <v>0.52375114</v>
      </c>
    </row>
    <row r="306" spans="1:10" x14ac:dyDescent="0.3">
      <c r="A306">
        <v>304</v>
      </c>
      <c r="B306">
        <v>5416</v>
      </c>
      <c r="C306" t="b">
        <v>1</v>
      </c>
      <c r="D306">
        <v>8096</v>
      </c>
      <c r="E306">
        <v>8200</v>
      </c>
      <c r="F306">
        <v>257.06668000000002</v>
      </c>
      <c r="G306">
        <v>283.39999999999998</v>
      </c>
      <c r="H306">
        <v>0.90708076999999998</v>
      </c>
      <c r="I306">
        <v>9.2919244999999998E-2</v>
      </c>
      <c r="J306">
        <v>0.52436167</v>
      </c>
    </row>
    <row r="307" spans="1:10" x14ac:dyDescent="0.3">
      <c r="A307">
        <v>305</v>
      </c>
      <c r="B307">
        <v>5432</v>
      </c>
      <c r="C307" t="b">
        <v>1</v>
      </c>
      <c r="D307">
        <v>8128</v>
      </c>
      <c r="E307">
        <v>8216</v>
      </c>
      <c r="F307">
        <v>256.53332999999998</v>
      </c>
      <c r="G307">
        <v>283.39999999999998</v>
      </c>
      <c r="H307">
        <v>0.90519875000000005</v>
      </c>
      <c r="I307">
        <v>9.480123E-2</v>
      </c>
      <c r="J307">
        <v>0.5248796</v>
      </c>
    </row>
    <row r="308" spans="1:10" x14ac:dyDescent="0.3">
      <c r="A308">
        <v>306</v>
      </c>
      <c r="B308">
        <v>5463</v>
      </c>
      <c r="C308" t="b">
        <v>1</v>
      </c>
      <c r="D308">
        <v>8112</v>
      </c>
      <c r="E308">
        <v>8200</v>
      </c>
      <c r="F308">
        <v>256.53332999999998</v>
      </c>
      <c r="G308">
        <v>283.39999999999998</v>
      </c>
      <c r="H308">
        <v>0.90519875000000005</v>
      </c>
      <c r="I308">
        <v>9.480123E-2</v>
      </c>
      <c r="J308">
        <v>0.5248796</v>
      </c>
    </row>
    <row r="309" spans="1:10" x14ac:dyDescent="0.3">
      <c r="A309">
        <v>307</v>
      </c>
      <c r="B309">
        <v>5480</v>
      </c>
      <c r="C309" t="b">
        <v>1</v>
      </c>
      <c r="D309">
        <v>8072</v>
      </c>
      <c r="E309">
        <v>8200</v>
      </c>
      <c r="F309">
        <v>256</v>
      </c>
      <c r="G309">
        <v>283.39999999999998</v>
      </c>
      <c r="H309">
        <v>0.90331689999999998</v>
      </c>
      <c r="I309">
        <v>9.6683115E-2</v>
      </c>
      <c r="J309">
        <v>0.52539855000000002</v>
      </c>
    </row>
    <row r="310" spans="1:10" x14ac:dyDescent="0.3">
      <c r="A310">
        <v>308</v>
      </c>
      <c r="B310">
        <v>5495</v>
      </c>
      <c r="C310" t="b">
        <v>1</v>
      </c>
      <c r="D310">
        <v>8104</v>
      </c>
      <c r="E310">
        <v>8200</v>
      </c>
      <c r="F310">
        <v>257.60000000000002</v>
      </c>
      <c r="G310">
        <v>283.39999999999998</v>
      </c>
      <c r="H310">
        <v>0.90896266999999997</v>
      </c>
      <c r="I310">
        <v>9.1037359999999998E-2</v>
      </c>
      <c r="J310">
        <v>0.52384470000000005</v>
      </c>
    </row>
    <row r="311" spans="1:10" x14ac:dyDescent="0.3">
      <c r="A311">
        <v>309</v>
      </c>
      <c r="B311">
        <v>5511</v>
      </c>
      <c r="C311" t="b">
        <v>1</v>
      </c>
      <c r="D311">
        <v>8104</v>
      </c>
      <c r="E311">
        <v>8176</v>
      </c>
      <c r="F311">
        <v>259.2</v>
      </c>
      <c r="G311">
        <v>283.39999999999998</v>
      </c>
      <c r="H311">
        <v>0.91460839999999999</v>
      </c>
      <c r="I311">
        <v>8.5391610000000007E-2</v>
      </c>
      <c r="J311">
        <v>0.52230005999999995</v>
      </c>
    </row>
    <row r="312" spans="1:10" x14ac:dyDescent="0.3">
      <c r="A312">
        <v>310</v>
      </c>
      <c r="B312">
        <v>5527</v>
      </c>
      <c r="C312" t="b">
        <v>1</v>
      </c>
      <c r="D312">
        <v>8120</v>
      </c>
      <c r="E312">
        <v>8200</v>
      </c>
      <c r="F312">
        <v>260.8</v>
      </c>
      <c r="G312">
        <v>283.39999999999998</v>
      </c>
      <c r="H312">
        <v>0.92025405000000005</v>
      </c>
      <c r="I312">
        <v>7.9745960000000005E-2</v>
      </c>
      <c r="J312">
        <v>0.52076447000000003</v>
      </c>
    </row>
    <row r="313" spans="1:10" x14ac:dyDescent="0.3">
      <c r="A313">
        <v>311</v>
      </c>
      <c r="B313">
        <v>5543</v>
      </c>
      <c r="C313" t="b">
        <v>1</v>
      </c>
      <c r="D313">
        <v>8088</v>
      </c>
      <c r="E313">
        <v>8200</v>
      </c>
      <c r="F313">
        <v>261.86667</v>
      </c>
      <c r="G313">
        <v>283.39999999999998</v>
      </c>
      <c r="H313">
        <v>0.92401789999999995</v>
      </c>
      <c r="I313">
        <v>7.5982094E-2</v>
      </c>
      <c r="J313">
        <v>0.51974569999999998</v>
      </c>
    </row>
    <row r="314" spans="1:10" x14ac:dyDescent="0.3">
      <c r="A314">
        <v>312</v>
      </c>
      <c r="B314">
        <v>5559</v>
      </c>
      <c r="C314" t="b">
        <v>1</v>
      </c>
      <c r="D314">
        <v>8096</v>
      </c>
      <c r="E314">
        <v>8176</v>
      </c>
      <c r="F314">
        <v>262.93331999999998</v>
      </c>
      <c r="G314">
        <v>283.39999999999998</v>
      </c>
      <c r="H314">
        <v>0.92778163999999996</v>
      </c>
      <c r="I314">
        <v>7.2218329999999997E-2</v>
      </c>
      <c r="J314">
        <v>0.51873093999999997</v>
      </c>
    </row>
    <row r="315" spans="1:10" x14ac:dyDescent="0.3">
      <c r="A315">
        <v>313</v>
      </c>
      <c r="B315">
        <v>5575</v>
      </c>
      <c r="C315" t="b">
        <v>1</v>
      </c>
      <c r="D315">
        <v>8104</v>
      </c>
      <c r="E315">
        <v>8208</v>
      </c>
      <c r="F315">
        <v>263.46667000000002</v>
      </c>
      <c r="G315">
        <v>283.39999999999998</v>
      </c>
      <c r="H315">
        <v>0.92966366</v>
      </c>
      <c r="I315">
        <v>7.0336339999999997E-2</v>
      </c>
      <c r="J315">
        <v>0.51822500000000005</v>
      </c>
    </row>
    <row r="316" spans="1:10" x14ac:dyDescent="0.3">
      <c r="A316">
        <v>314</v>
      </c>
      <c r="B316">
        <v>5591</v>
      </c>
      <c r="C316" t="b">
        <v>1</v>
      </c>
      <c r="D316">
        <v>8168</v>
      </c>
      <c r="E316">
        <v>8208</v>
      </c>
      <c r="F316">
        <v>263.46667000000002</v>
      </c>
      <c r="G316">
        <v>283.39999999999998</v>
      </c>
      <c r="H316">
        <v>0.92966366</v>
      </c>
      <c r="I316">
        <v>7.0336339999999997E-2</v>
      </c>
      <c r="J316">
        <v>0.51822500000000005</v>
      </c>
    </row>
    <row r="317" spans="1:10" x14ac:dyDescent="0.3">
      <c r="A317">
        <v>315</v>
      </c>
      <c r="B317">
        <v>5607</v>
      </c>
      <c r="C317" t="b">
        <v>1</v>
      </c>
      <c r="D317">
        <v>8096</v>
      </c>
      <c r="E317">
        <v>8216</v>
      </c>
      <c r="F317">
        <v>262.93331999999998</v>
      </c>
      <c r="G317">
        <v>283.93331999999998</v>
      </c>
      <c r="H317">
        <v>0.92603899999999995</v>
      </c>
      <c r="I317">
        <v>7.3961029999999997E-2</v>
      </c>
      <c r="J317">
        <v>0.51920027000000002</v>
      </c>
    </row>
    <row r="318" spans="1:10" x14ac:dyDescent="0.3">
      <c r="A318">
        <v>316</v>
      </c>
      <c r="B318">
        <v>5623</v>
      </c>
      <c r="C318" t="b">
        <v>1</v>
      </c>
      <c r="D318">
        <v>8152</v>
      </c>
      <c r="E318">
        <v>8224</v>
      </c>
      <c r="F318">
        <v>262.93331999999998</v>
      </c>
      <c r="G318">
        <v>286.06668000000002</v>
      </c>
      <c r="H318">
        <v>0.91913294999999995</v>
      </c>
      <c r="I318">
        <v>8.0867030000000006E-2</v>
      </c>
      <c r="J318">
        <v>0.52106863000000003</v>
      </c>
    </row>
    <row r="319" spans="1:10" x14ac:dyDescent="0.3">
      <c r="A319">
        <v>317</v>
      </c>
      <c r="B319">
        <v>5639</v>
      </c>
      <c r="C319" t="b">
        <v>1</v>
      </c>
      <c r="D319">
        <v>8080</v>
      </c>
      <c r="E319">
        <v>8216</v>
      </c>
      <c r="F319">
        <v>262.93331999999998</v>
      </c>
      <c r="G319">
        <v>287.13333</v>
      </c>
      <c r="H319">
        <v>0.91571855999999996</v>
      </c>
      <c r="I319">
        <v>8.4281444999999997E-2</v>
      </c>
      <c r="J319">
        <v>0.52199733000000004</v>
      </c>
    </row>
    <row r="320" spans="1:10" x14ac:dyDescent="0.3">
      <c r="A320">
        <v>318</v>
      </c>
      <c r="B320">
        <v>5655</v>
      </c>
      <c r="C320" t="b">
        <v>1</v>
      </c>
      <c r="D320">
        <v>8128</v>
      </c>
      <c r="E320">
        <v>8200</v>
      </c>
      <c r="F320">
        <v>264.53332999999998</v>
      </c>
      <c r="G320">
        <v>288.2</v>
      </c>
      <c r="H320">
        <v>0.91788099999999995</v>
      </c>
      <c r="I320">
        <v>8.2118966000000002E-2</v>
      </c>
      <c r="J320">
        <v>0.52140880000000001</v>
      </c>
    </row>
    <row r="321" spans="1:10" x14ac:dyDescent="0.3">
      <c r="A321">
        <v>319</v>
      </c>
      <c r="B321">
        <v>5671</v>
      </c>
      <c r="C321" t="b">
        <v>1</v>
      </c>
      <c r="D321">
        <v>8104</v>
      </c>
      <c r="E321">
        <v>8208</v>
      </c>
      <c r="F321">
        <v>264.53332999999998</v>
      </c>
      <c r="G321">
        <v>289.26666</v>
      </c>
      <c r="H321">
        <v>0.91449639999999999</v>
      </c>
      <c r="I321">
        <v>8.5503586000000006E-2</v>
      </c>
      <c r="J321">
        <v>0.52233059999999998</v>
      </c>
    </row>
    <row r="322" spans="1:10" x14ac:dyDescent="0.3">
      <c r="A322">
        <v>320</v>
      </c>
      <c r="B322">
        <v>5686</v>
      </c>
      <c r="C322" t="b">
        <v>1</v>
      </c>
      <c r="D322">
        <v>8104</v>
      </c>
      <c r="E322">
        <v>8224</v>
      </c>
      <c r="F322">
        <v>264.53332999999998</v>
      </c>
      <c r="G322">
        <v>290.33334000000002</v>
      </c>
      <c r="H322">
        <v>0.91113657000000003</v>
      </c>
      <c r="I322">
        <v>8.8863429999999993E-2</v>
      </c>
      <c r="J322">
        <v>0.52324879999999996</v>
      </c>
    </row>
    <row r="323" spans="1:10" x14ac:dyDescent="0.3">
      <c r="A323">
        <v>321</v>
      </c>
      <c r="B323">
        <v>5702</v>
      </c>
      <c r="C323" t="b">
        <v>1</v>
      </c>
      <c r="D323">
        <v>8048</v>
      </c>
      <c r="E323">
        <v>8200</v>
      </c>
      <c r="F323">
        <v>264.53332999999998</v>
      </c>
      <c r="G323">
        <v>290.86667</v>
      </c>
      <c r="H323">
        <v>0.90946590000000005</v>
      </c>
      <c r="I323">
        <v>9.0534069999999994E-2</v>
      </c>
      <c r="J323">
        <v>0.52370660000000002</v>
      </c>
    </row>
    <row r="324" spans="1:10" x14ac:dyDescent="0.3">
      <c r="A324">
        <v>322</v>
      </c>
      <c r="B324">
        <v>5718</v>
      </c>
      <c r="C324" t="b">
        <v>1</v>
      </c>
      <c r="D324">
        <v>8104</v>
      </c>
      <c r="E324">
        <v>8192</v>
      </c>
      <c r="F324">
        <v>265.06668000000002</v>
      </c>
      <c r="G324">
        <v>290.86667</v>
      </c>
      <c r="H324">
        <v>0.91129959999999999</v>
      </c>
      <c r="I324">
        <v>8.8700390000000004E-2</v>
      </c>
      <c r="J324">
        <v>0.52320420000000001</v>
      </c>
    </row>
    <row r="325" spans="1:10" x14ac:dyDescent="0.3">
      <c r="A325">
        <v>323</v>
      </c>
      <c r="B325">
        <v>5734</v>
      </c>
      <c r="C325" t="b">
        <v>1</v>
      </c>
      <c r="D325">
        <v>8056</v>
      </c>
      <c r="E325">
        <v>8184</v>
      </c>
      <c r="F325">
        <v>265.06668000000002</v>
      </c>
      <c r="G325">
        <v>290.86667</v>
      </c>
      <c r="H325">
        <v>0.91129959999999999</v>
      </c>
      <c r="I325">
        <v>8.8700390000000004E-2</v>
      </c>
      <c r="J325">
        <v>0.52320420000000001</v>
      </c>
    </row>
    <row r="326" spans="1:10" x14ac:dyDescent="0.3">
      <c r="A326">
        <v>324</v>
      </c>
      <c r="B326">
        <v>5750</v>
      </c>
      <c r="C326" t="b">
        <v>1</v>
      </c>
      <c r="D326">
        <v>8136</v>
      </c>
      <c r="E326">
        <v>8200</v>
      </c>
      <c r="F326">
        <v>265.06668000000002</v>
      </c>
      <c r="G326">
        <v>290.86667</v>
      </c>
      <c r="H326">
        <v>0.91129959999999999</v>
      </c>
      <c r="I326">
        <v>8.8700390000000004E-2</v>
      </c>
      <c r="J326">
        <v>0.52320420000000001</v>
      </c>
    </row>
    <row r="327" spans="1:10" x14ac:dyDescent="0.3">
      <c r="A327">
        <v>325</v>
      </c>
      <c r="B327">
        <v>5766</v>
      </c>
      <c r="C327" t="b">
        <v>1</v>
      </c>
      <c r="D327">
        <v>8112</v>
      </c>
      <c r="E327">
        <v>8200</v>
      </c>
      <c r="F327">
        <v>265.06668000000002</v>
      </c>
      <c r="G327">
        <v>290.86667</v>
      </c>
      <c r="H327">
        <v>0.91129959999999999</v>
      </c>
      <c r="I327">
        <v>8.8700390000000004E-2</v>
      </c>
      <c r="J327">
        <v>0.52320420000000001</v>
      </c>
    </row>
    <row r="328" spans="1:10" x14ac:dyDescent="0.3">
      <c r="A328">
        <v>326</v>
      </c>
      <c r="B328">
        <v>5782</v>
      </c>
      <c r="C328" t="b">
        <v>1</v>
      </c>
      <c r="D328">
        <v>8112</v>
      </c>
      <c r="E328">
        <v>8208</v>
      </c>
      <c r="F328">
        <v>265.60000000000002</v>
      </c>
      <c r="G328">
        <v>290.86667</v>
      </c>
      <c r="H328">
        <v>0.91313319999999998</v>
      </c>
      <c r="I328">
        <v>8.6866819999999997E-2</v>
      </c>
      <c r="J328">
        <v>0.52270274999999999</v>
      </c>
    </row>
    <row r="329" spans="1:10" x14ac:dyDescent="0.3">
      <c r="A329">
        <v>327</v>
      </c>
      <c r="B329">
        <v>5798</v>
      </c>
      <c r="C329" t="b">
        <v>1</v>
      </c>
      <c r="D329">
        <v>8128</v>
      </c>
      <c r="E329">
        <v>8208</v>
      </c>
      <c r="F329">
        <v>266.13333</v>
      </c>
      <c r="G329">
        <v>290.86667</v>
      </c>
      <c r="H329">
        <v>0.91496675999999999</v>
      </c>
      <c r="I329">
        <v>8.5033244999999993E-2</v>
      </c>
      <c r="J329">
        <v>0.52220224999999998</v>
      </c>
    </row>
    <row r="330" spans="1:10" x14ac:dyDescent="0.3">
      <c r="A330">
        <v>328</v>
      </c>
      <c r="B330">
        <v>5813</v>
      </c>
      <c r="C330" t="b">
        <v>1</v>
      </c>
      <c r="D330">
        <v>8136</v>
      </c>
      <c r="E330">
        <v>8208</v>
      </c>
      <c r="F330">
        <v>267.73334</v>
      </c>
      <c r="G330">
        <v>291.39999999999998</v>
      </c>
      <c r="H330">
        <v>0.91878294999999999</v>
      </c>
      <c r="I330">
        <v>8.1217079999999997E-2</v>
      </c>
      <c r="J330">
        <v>0.52116370000000001</v>
      </c>
    </row>
    <row r="331" spans="1:10" x14ac:dyDescent="0.3">
      <c r="A331">
        <v>329</v>
      </c>
      <c r="B331">
        <v>5829</v>
      </c>
      <c r="C331" t="b">
        <v>1</v>
      </c>
      <c r="D331">
        <v>8080</v>
      </c>
      <c r="E331">
        <v>8200</v>
      </c>
      <c r="F331">
        <v>268.26666</v>
      </c>
      <c r="G331">
        <v>291.93331999999998</v>
      </c>
      <c r="H331">
        <v>0.91893130000000001</v>
      </c>
      <c r="I331">
        <v>8.1068710000000002E-2</v>
      </c>
      <c r="J331">
        <v>0.52112340000000001</v>
      </c>
    </row>
    <row r="332" spans="1:10" x14ac:dyDescent="0.3">
      <c r="A332">
        <v>330</v>
      </c>
      <c r="B332">
        <v>5845</v>
      </c>
      <c r="C332" t="b">
        <v>1</v>
      </c>
      <c r="D332">
        <v>8088</v>
      </c>
      <c r="E332">
        <v>8216</v>
      </c>
      <c r="F332">
        <v>269.33334000000002</v>
      </c>
      <c r="G332">
        <v>291.93331999999998</v>
      </c>
      <c r="H332">
        <v>0.92258510000000005</v>
      </c>
      <c r="I332">
        <v>7.7414855000000005E-2</v>
      </c>
      <c r="J332">
        <v>0.52013299999999996</v>
      </c>
    </row>
    <row r="333" spans="1:10" x14ac:dyDescent="0.3">
      <c r="A333">
        <v>331</v>
      </c>
      <c r="B333">
        <v>5861</v>
      </c>
      <c r="C333" t="b">
        <v>1</v>
      </c>
      <c r="D333">
        <v>8120</v>
      </c>
      <c r="E333">
        <v>8216</v>
      </c>
      <c r="F333">
        <v>270.39999999999998</v>
      </c>
      <c r="G333">
        <v>291.93331999999998</v>
      </c>
      <c r="H333">
        <v>0.92623889999999998</v>
      </c>
      <c r="I333">
        <v>7.3761106000000007E-2</v>
      </c>
      <c r="J333">
        <v>0.51914640000000001</v>
      </c>
    </row>
    <row r="334" spans="1:10" x14ac:dyDescent="0.3">
      <c r="A334">
        <v>332</v>
      </c>
      <c r="B334">
        <v>5877</v>
      </c>
      <c r="C334" t="b">
        <v>1</v>
      </c>
      <c r="D334">
        <v>8104</v>
      </c>
      <c r="E334">
        <v>8200</v>
      </c>
      <c r="F334">
        <v>270.39999999999998</v>
      </c>
      <c r="G334">
        <v>291.39999999999998</v>
      </c>
      <c r="H334">
        <v>0.92793409999999998</v>
      </c>
      <c r="I334">
        <v>7.2065889999999994E-2</v>
      </c>
      <c r="J334">
        <v>0.51868992999999997</v>
      </c>
    </row>
    <row r="335" spans="1:10" x14ac:dyDescent="0.3">
      <c r="A335">
        <v>333</v>
      </c>
      <c r="B335">
        <v>5893</v>
      </c>
      <c r="C335" t="b">
        <v>1</v>
      </c>
      <c r="D335">
        <v>8128</v>
      </c>
      <c r="E335">
        <v>8192</v>
      </c>
      <c r="F335">
        <v>268.8</v>
      </c>
      <c r="G335">
        <v>290.33334000000002</v>
      </c>
      <c r="H335">
        <v>0.92583232999999998</v>
      </c>
      <c r="I335">
        <v>7.4167700000000003E-2</v>
      </c>
      <c r="J335">
        <v>0.51925606000000002</v>
      </c>
    </row>
    <row r="336" spans="1:10" x14ac:dyDescent="0.3">
      <c r="A336">
        <v>334</v>
      </c>
      <c r="B336">
        <v>5909</v>
      </c>
      <c r="C336" t="b">
        <v>1</v>
      </c>
      <c r="D336">
        <v>8104</v>
      </c>
      <c r="E336">
        <v>8176</v>
      </c>
      <c r="F336">
        <v>268.8</v>
      </c>
      <c r="G336">
        <v>289.26666</v>
      </c>
      <c r="H336">
        <v>0.92924636999999999</v>
      </c>
      <c r="I336">
        <v>7.0753659999999996E-2</v>
      </c>
      <c r="J336">
        <v>0.51833713000000003</v>
      </c>
    </row>
    <row r="337" spans="1:10" x14ac:dyDescent="0.3">
      <c r="A337">
        <v>335</v>
      </c>
      <c r="B337">
        <v>5925</v>
      </c>
      <c r="C337" t="b">
        <v>1</v>
      </c>
      <c r="D337">
        <v>8080</v>
      </c>
      <c r="E337">
        <v>8200</v>
      </c>
      <c r="F337">
        <v>268.8</v>
      </c>
      <c r="G337">
        <v>288.2</v>
      </c>
      <c r="H337">
        <v>0.93268554999999997</v>
      </c>
      <c r="I337">
        <v>6.7314446E-2</v>
      </c>
      <c r="J337">
        <v>0.51741475000000003</v>
      </c>
    </row>
    <row r="338" spans="1:10" x14ac:dyDescent="0.3">
      <c r="A338">
        <v>336</v>
      </c>
      <c r="B338">
        <v>5957</v>
      </c>
      <c r="C338" t="b">
        <v>1</v>
      </c>
      <c r="D338">
        <v>8064</v>
      </c>
      <c r="E338">
        <v>8200</v>
      </c>
      <c r="F338">
        <v>268.8</v>
      </c>
      <c r="G338">
        <v>287.66665999999998</v>
      </c>
      <c r="H338">
        <v>0.93441479999999999</v>
      </c>
      <c r="I338">
        <v>6.5585180000000007E-2</v>
      </c>
      <c r="J338">
        <v>0.51695215999999999</v>
      </c>
    </row>
    <row r="339" spans="1:10" x14ac:dyDescent="0.3">
      <c r="A339">
        <v>337</v>
      </c>
      <c r="B339">
        <v>5988</v>
      </c>
      <c r="C339" t="b">
        <v>1</v>
      </c>
      <c r="D339">
        <v>8112</v>
      </c>
      <c r="E339">
        <v>8184</v>
      </c>
      <c r="F339">
        <v>268.8</v>
      </c>
      <c r="G339">
        <v>287.13333</v>
      </c>
      <c r="H339">
        <v>0.93615042999999998</v>
      </c>
      <c r="I339">
        <v>6.3849580000000003E-2</v>
      </c>
      <c r="J339">
        <v>0.51648879999999997</v>
      </c>
    </row>
    <row r="340" spans="1:10" x14ac:dyDescent="0.3">
      <c r="A340">
        <v>338</v>
      </c>
      <c r="B340">
        <v>6020</v>
      </c>
      <c r="C340" t="b">
        <v>1</v>
      </c>
      <c r="D340">
        <v>8096</v>
      </c>
      <c r="E340">
        <v>8224</v>
      </c>
      <c r="F340">
        <v>268.26666</v>
      </c>
      <c r="G340">
        <v>287.13333</v>
      </c>
      <c r="H340">
        <v>0.93429302999999997</v>
      </c>
      <c r="I340">
        <v>6.5707000000000002E-2</v>
      </c>
      <c r="J340">
        <v>0.51698469999999996</v>
      </c>
    </row>
    <row r="341" spans="1:10" x14ac:dyDescent="0.3">
      <c r="A341">
        <v>339</v>
      </c>
      <c r="B341">
        <v>6052</v>
      </c>
      <c r="C341" t="b">
        <v>1</v>
      </c>
      <c r="D341">
        <v>8128</v>
      </c>
      <c r="E341">
        <v>8200</v>
      </c>
      <c r="F341">
        <v>267.73334</v>
      </c>
      <c r="G341">
        <v>287.13333</v>
      </c>
      <c r="H341">
        <v>0.93243560000000003</v>
      </c>
      <c r="I341">
        <v>6.7564405999999994E-2</v>
      </c>
      <c r="J341">
        <v>0.51748159999999999</v>
      </c>
    </row>
    <row r="342" spans="1:10" x14ac:dyDescent="0.3">
      <c r="A342">
        <v>340</v>
      </c>
      <c r="B342">
        <v>6083</v>
      </c>
      <c r="C342" t="b">
        <v>1</v>
      </c>
      <c r="D342">
        <v>8072</v>
      </c>
      <c r="E342">
        <v>8184</v>
      </c>
      <c r="F342">
        <v>267.2</v>
      </c>
      <c r="G342">
        <v>287.13333</v>
      </c>
      <c r="H342">
        <v>0.93057820000000002</v>
      </c>
      <c r="I342">
        <v>6.9421819999999995E-2</v>
      </c>
      <c r="J342">
        <v>0.51797950000000004</v>
      </c>
    </row>
    <row r="343" spans="1:10" x14ac:dyDescent="0.3">
      <c r="A343">
        <v>341</v>
      </c>
      <c r="B343">
        <v>6100</v>
      </c>
      <c r="C343" t="b">
        <v>1</v>
      </c>
      <c r="D343">
        <v>8152</v>
      </c>
      <c r="E343">
        <v>8224</v>
      </c>
      <c r="F343">
        <v>267.2</v>
      </c>
      <c r="G343">
        <v>287.13333</v>
      </c>
      <c r="H343">
        <v>0.93057820000000002</v>
      </c>
      <c r="I343">
        <v>6.9421819999999995E-2</v>
      </c>
      <c r="J343">
        <v>0.51797950000000004</v>
      </c>
    </row>
    <row r="344" spans="1:10" x14ac:dyDescent="0.3">
      <c r="A344">
        <v>342</v>
      </c>
      <c r="B344">
        <v>6116</v>
      </c>
      <c r="C344" t="b">
        <v>1</v>
      </c>
      <c r="D344">
        <v>8104</v>
      </c>
      <c r="E344">
        <v>8200</v>
      </c>
      <c r="F344">
        <v>266.66665999999998</v>
      </c>
      <c r="G344">
        <v>287.13333</v>
      </c>
      <c r="H344">
        <v>0.92872065000000004</v>
      </c>
      <c r="I344">
        <v>7.1279339999999997E-2</v>
      </c>
      <c r="J344">
        <v>0.51847840000000001</v>
      </c>
    </row>
    <row r="345" spans="1:10" x14ac:dyDescent="0.3">
      <c r="A345">
        <v>343</v>
      </c>
      <c r="B345">
        <v>6132</v>
      </c>
      <c r="C345" t="b">
        <v>1</v>
      </c>
      <c r="D345">
        <v>8096</v>
      </c>
      <c r="E345">
        <v>8216</v>
      </c>
      <c r="F345">
        <v>265.06668000000002</v>
      </c>
      <c r="G345">
        <v>286.60000000000002</v>
      </c>
      <c r="H345">
        <v>0.92486626000000005</v>
      </c>
      <c r="I345">
        <v>7.5133720000000001E-2</v>
      </c>
      <c r="J345">
        <v>0.5195166</v>
      </c>
    </row>
    <row r="346" spans="1:10" x14ac:dyDescent="0.3">
      <c r="A346">
        <v>344</v>
      </c>
      <c r="B346">
        <v>6149</v>
      </c>
      <c r="C346" t="b">
        <v>1</v>
      </c>
      <c r="D346">
        <v>8128</v>
      </c>
      <c r="E346">
        <v>8224</v>
      </c>
      <c r="F346">
        <v>264.53332999999998</v>
      </c>
      <c r="G346">
        <v>287.13333</v>
      </c>
      <c r="H346">
        <v>0.92129090000000002</v>
      </c>
      <c r="I346">
        <v>7.8709100000000004E-2</v>
      </c>
      <c r="J346">
        <v>0.52048342999999997</v>
      </c>
    </row>
    <row r="347" spans="1:10" x14ac:dyDescent="0.3">
      <c r="A347">
        <v>345</v>
      </c>
      <c r="B347">
        <v>6165</v>
      </c>
      <c r="C347" t="b">
        <v>1</v>
      </c>
      <c r="D347">
        <v>8128</v>
      </c>
      <c r="E347">
        <v>8208</v>
      </c>
      <c r="F347">
        <v>265.60000000000002</v>
      </c>
      <c r="G347">
        <v>287.66665999999998</v>
      </c>
      <c r="H347">
        <v>0.92329090000000003</v>
      </c>
      <c r="I347">
        <v>7.6709100000000002E-2</v>
      </c>
      <c r="J347">
        <v>0.51994216000000004</v>
      </c>
    </row>
    <row r="348" spans="1:10" x14ac:dyDescent="0.3">
      <c r="A348">
        <v>346</v>
      </c>
      <c r="B348">
        <v>6181</v>
      </c>
      <c r="C348" t="b">
        <v>1</v>
      </c>
      <c r="D348">
        <v>8152</v>
      </c>
      <c r="E348">
        <v>8200</v>
      </c>
      <c r="F348">
        <v>266.13333</v>
      </c>
      <c r="G348">
        <v>287.66665999999998</v>
      </c>
      <c r="H348">
        <v>0.92514485000000002</v>
      </c>
      <c r="I348">
        <v>7.4855134000000004E-2</v>
      </c>
      <c r="J348">
        <v>0.51944140000000005</v>
      </c>
    </row>
    <row r="349" spans="1:10" x14ac:dyDescent="0.3">
      <c r="A349">
        <v>347</v>
      </c>
      <c r="B349">
        <v>6196</v>
      </c>
      <c r="C349" t="b">
        <v>1</v>
      </c>
      <c r="D349">
        <v>8080</v>
      </c>
      <c r="E349">
        <v>8224</v>
      </c>
      <c r="F349">
        <v>267.73334</v>
      </c>
      <c r="G349">
        <v>288.2</v>
      </c>
      <c r="H349">
        <v>0.92898446000000001</v>
      </c>
      <c r="I349">
        <v>7.1015519999999999E-2</v>
      </c>
      <c r="J349">
        <v>0.51840746000000004</v>
      </c>
    </row>
    <row r="350" spans="1:10" x14ac:dyDescent="0.3">
      <c r="A350">
        <v>348</v>
      </c>
      <c r="B350">
        <v>6212</v>
      </c>
      <c r="C350" t="b">
        <v>1</v>
      </c>
      <c r="D350">
        <v>8088</v>
      </c>
      <c r="E350">
        <v>8200</v>
      </c>
      <c r="F350">
        <v>269.33334000000002</v>
      </c>
      <c r="G350">
        <v>288.73334</v>
      </c>
      <c r="H350">
        <v>0.93281000000000003</v>
      </c>
      <c r="I350">
        <v>6.7190009999999994E-2</v>
      </c>
      <c r="J350">
        <v>0.51738139999999999</v>
      </c>
    </row>
    <row r="351" spans="1:10" x14ac:dyDescent="0.3">
      <c r="A351">
        <v>349</v>
      </c>
      <c r="B351">
        <v>6228</v>
      </c>
      <c r="C351" t="b">
        <v>1</v>
      </c>
      <c r="D351">
        <v>8064</v>
      </c>
      <c r="E351">
        <v>8200</v>
      </c>
      <c r="F351">
        <v>268.26666</v>
      </c>
      <c r="G351">
        <v>288.73334</v>
      </c>
      <c r="H351">
        <v>0.92911564999999996</v>
      </c>
      <c r="I351">
        <v>7.0884349999999999E-2</v>
      </c>
      <c r="J351">
        <v>0.51837224000000004</v>
      </c>
    </row>
    <row r="352" spans="1:10" x14ac:dyDescent="0.3">
      <c r="A352">
        <v>350</v>
      </c>
      <c r="B352">
        <v>6244</v>
      </c>
      <c r="C352" t="b">
        <v>1</v>
      </c>
      <c r="D352">
        <v>8144</v>
      </c>
      <c r="E352">
        <v>8224</v>
      </c>
      <c r="F352">
        <v>267.2</v>
      </c>
      <c r="G352">
        <v>288.73334</v>
      </c>
      <c r="H352">
        <v>0.92542139999999995</v>
      </c>
      <c r="I352">
        <v>7.457859E-2</v>
      </c>
      <c r="J352">
        <v>0.51936680000000002</v>
      </c>
    </row>
    <row r="353" spans="1:10" x14ac:dyDescent="0.3">
      <c r="A353">
        <v>351</v>
      </c>
      <c r="B353">
        <v>6260</v>
      </c>
      <c r="C353" t="b">
        <v>1</v>
      </c>
      <c r="D353">
        <v>8144</v>
      </c>
      <c r="E353">
        <v>8184</v>
      </c>
      <c r="F353">
        <v>266.13333</v>
      </c>
      <c r="G353">
        <v>288.73334</v>
      </c>
      <c r="H353">
        <v>0.92172706000000004</v>
      </c>
      <c r="I353">
        <v>7.8272939999999999E-2</v>
      </c>
      <c r="J353">
        <v>0.52036523999999995</v>
      </c>
    </row>
    <row r="354" spans="1:10" x14ac:dyDescent="0.3">
      <c r="A354">
        <v>352</v>
      </c>
      <c r="B354">
        <v>6275</v>
      </c>
      <c r="C354" t="b">
        <v>1</v>
      </c>
      <c r="D354">
        <v>8024</v>
      </c>
      <c r="E354">
        <v>8208</v>
      </c>
      <c r="F354">
        <v>265.06668000000002</v>
      </c>
      <c r="G354">
        <v>289.26666</v>
      </c>
      <c r="H354">
        <v>0.91634022999999998</v>
      </c>
      <c r="I354">
        <v>8.3659769999999994E-2</v>
      </c>
      <c r="J354">
        <v>0.52182799999999996</v>
      </c>
    </row>
    <row r="355" spans="1:10" x14ac:dyDescent="0.3">
      <c r="A355">
        <v>353</v>
      </c>
      <c r="B355">
        <v>6291</v>
      </c>
      <c r="C355" t="b">
        <v>1</v>
      </c>
      <c r="D355">
        <v>8096</v>
      </c>
      <c r="E355">
        <v>8224</v>
      </c>
      <c r="F355">
        <v>265.06668000000002</v>
      </c>
      <c r="G355">
        <v>289.8</v>
      </c>
      <c r="H355">
        <v>0.91465390000000002</v>
      </c>
      <c r="I355">
        <v>8.5346124999999995E-2</v>
      </c>
      <c r="J355">
        <v>0.52228759999999996</v>
      </c>
    </row>
    <row r="356" spans="1:10" x14ac:dyDescent="0.3">
      <c r="A356">
        <v>354</v>
      </c>
      <c r="B356">
        <v>6307</v>
      </c>
      <c r="C356" t="b">
        <v>1</v>
      </c>
      <c r="D356">
        <v>8104</v>
      </c>
      <c r="E356">
        <v>8216</v>
      </c>
      <c r="F356">
        <v>265.60000000000002</v>
      </c>
      <c r="G356">
        <v>290.86667</v>
      </c>
      <c r="H356">
        <v>0.91313319999999998</v>
      </c>
      <c r="I356">
        <v>8.6866819999999997E-2</v>
      </c>
      <c r="J356">
        <v>0.52270274999999999</v>
      </c>
    </row>
    <row r="357" spans="1:10" x14ac:dyDescent="0.3">
      <c r="A357">
        <v>355</v>
      </c>
      <c r="B357">
        <v>6323</v>
      </c>
      <c r="C357" t="b">
        <v>1</v>
      </c>
      <c r="D357">
        <v>8096</v>
      </c>
      <c r="E357">
        <v>8216</v>
      </c>
      <c r="F357">
        <v>265.60000000000002</v>
      </c>
      <c r="G357">
        <v>291.93331999999998</v>
      </c>
      <c r="H357">
        <v>0.90979683</v>
      </c>
      <c r="I357">
        <v>9.0203179999999994E-2</v>
      </c>
      <c r="J357">
        <v>0.52361590000000002</v>
      </c>
    </row>
    <row r="358" spans="1:10" x14ac:dyDescent="0.3">
      <c r="A358">
        <v>356</v>
      </c>
      <c r="B358">
        <v>6339</v>
      </c>
      <c r="C358" t="b">
        <v>1</v>
      </c>
      <c r="D358">
        <v>8144</v>
      </c>
      <c r="E358">
        <v>8216</v>
      </c>
      <c r="F358">
        <v>264.53332999999998</v>
      </c>
      <c r="G358">
        <v>293</v>
      </c>
      <c r="H358">
        <v>0.90284412999999997</v>
      </c>
      <c r="I358">
        <v>9.7155883999999998E-2</v>
      </c>
      <c r="J358">
        <v>0.52552915</v>
      </c>
    </row>
    <row r="359" spans="1:10" x14ac:dyDescent="0.3">
      <c r="A359">
        <v>357</v>
      </c>
      <c r="B359">
        <v>6355</v>
      </c>
      <c r="C359" t="b">
        <v>1</v>
      </c>
      <c r="D359">
        <v>8120</v>
      </c>
      <c r="E359">
        <v>8200</v>
      </c>
      <c r="F359">
        <v>264.53332999999998</v>
      </c>
      <c r="G359">
        <v>294.06668000000002</v>
      </c>
      <c r="H359">
        <v>0.89956919999999996</v>
      </c>
      <c r="I359">
        <v>0.10043081</v>
      </c>
      <c r="J359">
        <v>0.52643519999999999</v>
      </c>
    </row>
    <row r="360" spans="1:10" x14ac:dyDescent="0.3">
      <c r="A360">
        <v>358</v>
      </c>
      <c r="B360">
        <v>6371</v>
      </c>
      <c r="C360" t="b">
        <v>1</v>
      </c>
      <c r="D360">
        <v>8088</v>
      </c>
      <c r="E360">
        <v>8216</v>
      </c>
      <c r="F360">
        <v>264.53332999999998</v>
      </c>
      <c r="G360">
        <v>295.13333</v>
      </c>
      <c r="H360">
        <v>0.89631799999999995</v>
      </c>
      <c r="I360">
        <v>0.103681974</v>
      </c>
      <c r="J360">
        <v>0.52733772999999995</v>
      </c>
    </row>
    <row r="361" spans="1:10" x14ac:dyDescent="0.3">
      <c r="A361">
        <v>359</v>
      </c>
      <c r="B361">
        <v>6387</v>
      </c>
      <c r="C361" t="b">
        <v>1</v>
      </c>
      <c r="D361">
        <v>8112</v>
      </c>
      <c r="E361">
        <v>8192</v>
      </c>
      <c r="F361">
        <v>265.06668000000002</v>
      </c>
      <c r="G361">
        <v>295.13333</v>
      </c>
      <c r="H361">
        <v>0.89812519999999996</v>
      </c>
      <c r="I361">
        <v>0.101874806</v>
      </c>
      <c r="J361">
        <v>0.52683559999999996</v>
      </c>
    </row>
    <row r="362" spans="1:10" x14ac:dyDescent="0.3">
      <c r="A362">
        <v>360</v>
      </c>
      <c r="B362">
        <v>6403</v>
      </c>
      <c r="C362" t="b">
        <v>1</v>
      </c>
      <c r="D362">
        <v>8104</v>
      </c>
      <c r="E362">
        <v>8216</v>
      </c>
      <c r="F362">
        <v>264</v>
      </c>
      <c r="G362">
        <v>295.13333</v>
      </c>
      <c r="H362">
        <v>0.89451099999999995</v>
      </c>
      <c r="I362">
        <v>0.10548904000000001</v>
      </c>
      <c r="J362">
        <v>0.52784072999999998</v>
      </c>
    </row>
    <row r="363" spans="1:10" x14ac:dyDescent="0.3">
      <c r="A363">
        <v>361</v>
      </c>
      <c r="B363">
        <v>6418</v>
      </c>
      <c r="C363" t="b">
        <v>1</v>
      </c>
      <c r="D363">
        <v>8128</v>
      </c>
      <c r="E363">
        <v>8200</v>
      </c>
      <c r="F363">
        <v>262.93331999999998</v>
      </c>
      <c r="G363">
        <v>294.60000000000002</v>
      </c>
      <c r="H363">
        <v>0.89250960000000001</v>
      </c>
      <c r="I363">
        <v>0.10749045</v>
      </c>
      <c r="J363">
        <v>0.52839893000000004</v>
      </c>
    </row>
    <row r="364" spans="1:10" x14ac:dyDescent="0.3">
      <c r="A364">
        <v>362</v>
      </c>
      <c r="B364">
        <v>6434</v>
      </c>
      <c r="C364" t="b">
        <v>1</v>
      </c>
      <c r="D364">
        <v>8136</v>
      </c>
      <c r="E364">
        <v>8192</v>
      </c>
      <c r="F364">
        <v>261.86667</v>
      </c>
      <c r="G364">
        <v>293.53332999999998</v>
      </c>
      <c r="H364">
        <v>0.89211905000000002</v>
      </c>
      <c r="I364">
        <v>0.10788096</v>
      </c>
      <c r="J364">
        <v>0.52850794999999995</v>
      </c>
    </row>
    <row r="365" spans="1:10" x14ac:dyDescent="0.3">
      <c r="A365">
        <v>363</v>
      </c>
      <c r="B365">
        <v>6451</v>
      </c>
      <c r="C365" t="b">
        <v>1</v>
      </c>
      <c r="D365">
        <v>8136</v>
      </c>
      <c r="E365">
        <v>8208</v>
      </c>
      <c r="F365">
        <v>261.86667</v>
      </c>
      <c r="G365">
        <v>293</v>
      </c>
      <c r="H365">
        <v>0.89374290000000001</v>
      </c>
      <c r="I365">
        <v>0.10625709999999999</v>
      </c>
      <c r="J365">
        <v>0.52805480000000005</v>
      </c>
    </row>
    <row r="366" spans="1:10" x14ac:dyDescent="0.3">
      <c r="A366">
        <v>364</v>
      </c>
      <c r="B366">
        <v>6467</v>
      </c>
      <c r="C366" t="b">
        <v>1</v>
      </c>
      <c r="D366">
        <v>8112</v>
      </c>
      <c r="E366">
        <v>8192</v>
      </c>
      <c r="F366">
        <v>264.53332999999998</v>
      </c>
      <c r="G366">
        <v>293</v>
      </c>
      <c r="H366">
        <v>0.90284412999999997</v>
      </c>
      <c r="I366">
        <v>9.7155883999999998E-2</v>
      </c>
      <c r="J366">
        <v>0.52552915</v>
      </c>
    </row>
    <row r="367" spans="1:10" x14ac:dyDescent="0.3">
      <c r="A367">
        <v>365</v>
      </c>
      <c r="B367">
        <v>6497</v>
      </c>
      <c r="C367" t="b">
        <v>1</v>
      </c>
      <c r="D367">
        <v>8104</v>
      </c>
      <c r="E367">
        <v>8184</v>
      </c>
      <c r="F367">
        <v>267.2</v>
      </c>
      <c r="G367">
        <v>292.46667000000002</v>
      </c>
      <c r="H367">
        <v>0.91360843000000003</v>
      </c>
      <c r="I367">
        <v>8.6391599999999999E-2</v>
      </c>
      <c r="J367">
        <v>0.52257293000000005</v>
      </c>
    </row>
    <row r="368" spans="1:10" x14ac:dyDescent="0.3">
      <c r="A368">
        <v>366</v>
      </c>
      <c r="B368">
        <v>6516</v>
      </c>
      <c r="C368" t="b">
        <v>1</v>
      </c>
      <c r="D368">
        <v>8104</v>
      </c>
      <c r="E368">
        <v>8200</v>
      </c>
      <c r="F368">
        <v>268.8</v>
      </c>
      <c r="G368">
        <v>291.93331999999998</v>
      </c>
      <c r="H368">
        <v>0.92075819999999997</v>
      </c>
      <c r="I368">
        <v>7.9241834999999997E-2</v>
      </c>
      <c r="J368">
        <v>0.52062779999999997</v>
      </c>
    </row>
    <row r="369" spans="1:10" x14ac:dyDescent="0.3">
      <c r="A369">
        <v>367</v>
      </c>
      <c r="B369">
        <v>6538</v>
      </c>
      <c r="C369" t="b">
        <v>1</v>
      </c>
      <c r="D369">
        <v>8160</v>
      </c>
      <c r="E369">
        <v>8200</v>
      </c>
      <c r="F369">
        <v>270.39999999999998</v>
      </c>
      <c r="G369">
        <v>291.93331999999998</v>
      </c>
      <c r="H369">
        <v>0.92623889999999998</v>
      </c>
      <c r="I369">
        <v>7.3761106000000007E-2</v>
      </c>
      <c r="J369">
        <v>0.51914640000000001</v>
      </c>
    </row>
    <row r="370" spans="1:10" x14ac:dyDescent="0.3">
      <c r="A370">
        <v>368</v>
      </c>
      <c r="B370">
        <v>6569</v>
      </c>
      <c r="C370" t="b">
        <v>1</v>
      </c>
      <c r="D370">
        <v>8120</v>
      </c>
      <c r="E370">
        <v>8216</v>
      </c>
      <c r="F370">
        <v>271.46667000000002</v>
      </c>
      <c r="G370">
        <v>291.39999999999998</v>
      </c>
      <c r="H370">
        <v>0.93159466999999996</v>
      </c>
      <c r="I370">
        <v>6.8405350000000004E-2</v>
      </c>
      <c r="J370">
        <v>0.51770693000000001</v>
      </c>
    </row>
    <row r="371" spans="1:10" x14ac:dyDescent="0.3">
      <c r="A371">
        <v>369</v>
      </c>
      <c r="B371">
        <v>6600</v>
      </c>
      <c r="C371" t="b">
        <v>1</v>
      </c>
      <c r="D371">
        <v>8152</v>
      </c>
      <c r="E371">
        <v>8200</v>
      </c>
      <c r="F371">
        <v>272.53332999999998</v>
      </c>
      <c r="G371">
        <v>290.33334000000002</v>
      </c>
      <c r="H371">
        <v>0.9386911</v>
      </c>
      <c r="I371">
        <v>6.13089E-2</v>
      </c>
      <c r="J371">
        <v>0.51581189999999999</v>
      </c>
    </row>
    <row r="372" spans="1:10" x14ac:dyDescent="0.3">
      <c r="A372">
        <v>370</v>
      </c>
      <c r="B372">
        <v>6616</v>
      </c>
      <c r="C372" t="b">
        <v>1</v>
      </c>
      <c r="D372">
        <v>8048</v>
      </c>
      <c r="E372">
        <v>8200</v>
      </c>
      <c r="F372">
        <v>274.13333</v>
      </c>
      <c r="G372">
        <v>289.26666</v>
      </c>
      <c r="H372">
        <v>0.94768379999999997</v>
      </c>
      <c r="I372">
        <v>5.2316196000000002E-2</v>
      </c>
      <c r="J372">
        <v>0.51343035999999997</v>
      </c>
    </row>
    <row r="373" spans="1:10" x14ac:dyDescent="0.3">
      <c r="A373">
        <v>371</v>
      </c>
      <c r="B373">
        <v>6648</v>
      </c>
      <c r="C373" t="b">
        <v>1</v>
      </c>
      <c r="D373">
        <v>8144</v>
      </c>
      <c r="E373">
        <v>8192</v>
      </c>
      <c r="F373">
        <v>277.33334000000002</v>
      </c>
      <c r="G373">
        <v>288.2</v>
      </c>
      <c r="H373">
        <v>0.96229469999999995</v>
      </c>
      <c r="I373">
        <v>3.7705302000000003E-2</v>
      </c>
      <c r="J373">
        <v>0.50960749999999999</v>
      </c>
    </row>
    <row r="374" spans="1:10" x14ac:dyDescent="0.3">
      <c r="A374">
        <v>372</v>
      </c>
      <c r="B374">
        <v>6664</v>
      </c>
      <c r="C374" t="b">
        <v>1</v>
      </c>
      <c r="D374">
        <v>8136</v>
      </c>
      <c r="E374">
        <v>8200</v>
      </c>
      <c r="F374">
        <v>279.46667000000002</v>
      </c>
      <c r="G374">
        <v>287.13333</v>
      </c>
      <c r="H374">
        <v>0.97329929999999998</v>
      </c>
      <c r="I374">
        <v>2.6700684999999998E-2</v>
      </c>
      <c r="J374">
        <v>0.50676553999999996</v>
      </c>
    </row>
    <row r="375" spans="1:10" x14ac:dyDescent="0.3">
      <c r="A375">
        <v>373</v>
      </c>
      <c r="B375">
        <v>6679</v>
      </c>
      <c r="C375" t="b">
        <v>1</v>
      </c>
      <c r="D375">
        <v>8128</v>
      </c>
      <c r="E375">
        <v>8208</v>
      </c>
      <c r="F375">
        <v>281.60000000000002</v>
      </c>
      <c r="G375">
        <v>286.06668000000002</v>
      </c>
      <c r="H375">
        <v>0.98438590000000004</v>
      </c>
      <c r="I375">
        <v>1.56141035E-2</v>
      </c>
      <c r="J375">
        <v>0.50393425999999997</v>
      </c>
    </row>
    <row r="376" spans="1:10" x14ac:dyDescent="0.3">
      <c r="A376">
        <v>374</v>
      </c>
      <c r="B376">
        <v>6695</v>
      </c>
      <c r="C376" t="b">
        <v>1</v>
      </c>
      <c r="D376">
        <v>8112</v>
      </c>
      <c r="E376">
        <v>8216</v>
      </c>
      <c r="F376">
        <v>282.66665999999998</v>
      </c>
      <c r="G376">
        <v>285</v>
      </c>
      <c r="H376">
        <v>0.99181280000000005</v>
      </c>
      <c r="I376">
        <v>8.1871700000000006E-3</v>
      </c>
      <c r="J376">
        <v>0.50205520000000003</v>
      </c>
    </row>
    <row r="377" spans="1:10" x14ac:dyDescent="0.3">
      <c r="A377">
        <v>375</v>
      </c>
      <c r="B377">
        <v>6711</v>
      </c>
      <c r="C377" t="b">
        <v>1</v>
      </c>
      <c r="D377">
        <v>8096</v>
      </c>
      <c r="E377">
        <v>8208</v>
      </c>
      <c r="F377">
        <v>283.73334</v>
      </c>
      <c r="G377">
        <v>284.46667000000002</v>
      </c>
      <c r="H377">
        <v>0.99742204000000001</v>
      </c>
      <c r="I377">
        <v>2.5779380000000001E-3</v>
      </c>
      <c r="J377">
        <v>0.50064534000000005</v>
      </c>
    </row>
    <row r="378" spans="1:10" x14ac:dyDescent="0.3">
      <c r="A378">
        <v>376</v>
      </c>
      <c r="B378">
        <v>6727</v>
      </c>
      <c r="C378" t="b">
        <v>1</v>
      </c>
      <c r="D378">
        <v>8128</v>
      </c>
      <c r="E378">
        <v>8216</v>
      </c>
      <c r="F378">
        <v>284.8</v>
      </c>
      <c r="G378">
        <v>285</v>
      </c>
      <c r="H378">
        <v>0.99929820000000003</v>
      </c>
      <c r="I378">
        <v>7.0179719999999995E-4</v>
      </c>
      <c r="J378">
        <v>0.50017553999999997</v>
      </c>
    </row>
    <row r="379" spans="1:10" x14ac:dyDescent="0.3">
      <c r="A379">
        <v>377</v>
      </c>
      <c r="B379">
        <v>6759</v>
      </c>
      <c r="C379" t="b">
        <v>1</v>
      </c>
      <c r="D379">
        <v>8072</v>
      </c>
      <c r="E379">
        <v>8216</v>
      </c>
      <c r="F379">
        <v>284.8</v>
      </c>
      <c r="G379">
        <v>286.06668000000002</v>
      </c>
      <c r="H379">
        <v>0.99557203000000005</v>
      </c>
      <c r="I379">
        <v>4.4279643E-3</v>
      </c>
      <c r="J379">
        <v>0.50110940000000004</v>
      </c>
    </row>
    <row r="380" spans="1:10" x14ac:dyDescent="0.3">
      <c r="A380">
        <v>378</v>
      </c>
      <c r="B380">
        <v>6775</v>
      </c>
      <c r="C380" t="b">
        <v>1</v>
      </c>
      <c r="D380">
        <v>8064</v>
      </c>
      <c r="E380">
        <v>8200</v>
      </c>
      <c r="F380">
        <v>282.66665999999998</v>
      </c>
      <c r="G380">
        <v>287.13333</v>
      </c>
      <c r="H380">
        <v>0.98444390000000004</v>
      </c>
      <c r="I380">
        <v>1.55561E-2</v>
      </c>
      <c r="J380">
        <v>0.50391949999999996</v>
      </c>
    </row>
    <row r="381" spans="1:10" x14ac:dyDescent="0.3">
      <c r="A381">
        <v>379</v>
      </c>
      <c r="B381">
        <v>6791</v>
      </c>
      <c r="C381" t="b">
        <v>1</v>
      </c>
      <c r="D381">
        <v>8128</v>
      </c>
      <c r="E381">
        <v>8200</v>
      </c>
      <c r="F381">
        <v>280.53332999999998</v>
      </c>
      <c r="G381">
        <v>287.66665999999998</v>
      </c>
      <c r="H381">
        <v>0.97520280000000004</v>
      </c>
      <c r="I381">
        <v>2.4797211999999999E-2</v>
      </c>
      <c r="J381">
        <v>0.50627714000000001</v>
      </c>
    </row>
    <row r="382" spans="1:10" x14ac:dyDescent="0.3">
      <c r="A382">
        <v>380</v>
      </c>
      <c r="B382">
        <v>6807</v>
      </c>
      <c r="C382" t="b">
        <v>1</v>
      </c>
      <c r="D382">
        <v>8104</v>
      </c>
      <c r="E382">
        <v>8200</v>
      </c>
      <c r="F382">
        <v>278.93331999999998</v>
      </c>
      <c r="G382">
        <v>288.2</v>
      </c>
      <c r="H382">
        <v>0.96784632999999998</v>
      </c>
      <c r="I382">
        <v>3.2153689999999999E-2</v>
      </c>
      <c r="J382">
        <v>0.5081698</v>
      </c>
    </row>
    <row r="383" spans="1:10" x14ac:dyDescent="0.3">
      <c r="A383">
        <v>381</v>
      </c>
      <c r="B383">
        <v>6822</v>
      </c>
      <c r="C383" t="b">
        <v>1</v>
      </c>
      <c r="D383">
        <v>8112</v>
      </c>
      <c r="E383">
        <v>8192</v>
      </c>
      <c r="F383">
        <v>278.39999999999998</v>
      </c>
      <c r="G383">
        <v>288.73334</v>
      </c>
      <c r="H383">
        <v>0.96421146000000002</v>
      </c>
      <c r="I383">
        <v>3.5788536000000003E-2</v>
      </c>
      <c r="J383">
        <v>0.50911015000000004</v>
      </c>
    </row>
    <row r="384" spans="1:10" x14ac:dyDescent="0.3">
      <c r="A384">
        <v>382</v>
      </c>
      <c r="B384">
        <v>6839</v>
      </c>
      <c r="C384" t="b">
        <v>1</v>
      </c>
      <c r="D384">
        <v>8128</v>
      </c>
      <c r="E384">
        <v>8208</v>
      </c>
      <c r="F384">
        <v>278.39999999999998</v>
      </c>
      <c r="G384">
        <v>288.73334</v>
      </c>
      <c r="H384">
        <v>0.96421146000000002</v>
      </c>
      <c r="I384">
        <v>3.5788536000000003E-2</v>
      </c>
      <c r="J384">
        <v>0.50911015000000004</v>
      </c>
    </row>
    <row r="385" spans="1:10" x14ac:dyDescent="0.3">
      <c r="A385">
        <v>383</v>
      </c>
      <c r="B385">
        <v>6855</v>
      </c>
      <c r="C385" t="b">
        <v>1</v>
      </c>
      <c r="D385">
        <v>8104</v>
      </c>
      <c r="E385">
        <v>8224</v>
      </c>
      <c r="F385">
        <v>278.39999999999998</v>
      </c>
      <c r="G385">
        <v>288.73334</v>
      </c>
      <c r="H385">
        <v>0.96421146000000002</v>
      </c>
      <c r="I385">
        <v>3.5788536000000003E-2</v>
      </c>
      <c r="J385">
        <v>0.50911015000000004</v>
      </c>
    </row>
    <row r="386" spans="1:10" x14ac:dyDescent="0.3">
      <c r="A386">
        <v>384</v>
      </c>
      <c r="B386">
        <v>6871</v>
      </c>
      <c r="C386" t="b">
        <v>1</v>
      </c>
      <c r="D386">
        <v>8144</v>
      </c>
      <c r="E386">
        <v>8216</v>
      </c>
      <c r="F386">
        <v>277.86667</v>
      </c>
      <c r="G386">
        <v>289.26666</v>
      </c>
      <c r="H386">
        <v>0.96059000000000005</v>
      </c>
      <c r="I386">
        <v>3.9409979999999997E-2</v>
      </c>
      <c r="J386">
        <v>0.51005060000000002</v>
      </c>
    </row>
    <row r="387" spans="1:10" x14ac:dyDescent="0.3">
      <c r="A387">
        <v>385</v>
      </c>
      <c r="B387">
        <v>6887</v>
      </c>
      <c r="C387" t="b">
        <v>1</v>
      </c>
      <c r="D387">
        <v>8120</v>
      </c>
      <c r="E387">
        <v>8200</v>
      </c>
      <c r="F387">
        <v>277.86667</v>
      </c>
      <c r="G387">
        <v>289.8</v>
      </c>
      <c r="H387">
        <v>0.95882224999999999</v>
      </c>
      <c r="I387">
        <v>4.1177775999999999E-2</v>
      </c>
      <c r="J387">
        <v>0.51051086000000001</v>
      </c>
    </row>
    <row r="388" spans="1:10" x14ac:dyDescent="0.3">
      <c r="A388">
        <v>386</v>
      </c>
      <c r="B388">
        <v>6903</v>
      </c>
      <c r="C388" t="b">
        <v>1</v>
      </c>
      <c r="D388">
        <v>8112</v>
      </c>
      <c r="E388">
        <v>8200</v>
      </c>
      <c r="F388">
        <v>276.26666</v>
      </c>
      <c r="G388">
        <v>290.33334000000002</v>
      </c>
      <c r="H388">
        <v>0.95154989999999995</v>
      </c>
      <c r="I388">
        <v>4.8450105E-2</v>
      </c>
      <c r="J388">
        <v>0.51241325999999998</v>
      </c>
    </row>
    <row r="389" spans="1:10" x14ac:dyDescent="0.3">
      <c r="A389">
        <v>387</v>
      </c>
      <c r="B389">
        <v>6918</v>
      </c>
      <c r="C389" t="b">
        <v>1</v>
      </c>
      <c r="D389">
        <v>8152</v>
      </c>
      <c r="E389">
        <v>8192</v>
      </c>
      <c r="F389">
        <v>275.2</v>
      </c>
      <c r="G389">
        <v>290.33334000000002</v>
      </c>
      <c r="H389">
        <v>0.94787604000000003</v>
      </c>
      <c r="I389">
        <v>5.2123985999999997E-2</v>
      </c>
      <c r="J389">
        <v>0.51337975000000002</v>
      </c>
    </row>
    <row r="390" spans="1:10" x14ac:dyDescent="0.3">
      <c r="A390">
        <v>388</v>
      </c>
      <c r="B390">
        <v>6934</v>
      </c>
      <c r="C390" t="b">
        <v>1</v>
      </c>
      <c r="D390">
        <v>8120</v>
      </c>
      <c r="E390">
        <v>8224</v>
      </c>
      <c r="F390">
        <v>274.13333</v>
      </c>
      <c r="G390">
        <v>290.33334000000002</v>
      </c>
      <c r="H390">
        <v>0.94420199999999999</v>
      </c>
      <c r="I390">
        <v>5.5797970000000002E-2</v>
      </c>
      <c r="J390">
        <v>0.51434979999999997</v>
      </c>
    </row>
    <row r="391" spans="1:10" x14ac:dyDescent="0.3">
      <c r="A391">
        <v>389</v>
      </c>
      <c r="B391">
        <v>6950</v>
      </c>
      <c r="C391" t="b">
        <v>1</v>
      </c>
      <c r="D391">
        <v>8136</v>
      </c>
      <c r="E391">
        <v>8208</v>
      </c>
      <c r="F391">
        <v>273.60000000000002</v>
      </c>
      <c r="G391">
        <v>290.33334000000002</v>
      </c>
      <c r="H391">
        <v>0.94236509999999996</v>
      </c>
      <c r="I391">
        <v>5.7634916000000001E-2</v>
      </c>
      <c r="J391">
        <v>0.51483625</v>
      </c>
    </row>
    <row r="392" spans="1:10" x14ac:dyDescent="0.3">
      <c r="A392">
        <v>390</v>
      </c>
      <c r="B392">
        <v>6966</v>
      </c>
      <c r="C392" t="b">
        <v>1</v>
      </c>
      <c r="D392">
        <v>8104</v>
      </c>
      <c r="E392">
        <v>8224</v>
      </c>
      <c r="F392">
        <v>273.06668000000002</v>
      </c>
      <c r="G392">
        <v>290.33334000000002</v>
      </c>
      <c r="H392">
        <v>0.94052815000000001</v>
      </c>
      <c r="I392">
        <v>5.9471857000000003E-2</v>
      </c>
      <c r="J392">
        <v>0.51532363999999997</v>
      </c>
    </row>
    <row r="393" spans="1:10" x14ac:dyDescent="0.3">
      <c r="A393">
        <v>391</v>
      </c>
      <c r="B393">
        <v>6998</v>
      </c>
      <c r="C393" t="b">
        <v>1</v>
      </c>
      <c r="D393">
        <v>8152</v>
      </c>
      <c r="E393">
        <v>8216</v>
      </c>
      <c r="F393">
        <v>273.60000000000002</v>
      </c>
      <c r="G393">
        <v>290.86667</v>
      </c>
      <c r="H393">
        <v>0.94063719999999995</v>
      </c>
      <c r="I393">
        <v>5.9362810000000002E-2</v>
      </c>
      <c r="J393">
        <v>0.51529469999999999</v>
      </c>
    </row>
    <row r="394" spans="1:10" x14ac:dyDescent="0.3">
      <c r="A394">
        <v>392</v>
      </c>
      <c r="B394">
        <v>7029</v>
      </c>
      <c r="C394" t="b">
        <v>1</v>
      </c>
      <c r="D394">
        <v>8104</v>
      </c>
      <c r="E394">
        <v>8200</v>
      </c>
      <c r="F394">
        <v>274.13333</v>
      </c>
      <c r="G394">
        <v>290.86667</v>
      </c>
      <c r="H394">
        <v>0.94247080000000005</v>
      </c>
      <c r="I394">
        <v>5.7529236999999997E-2</v>
      </c>
      <c r="J394">
        <v>0.51480824000000003</v>
      </c>
    </row>
    <row r="395" spans="1:10" x14ac:dyDescent="0.3">
      <c r="A395">
        <v>393</v>
      </c>
      <c r="B395">
        <v>7061</v>
      </c>
      <c r="C395" t="b">
        <v>1</v>
      </c>
      <c r="D395">
        <v>8112</v>
      </c>
      <c r="E395">
        <v>8200</v>
      </c>
      <c r="F395">
        <v>275.2</v>
      </c>
      <c r="G395">
        <v>290.33334000000002</v>
      </c>
      <c r="H395">
        <v>0.94787604000000003</v>
      </c>
      <c r="I395">
        <v>5.2123985999999997E-2</v>
      </c>
      <c r="J395">
        <v>0.51337975000000002</v>
      </c>
    </row>
    <row r="396" spans="1:10" x14ac:dyDescent="0.3">
      <c r="A396">
        <v>394</v>
      </c>
      <c r="B396">
        <v>7077</v>
      </c>
      <c r="C396" t="b">
        <v>1</v>
      </c>
      <c r="D396">
        <v>8120</v>
      </c>
      <c r="E396">
        <v>8192</v>
      </c>
      <c r="F396">
        <v>276.26666</v>
      </c>
      <c r="G396">
        <v>289.8</v>
      </c>
      <c r="H396">
        <v>0.95330113000000005</v>
      </c>
      <c r="I396">
        <v>4.6698846000000002E-2</v>
      </c>
      <c r="J396">
        <v>0.51195383000000005</v>
      </c>
    </row>
    <row r="397" spans="1:10" x14ac:dyDescent="0.3">
      <c r="A397">
        <v>395</v>
      </c>
      <c r="B397">
        <v>7093</v>
      </c>
      <c r="C397" t="b">
        <v>1</v>
      </c>
      <c r="D397">
        <v>8096</v>
      </c>
      <c r="E397">
        <v>8200</v>
      </c>
      <c r="F397">
        <v>276.8</v>
      </c>
      <c r="G397">
        <v>289.8</v>
      </c>
      <c r="H397">
        <v>0.95514149999999998</v>
      </c>
      <c r="I397">
        <v>4.4858526000000003E-2</v>
      </c>
      <c r="J397">
        <v>0.51147189999999998</v>
      </c>
    </row>
    <row r="398" spans="1:10" x14ac:dyDescent="0.3">
      <c r="A398">
        <v>396</v>
      </c>
      <c r="B398">
        <v>7108</v>
      </c>
      <c r="C398" t="b">
        <v>1</v>
      </c>
      <c r="D398">
        <v>8112</v>
      </c>
      <c r="E398">
        <v>8216</v>
      </c>
      <c r="F398">
        <v>277.33334000000002</v>
      </c>
      <c r="G398">
        <v>289.8</v>
      </c>
      <c r="H398">
        <v>0.95698190000000005</v>
      </c>
      <c r="I398">
        <v>4.3018099999999997E-2</v>
      </c>
      <c r="J398">
        <v>0.51099099999999997</v>
      </c>
    </row>
    <row r="399" spans="1:10" x14ac:dyDescent="0.3">
      <c r="A399">
        <v>397</v>
      </c>
      <c r="B399">
        <v>7124</v>
      </c>
      <c r="C399" t="b">
        <v>1</v>
      </c>
      <c r="D399">
        <v>8096</v>
      </c>
      <c r="E399">
        <v>8200</v>
      </c>
      <c r="F399">
        <v>277.33334000000002</v>
      </c>
      <c r="G399">
        <v>289.8</v>
      </c>
      <c r="H399">
        <v>0.95698190000000005</v>
      </c>
      <c r="I399">
        <v>4.3018099999999997E-2</v>
      </c>
      <c r="J399">
        <v>0.51099099999999997</v>
      </c>
    </row>
    <row r="400" spans="1:10" x14ac:dyDescent="0.3">
      <c r="A400">
        <v>398</v>
      </c>
      <c r="B400">
        <v>7140</v>
      </c>
      <c r="C400" t="b">
        <v>1</v>
      </c>
      <c r="D400">
        <v>8144</v>
      </c>
      <c r="E400">
        <v>8184</v>
      </c>
      <c r="F400">
        <v>277.33334000000002</v>
      </c>
      <c r="G400">
        <v>289.8</v>
      </c>
      <c r="H400">
        <v>0.95698190000000005</v>
      </c>
      <c r="I400">
        <v>4.3018099999999997E-2</v>
      </c>
      <c r="J400">
        <v>0.51099099999999997</v>
      </c>
    </row>
    <row r="401" spans="1:10" x14ac:dyDescent="0.3">
      <c r="A401">
        <v>399</v>
      </c>
      <c r="B401">
        <v>7156</v>
      </c>
      <c r="C401" t="b">
        <v>1</v>
      </c>
      <c r="D401">
        <v>8128</v>
      </c>
      <c r="E401">
        <v>8192</v>
      </c>
      <c r="F401">
        <v>277.33334000000002</v>
      </c>
      <c r="G401">
        <v>289.26666</v>
      </c>
      <c r="H401">
        <v>0.95874630000000005</v>
      </c>
      <c r="I401">
        <v>4.1253696999999999E-2</v>
      </c>
      <c r="J401">
        <v>0.51053064999999997</v>
      </c>
    </row>
    <row r="402" spans="1:10" x14ac:dyDescent="0.3">
      <c r="A402">
        <v>400</v>
      </c>
      <c r="B402">
        <v>7171</v>
      </c>
      <c r="C402" t="b">
        <v>1</v>
      </c>
      <c r="D402">
        <v>8128</v>
      </c>
      <c r="E402">
        <v>8224</v>
      </c>
      <c r="F402">
        <v>277.86667</v>
      </c>
      <c r="G402">
        <v>288.73334</v>
      </c>
      <c r="H402">
        <v>0.96236429999999995</v>
      </c>
      <c r="I402">
        <v>3.7635658000000002E-2</v>
      </c>
      <c r="J402">
        <v>0.50958939999999997</v>
      </c>
    </row>
    <row r="403" spans="1:10" x14ac:dyDescent="0.3">
      <c r="A403">
        <v>401</v>
      </c>
      <c r="B403">
        <v>7203</v>
      </c>
      <c r="C403" t="b">
        <v>1</v>
      </c>
      <c r="D403">
        <v>8088</v>
      </c>
      <c r="E403">
        <v>8224</v>
      </c>
      <c r="F403">
        <v>278.39999999999998</v>
      </c>
      <c r="G403">
        <v>288.2</v>
      </c>
      <c r="H403">
        <v>0.96599579999999996</v>
      </c>
      <c r="I403">
        <v>3.4004225999999999E-2</v>
      </c>
      <c r="J403">
        <v>0.50864810000000005</v>
      </c>
    </row>
    <row r="404" spans="1:10" x14ac:dyDescent="0.3">
      <c r="A404">
        <v>402</v>
      </c>
      <c r="B404">
        <v>7219</v>
      </c>
      <c r="C404" t="b">
        <v>1</v>
      </c>
      <c r="D404">
        <v>8120</v>
      </c>
      <c r="E404">
        <v>8200</v>
      </c>
      <c r="F404">
        <v>278.93331999999998</v>
      </c>
      <c r="G404">
        <v>288.2</v>
      </c>
      <c r="H404">
        <v>0.96784632999999998</v>
      </c>
      <c r="I404">
        <v>3.2153689999999999E-2</v>
      </c>
      <c r="J404">
        <v>0.5081698</v>
      </c>
    </row>
    <row r="405" spans="1:10" x14ac:dyDescent="0.3">
      <c r="A405">
        <v>403</v>
      </c>
      <c r="B405">
        <v>7235</v>
      </c>
      <c r="C405" t="b">
        <v>1</v>
      </c>
      <c r="D405">
        <v>8120</v>
      </c>
      <c r="E405">
        <v>8200</v>
      </c>
      <c r="F405">
        <v>278.93331999999998</v>
      </c>
      <c r="G405">
        <v>288.2</v>
      </c>
      <c r="H405">
        <v>0.96784632999999998</v>
      </c>
      <c r="I405">
        <v>3.2153689999999999E-2</v>
      </c>
      <c r="J405">
        <v>0.5081698</v>
      </c>
    </row>
    <row r="406" spans="1:10" x14ac:dyDescent="0.3">
      <c r="A406">
        <v>404</v>
      </c>
      <c r="B406">
        <v>7251</v>
      </c>
      <c r="C406" t="b">
        <v>1</v>
      </c>
      <c r="D406">
        <v>8104</v>
      </c>
      <c r="E406">
        <v>8200</v>
      </c>
      <c r="F406">
        <v>278.93331999999998</v>
      </c>
      <c r="G406">
        <v>288.2</v>
      </c>
      <c r="H406">
        <v>0.96784632999999998</v>
      </c>
      <c r="I406">
        <v>3.2153689999999999E-2</v>
      </c>
      <c r="J406">
        <v>0.5081698</v>
      </c>
    </row>
    <row r="407" spans="1:10" x14ac:dyDescent="0.3">
      <c r="A407">
        <v>405</v>
      </c>
      <c r="B407">
        <v>7267</v>
      </c>
      <c r="C407" t="b">
        <v>1</v>
      </c>
      <c r="D407">
        <v>8160</v>
      </c>
      <c r="E407">
        <v>8208</v>
      </c>
      <c r="F407">
        <v>278.93331999999998</v>
      </c>
      <c r="G407">
        <v>287.66665999999998</v>
      </c>
      <c r="H407">
        <v>0.96964079999999997</v>
      </c>
      <c r="I407">
        <v>3.0359226999999999E-2</v>
      </c>
      <c r="J407">
        <v>0.50770680000000001</v>
      </c>
    </row>
    <row r="408" spans="1:10" x14ac:dyDescent="0.3">
      <c r="A408">
        <v>406</v>
      </c>
      <c r="B408">
        <v>7283</v>
      </c>
      <c r="C408" t="b">
        <v>1</v>
      </c>
      <c r="D408">
        <v>8112</v>
      </c>
      <c r="E408">
        <v>8216</v>
      </c>
      <c r="F408">
        <v>277.86667</v>
      </c>
      <c r="G408">
        <v>286.60000000000002</v>
      </c>
      <c r="H408">
        <v>0.96952780000000005</v>
      </c>
      <c r="I408">
        <v>3.0472216999999999E-2</v>
      </c>
      <c r="J408">
        <v>0.50773590000000002</v>
      </c>
    </row>
    <row r="409" spans="1:10" x14ac:dyDescent="0.3">
      <c r="A409">
        <v>407</v>
      </c>
      <c r="B409">
        <v>7299</v>
      </c>
      <c r="C409" t="b">
        <v>1</v>
      </c>
      <c r="D409">
        <v>8080</v>
      </c>
      <c r="E409">
        <v>8200</v>
      </c>
      <c r="F409">
        <v>277.33334000000002</v>
      </c>
      <c r="G409">
        <v>285.53332999999998</v>
      </c>
      <c r="H409">
        <v>0.97128190000000003</v>
      </c>
      <c r="I409">
        <v>2.8718125000000001E-2</v>
      </c>
      <c r="J409">
        <v>0.50728410000000002</v>
      </c>
    </row>
    <row r="410" spans="1:10" x14ac:dyDescent="0.3">
      <c r="A410">
        <v>408</v>
      </c>
      <c r="B410">
        <v>7315</v>
      </c>
      <c r="C410" t="b">
        <v>1</v>
      </c>
      <c r="D410">
        <v>8128</v>
      </c>
      <c r="E410">
        <v>8200</v>
      </c>
      <c r="F410">
        <v>277.33334000000002</v>
      </c>
      <c r="G410">
        <v>285</v>
      </c>
      <c r="H410">
        <v>0.97309946999999997</v>
      </c>
      <c r="I410">
        <v>2.6900548E-2</v>
      </c>
      <c r="J410">
        <v>0.50681679999999996</v>
      </c>
    </row>
    <row r="411" spans="1:10" x14ac:dyDescent="0.3">
      <c r="A411">
        <v>409</v>
      </c>
      <c r="B411">
        <v>7331</v>
      </c>
      <c r="C411" t="b">
        <v>1</v>
      </c>
      <c r="D411">
        <v>8104</v>
      </c>
      <c r="E411">
        <v>8192</v>
      </c>
      <c r="F411">
        <v>277.33334000000002</v>
      </c>
      <c r="G411">
        <v>285</v>
      </c>
      <c r="H411">
        <v>0.97309946999999997</v>
      </c>
      <c r="I411">
        <v>2.6900548E-2</v>
      </c>
      <c r="J411">
        <v>0.50681679999999996</v>
      </c>
    </row>
    <row r="412" spans="1:10" x14ac:dyDescent="0.3">
      <c r="A412">
        <v>410</v>
      </c>
      <c r="B412">
        <v>7346</v>
      </c>
      <c r="C412" t="b">
        <v>1</v>
      </c>
      <c r="D412">
        <v>8128</v>
      </c>
      <c r="E412">
        <v>8200</v>
      </c>
      <c r="F412">
        <v>277.33334000000002</v>
      </c>
      <c r="G412">
        <v>285</v>
      </c>
      <c r="H412">
        <v>0.97309946999999997</v>
      </c>
      <c r="I412">
        <v>2.6900548E-2</v>
      </c>
      <c r="J412">
        <v>0.50681679999999996</v>
      </c>
    </row>
    <row r="413" spans="1:10" x14ac:dyDescent="0.3">
      <c r="A413">
        <v>411</v>
      </c>
      <c r="B413">
        <v>7363</v>
      </c>
      <c r="C413" t="b">
        <v>1</v>
      </c>
      <c r="D413">
        <v>8128</v>
      </c>
      <c r="E413">
        <v>8176</v>
      </c>
      <c r="F413">
        <v>278.39999999999998</v>
      </c>
      <c r="G413">
        <v>285</v>
      </c>
      <c r="H413">
        <v>0.97684210000000005</v>
      </c>
      <c r="I413">
        <v>2.3157917E-2</v>
      </c>
      <c r="J413">
        <v>0.50585729999999995</v>
      </c>
    </row>
    <row r="414" spans="1:10" x14ac:dyDescent="0.3">
      <c r="A414">
        <v>412</v>
      </c>
      <c r="B414">
        <v>7378</v>
      </c>
      <c r="C414" t="b">
        <v>1</v>
      </c>
      <c r="D414">
        <v>8104</v>
      </c>
      <c r="E414">
        <v>8192</v>
      </c>
      <c r="F414">
        <v>279.46667000000002</v>
      </c>
      <c r="G414">
        <v>284.46667000000002</v>
      </c>
      <c r="H414">
        <v>0.98242324999999997</v>
      </c>
      <c r="I414">
        <v>1.7576752000000001E-2</v>
      </c>
      <c r="J414">
        <v>0.50443316000000005</v>
      </c>
    </row>
    <row r="415" spans="1:10" x14ac:dyDescent="0.3">
      <c r="A415">
        <v>413</v>
      </c>
      <c r="B415">
        <v>7394</v>
      </c>
      <c r="C415" t="b">
        <v>1</v>
      </c>
      <c r="D415">
        <v>8144</v>
      </c>
      <c r="E415">
        <v>8208</v>
      </c>
      <c r="F415">
        <v>280.53332999999998</v>
      </c>
      <c r="G415">
        <v>283.93331999999998</v>
      </c>
      <c r="H415">
        <v>0.98802537000000001</v>
      </c>
      <c r="I415">
        <v>1.1974621E-2</v>
      </c>
      <c r="J415">
        <v>0.50301163999999998</v>
      </c>
    </row>
    <row r="416" spans="1:10" x14ac:dyDescent="0.3">
      <c r="A416">
        <v>414</v>
      </c>
      <c r="B416">
        <v>7410</v>
      </c>
      <c r="C416" t="b">
        <v>1</v>
      </c>
      <c r="D416">
        <v>8128</v>
      </c>
      <c r="E416">
        <v>8176</v>
      </c>
      <c r="F416">
        <v>281.60000000000002</v>
      </c>
      <c r="G416">
        <v>283.39999999999998</v>
      </c>
      <c r="H416">
        <v>0.99364859999999999</v>
      </c>
      <c r="I416">
        <v>6.3514039999999997E-3</v>
      </c>
      <c r="J416">
        <v>0.50159293000000005</v>
      </c>
    </row>
    <row r="417" spans="1:10" x14ac:dyDescent="0.3">
      <c r="A417">
        <v>415</v>
      </c>
      <c r="B417">
        <v>7426</v>
      </c>
      <c r="C417" t="b">
        <v>1</v>
      </c>
      <c r="D417">
        <v>8104</v>
      </c>
      <c r="E417">
        <v>8208</v>
      </c>
      <c r="F417">
        <v>281.60000000000002</v>
      </c>
      <c r="G417">
        <v>282.86667</v>
      </c>
      <c r="H417">
        <v>0.99552200000000002</v>
      </c>
      <c r="I417">
        <v>4.4779492999999998E-3</v>
      </c>
      <c r="J417">
        <v>0.50112199999999996</v>
      </c>
    </row>
    <row r="418" spans="1:10" x14ac:dyDescent="0.3">
      <c r="A418">
        <v>416</v>
      </c>
      <c r="B418">
        <v>7442</v>
      </c>
      <c r="C418" t="b">
        <v>1</v>
      </c>
      <c r="D418">
        <v>8136</v>
      </c>
      <c r="E418">
        <v>8192</v>
      </c>
      <c r="F418">
        <v>281.60000000000002</v>
      </c>
      <c r="G418">
        <v>282.33334000000002</v>
      </c>
      <c r="H418">
        <v>0.99740260000000003</v>
      </c>
      <c r="I418">
        <v>2.5974169999999999E-3</v>
      </c>
      <c r="J418">
        <v>0.50065020000000005</v>
      </c>
    </row>
    <row r="419" spans="1:10" x14ac:dyDescent="0.3">
      <c r="A419">
        <v>417</v>
      </c>
      <c r="B419">
        <v>7458</v>
      </c>
      <c r="C419" t="b">
        <v>1</v>
      </c>
      <c r="D419">
        <v>8096</v>
      </c>
      <c r="E419">
        <v>8216</v>
      </c>
      <c r="F419">
        <v>281.60000000000002</v>
      </c>
      <c r="G419">
        <v>282.86667</v>
      </c>
      <c r="H419">
        <v>0.99552200000000002</v>
      </c>
      <c r="I419">
        <v>4.4779492999999998E-3</v>
      </c>
      <c r="J419">
        <v>0.50112199999999996</v>
      </c>
    </row>
    <row r="420" spans="1:10" x14ac:dyDescent="0.3">
      <c r="A420">
        <v>418</v>
      </c>
      <c r="B420">
        <v>7474</v>
      </c>
      <c r="C420" t="b">
        <v>1</v>
      </c>
      <c r="D420">
        <v>8080</v>
      </c>
      <c r="E420">
        <v>8192</v>
      </c>
      <c r="F420">
        <v>280.53332999999998</v>
      </c>
      <c r="G420">
        <v>282.33334000000002</v>
      </c>
      <c r="H420">
        <v>0.99362450000000002</v>
      </c>
      <c r="I420">
        <v>6.3755074999999996E-3</v>
      </c>
      <c r="J420">
        <v>0.50159894999999999</v>
      </c>
    </row>
    <row r="421" spans="1:10" x14ac:dyDescent="0.3">
      <c r="A421">
        <v>419</v>
      </c>
      <c r="B421">
        <v>7490</v>
      </c>
      <c r="C421" t="b">
        <v>1</v>
      </c>
      <c r="D421">
        <v>8048</v>
      </c>
      <c r="E421">
        <v>8208</v>
      </c>
      <c r="F421">
        <v>278.93331999999998</v>
      </c>
      <c r="G421">
        <v>282.86667</v>
      </c>
      <c r="H421">
        <v>0.98609469999999999</v>
      </c>
      <c r="I421">
        <v>1.3905313000000001E-2</v>
      </c>
      <c r="J421">
        <v>0.50350064000000005</v>
      </c>
    </row>
    <row r="422" spans="1:10" x14ac:dyDescent="0.3">
      <c r="A422">
        <v>420</v>
      </c>
      <c r="B422">
        <v>7506</v>
      </c>
      <c r="C422" t="b">
        <v>1</v>
      </c>
      <c r="D422">
        <v>8128</v>
      </c>
      <c r="E422">
        <v>8208</v>
      </c>
      <c r="F422">
        <v>277.33334000000002</v>
      </c>
      <c r="G422">
        <v>283.39999999999998</v>
      </c>
      <c r="H422">
        <v>0.97859335000000003</v>
      </c>
      <c r="I422">
        <v>2.1406670999999999E-2</v>
      </c>
      <c r="J422">
        <v>0.50540954000000005</v>
      </c>
    </row>
    <row r="423" spans="1:10" x14ac:dyDescent="0.3">
      <c r="A423">
        <v>421</v>
      </c>
      <c r="B423">
        <v>7522</v>
      </c>
      <c r="C423" t="b">
        <v>1</v>
      </c>
      <c r="D423">
        <v>8112</v>
      </c>
      <c r="E423">
        <v>8216</v>
      </c>
      <c r="F423">
        <v>275.73334</v>
      </c>
      <c r="G423">
        <v>283.93331999999998</v>
      </c>
      <c r="H423">
        <v>0.97112005999999995</v>
      </c>
      <c r="I423">
        <v>2.8879954999999999E-2</v>
      </c>
      <c r="J423">
        <v>0.50732580000000005</v>
      </c>
    </row>
    <row r="424" spans="1:10" x14ac:dyDescent="0.3">
      <c r="A424">
        <v>422</v>
      </c>
      <c r="B424">
        <v>7538</v>
      </c>
      <c r="C424" t="b">
        <v>1</v>
      </c>
      <c r="D424">
        <v>8104</v>
      </c>
      <c r="E424">
        <v>8224</v>
      </c>
      <c r="F424">
        <v>275.2</v>
      </c>
      <c r="G424">
        <v>284.46667000000002</v>
      </c>
      <c r="H424">
        <v>0.96742444999999999</v>
      </c>
      <c r="I424">
        <v>3.2575566E-2</v>
      </c>
      <c r="J424">
        <v>0.50827869999999997</v>
      </c>
    </row>
    <row r="425" spans="1:10" x14ac:dyDescent="0.3">
      <c r="A425">
        <v>423</v>
      </c>
      <c r="B425">
        <v>7554</v>
      </c>
      <c r="C425" t="b">
        <v>1</v>
      </c>
      <c r="D425">
        <v>8128</v>
      </c>
      <c r="E425">
        <v>8224</v>
      </c>
      <c r="F425">
        <v>275.2</v>
      </c>
      <c r="G425">
        <v>285.53332999999998</v>
      </c>
      <c r="H425">
        <v>0.96381050000000001</v>
      </c>
      <c r="I425">
        <v>3.6189514999999998E-2</v>
      </c>
      <c r="J425">
        <v>0.5092141</v>
      </c>
    </row>
    <row r="426" spans="1:10" x14ac:dyDescent="0.3">
      <c r="A426">
        <v>424</v>
      </c>
      <c r="B426">
        <v>7570</v>
      </c>
      <c r="C426" t="b">
        <v>1</v>
      </c>
      <c r="D426">
        <v>8104</v>
      </c>
      <c r="E426">
        <v>8200</v>
      </c>
      <c r="F426">
        <v>275.2</v>
      </c>
      <c r="G426">
        <v>286.60000000000002</v>
      </c>
      <c r="H426">
        <v>0.9602233</v>
      </c>
      <c r="I426">
        <v>3.977667E-2</v>
      </c>
      <c r="J426">
        <v>0.51014590000000004</v>
      </c>
    </row>
    <row r="427" spans="1:10" x14ac:dyDescent="0.3">
      <c r="A427">
        <v>425</v>
      </c>
      <c r="B427">
        <v>7585</v>
      </c>
      <c r="C427" t="b">
        <v>1</v>
      </c>
      <c r="D427">
        <v>8104</v>
      </c>
      <c r="E427">
        <v>8192</v>
      </c>
      <c r="F427">
        <v>274.66665999999998</v>
      </c>
      <c r="G427">
        <v>287.66665999999998</v>
      </c>
      <c r="H427">
        <v>0.95480883000000005</v>
      </c>
      <c r="I427">
        <v>4.5191195000000003E-2</v>
      </c>
      <c r="J427">
        <v>0.51155899999999999</v>
      </c>
    </row>
    <row r="428" spans="1:10" x14ac:dyDescent="0.3">
      <c r="A428">
        <v>426</v>
      </c>
      <c r="B428">
        <v>7602</v>
      </c>
      <c r="C428" t="b">
        <v>1</v>
      </c>
      <c r="D428">
        <v>8168</v>
      </c>
      <c r="E428">
        <v>8152</v>
      </c>
      <c r="F428">
        <v>273.06668000000002</v>
      </c>
      <c r="G428">
        <v>287.66665999999998</v>
      </c>
      <c r="H428">
        <v>0.9492469</v>
      </c>
      <c r="I428">
        <v>5.0753100000000002E-2</v>
      </c>
      <c r="J428">
        <v>0.51301867000000001</v>
      </c>
    </row>
    <row r="429" spans="1:10" x14ac:dyDescent="0.3">
      <c r="A429">
        <v>427</v>
      </c>
      <c r="B429">
        <v>7617</v>
      </c>
      <c r="C429" t="b">
        <v>1</v>
      </c>
      <c r="D429">
        <v>8064</v>
      </c>
      <c r="E429">
        <v>8184</v>
      </c>
      <c r="F429">
        <v>271.46667000000002</v>
      </c>
      <c r="G429">
        <v>287.66665999999998</v>
      </c>
      <c r="H429">
        <v>0.94368490000000005</v>
      </c>
      <c r="I429">
        <v>5.6315116999999998E-2</v>
      </c>
      <c r="J429">
        <v>0.51448673</v>
      </c>
    </row>
    <row r="430" spans="1:10" x14ac:dyDescent="0.3">
      <c r="A430">
        <v>428</v>
      </c>
      <c r="B430">
        <v>7633</v>
      </c>
      <c r="C430" t="b">
        <v>1</v>
      </c>
      <c r="D430">
        <v>8120</v>
      </c>
      <c r="E430">
        <v>8224</v>
      </c>
      <c r="F430">
        <v>269.86667</v>
      </c>
      <c r="G430">
        <v>287.66665999999998</v>
      </c>
      <c r="H430">
        <v>0.93812287000000005</v>
      </c>
      <c r="I430">
        <v>6.1877130000000002E-2</v>
      </c>
      <c r="J430">
        <v>0.51596313999999999</v>
      </c>
    </row>
    <row r="431" spans="1:10" x14ac:dyDescent="0.3">
      <c r="A431">
        <v>429</v>
      </c>
      <c r="B431">
        <v>7649</v>
      </c>
      <c r="C431" t="b">
        <v>1</v>
      </c>
      <c r="D431">
        <v>8112</v>
      </c>
      <c r="E431">
        <v>8192</v>
      </c>
      <c r="F431">
        <v>268.8</v>
      </c>
      <c r="G431">
        <v>287.66665999999998</v>
      </c>
      <c r="H431">
        <v>0.93441479999999999</v>
      </c>
      <c r="I431">
        <v>6.5585180000000007E-2</v>
      </c>
      <c r="J431">
        <v>0.51695215999999999</v>
      </c>
    </row>
    <row r="432" spans="1:10" x14ac:dyDescent="0.3">
      <c r="A432">
        <v>430</v>
      </c>
      <c r="B432">
        <v>7665</v>
      </c>
      <c r="C432" t="b">
        <v>1</v>
      </c>
      <c r="D432">
        <v>8152</v>
      </c>
      <c r="E432">
        <v>8200</v>
      </c>
      <c r="F432">
        <v>268.26666</v>
      </c>
      <c r="G432">
        <v>287.66665999999998</v>
      </c>
      <c r="H432">
        <v>0.93256086000000005</v>
      </c>
      <c r="I432">
        <v>6.7439150000000003E-2</v>
      </c>
      <c r="J432">
        <v>0.51744809999999997</v>
      </c>
    </row>
    <row r="433" spans="1:10" x14ac:dyDescent="0.3">
      <c r="A433">
        <v>431</v>
      </c>
      <c r="B433">
        <v>7681</v>
      </c>
      <c r="C433" t="b">
        <v>1</v>
      </c>
      <c r="D433">
        <v>8136</v>
      </c>
      <c r="E433">
        <v>8216</v>
      </c>
      <c r="F433">
        <v>267.73334</v>
      </c>
      <c r="G433">
        <v>288.2</v>
      </c>
      <c r="H433">
        <v>0.92898446000000001</v>
      </c>
      <c r="I433">
        <v>7.1015519999999999E-2</v>
      </c>
      <c r="J433">
        <v>0.51840746000000004</v>
      </c>
    </row>
    <row r="434" spans="1:10" x14ac:dyDescent="0.3">
      <c r="A434">
        <v>432</v>
      </c>
      <c r="B434">
        <v>7697</v>
      </c>
      <c r="C434" t="b">
        <v>1</v>
      </c>
      <c r="D434">
        <v>7976</v>
      </c>
      <c r="E434">
        <v>8200</v>
      </c>
      <c r="F434">
        <v>267.2</v>
      </c>
      <c r="G434">
        <v>287.66665999999998</v>
      </c>
      <c r="H434">
        <v>0.92885289999999998</v>
      </c>
      <c r="I434">
        <v>7.1147083999999999E-2</v>
      </c>
      <c r="J434">
        <v>0.51844279999999998</v>
      </c>
    </row>
    <row r="435" spans="1:10" x14ac:dyDescent="0.3">
      <c r="A435">
        <v>433</v>
      </c>
      <c r="B435">
        <v>7713</v>
      </c>
      <c r="C435" t="b">
        <v>1</v>
      </c>
      <c r="D435">
        <v>8064</v>
      </c>
      <c r="E435">
        <v>8184</v>
      </c>
      <c r="F435">
        <v>267.73334</v>
      </c>
      <c r="G435">
        <v>288.2</v>
      </c>
      <c r="H435">
        <v>0.92898446000000001</v>
      </c>
      <c r="I435">
        <v>7.1015519999999999E-2</v>
      </c>
      <c r="J435">
        <v>0.51840746000000004</v>
      </c>
    </row>
    <row r="436" spans="1:10" x14ac:dyDescent="0.3">
      <c r="A436">
        <v>434</v>
      </c>
      <c r="B436">
        <v>7728</v>
      </c>
      <c r="C436" t="b">
        <v>1</v>
      </c>
      <c r="D436">
        <v>8136</v>
      </c>
      <c r="E436">
        <v>8224</v>
      </c>
      <c r="F436">
        <v>270.39999999999998</v>
      </c>
      <c r="G436">
        <v>287.66665999999998</v>
      </c>
      <c r="H436">
        <v>0.93997679999999995</v>
      </c>
      <c r="I436">
        <v>6.0023162999999997E-2</v>
      </c>
      <c r="J436">
        <v>0.51547010000000004</v>
      </c>
    </row>
    <row r="437" spans="1:10" x14ac:dyDescent="0.3">
      <c r="A437">
        <v>435</v>
      </c>
      <c r="B437">
        <v>7744</v>
      </c>
      <c r="C437" t="b">
        <v>1</v>
      </c>
      <c r="D437">
        <v>8128</v>
      </c>
      <c r="E437">
        <v>8224</v>
      </c>
      <c r="F437">
        <v>272.53332999999998</v>
      </c>
      <c r="G437">
        <v>288.2</v>
      </c>
      <c r="H437">
        <v>0.94563955</v>
      </c>
      <c r="I437">
        <v>5.4360468000000002E-2</v>
      </c>
      <c r="J437">
        <v>0.51396984000000001</v>
      </c>
    </row>
    <row r="438" spans="1:10" x14ac:dyDescent="0.3">
      <c r="A438">
        <v>436</v>
      </c>
      <c r="B438">
        <v>7760</v>
      </c>
      <c r="C438" t="b">
        <v>1</v>
      </c>
      <c r="D438">
        <v>8152</v>
      </c>
      <c r="E438">
        <v>8224</v>
      </c>
      <c r="F438">
        <v>274.66665999999998</v>
      </c>
      <c r="G438">
        <v>289.26666</v>
      </c>
      <c r="H438">
        <v>0.94952749999999997</v>
      </c>
      <c r="I438">
        <v>5.047248E-2</v>
      </c>
      <c r="J438">
        <v>0.51294476</v>
      </c>
    </row>
    <row r="439" spans="1:10" x14ac:dyDescent="0.3">
      <c r="A439">
        <v>437</v>
      </c>
      <c r="B439">
        <v>7776</v>
      </c>
      <c r="C439" t="b">
        <v>1</v>
      </c>
      <c r="D439">
        <v>8136</v>
      </c>
      <c r="E439">
        <v>8200</v>
      </c>
      <c r="F439">
        <v>276.8</v>
      </c>
      <c r="G439">
        <v>290.33334000000002</v>
      </c>
      <c r="H439">
        <v>0.95338683999999996</v>
      </c>
      <c r="I439">
        <v>4.6613163999999999E-2</v>
      </c>
      <c r="J439">
        <v>0.51193140000000004</v>
      </c>
    </row>
    <row r="440" spans="1:10" x14ac:dyDescent="0.3">
      <c r="A440">
        <v>438</v>
      </c>
      <c r="B440">
        <v>7792</v>
      </c>
      <c r="C440" t="b">
        <v>1</v>
      </c>
      <c r="D440">
        <v>8064</v>
      </c>
      <c r="E440">
        <v>8200</v>
      </c>
      <c r="F440">
        <v>278.39999999999998</v>
      </c>
      <c r="G440">
        <v>290.86667</v>
      </c>
      <c r="H440">
        <v>0.95713954999999995</v>
      </c>
      <c r="I440">
        <v>4.2860444999999997E-2</v>
      </c>
      <c r="J440">
        <v>0.51094980000000001</v>
      </c>
    </row>
    <row r="441" spans="1:10" x14ac:dyDescent="0.3">
      <c r="A441">
        <v>439</v>
      </c>
      <c r="B441">
        <v>7808</v>
      </c>
      <c r="C441" t="b">
        <v>1</v>
      </c>
      <c r="D441">
        <v>8088</v>
      </c>
      <c r="E441">
        <v>8224</v>
      </c>
      <c r="F441">
        <v>279.46667000000002</v>
      </c>
      <c r="G441">
        <v>291.39999999999998</v>
      </c>
      <c r="H441">
        <v>0.95904833</v>
      </c>
      <c r="I441">
        <v>4.0951679999999997E-2</v>
      </c>
      <c r="J441">
        <v>0.51045189999999996</v>
      </c>
    </row>
    <row r="442" spans="1:10" x14ac:dyDescent="0.3">
      <c r="A442">
        <v>440</v>
      </c>
      <c r="B442">
        <v>7823</v>
      </c>
      <c r="C442" t="b">
        <v>1</v>
      </c>
      <c r="D442">
        <v>8152</v>
      </c>
      <c r="E442">
        <v>8176</v>
      </c>
      <c r="F442">
        <v>281.60000000000002</v>
      </c>
      <c r="G442">
        <v>290.33334000000002</v>
      </c>
      <c r="H442">
        <v>0.96991959999999999</v>
      </c>
      <c r="I442">
        <v>3.008038E-2</v>
      </c>
      <c r="J442">
        <v>0.50763493999999998</v>
      </c>
    </row>
    <row r="443" spans="1:10" x14ac:dyDescent="0.3">
      <c r="A443">
        <v>441</v>
      </c>
      <c r="B443">
        <v>7839</v>
      </c>
      <c r="C443" t="b">
        <v>1</v>
      </c>
      <c r="D443">
        <v>8104</v>
      </c>
      <c r="E443">
        <v>8200</v>
      </c>
      <c r="F443">
        <v>281.60000000000002</v>
      </c>
      <c r="G443">
        <v>290.33334000000002</v>
      </c>
      <c r="H443">
        <v>0.96991959999999999</v>
      </c>
      <c r="I443">
        <v>3.008038E-2</v>
      </c>
      <c r="J443">
        <v>0.50763493999999998</v>
      </c>
    </row>
    <row r="444" spans="1:10" x14ac:dyDescent="0.3">
      <c r="A444">
        <v>442</v>
      </c>
      <c r="B444">
        <v>7855</v>
      </c>
      <c r="C444" t="b">
        <v>1</v>
      </c>
      <c r="D444">
        <v>8096</v>
      </c>
      <c r="E444">
        <v>8200</v>
      </c>
      <c r="F444">
        <v>281.06668000000002</v>
      </c>
      <c r="G444">
        <v>290.86667</v>
      </c>
      <c r="H444">
        <v>0.96630764000000002</v>
      </c>
      <c r="I444">
        <v>3.3692369999999999E-2</v>
      </c>
      <c r="J444">
        <v>0.5085674</v>
      </c>
    </row>
    <row r="445" spans="1:10" x14ac:dyDescent="0.3">
      <c r="A445">
        <v>443</v>
      </c>
      <c r="B445">
        <v>7871</v>
      </c>
      <c r="C445" t="b">
        <v>1</v>
      </c>
      <c r="D445">
        <v>8152</v>
      </c>
      <c r="E445">
        <v>8216</v>
      </c>
      <c r="F445">
        <v>281.06668000000002</v>
      </c>
      <c r="G445">
        <v>291.39999999999998</v>
      </c>
      <c r="H445">
        <v>0.96453904999999995</v>
      </c>
      <c r="I445">
        <v>3.5460922999999998E-2</v>
      </c>
      <c r="J445">
        <v>0.50902530000000001</v>
      </c>
    </row>
    <row r="446" spans="1:10" x14ac:dyDescent="0.3">
      <c r="A446">
        <v>444</v>
      </c>
      <c r="B446">
        <v>7887</v>
      </c>
      <c r="C446" t="b">
        <v>1</v>
      </c>
      <c r="D446">
        <v>8144</v>
      </c>
      <c r="E446">
        <v>8224</v>
      </c>
      <c r="F446">
        <v>283.2</v>
      </c>
      <c r="G446">
        <v>291.93331999999998</v>
      </c>
      <c r="H446">
        <v>0.97008459999999996</v>
      </c>
      <c r="I446">
        <v>2.9915417E-2</v>
      </c>
      <c r="J446">
        <v>0.50759244000000003</v>
      </c>
    </row>
    <row r="447" spans="1:10" x14ac:dyDescent="0.3">
      <c r="A447">
        <v>445</v>
      </c>
      <c r="B447">
        <v>7903</v>
      </c>
      <c r="C447" t="b">
        <v>1</v>
      </c>
      <c r="D447">
        <v>8128</v>
      </c>
      <c r="E447">
        <v>8208</v>
      </c>
      <c r="F447">
        <v>283.73334</v>
      </c>
      <c r="G447">
        <v>293</v>
      </c>
      <c r="H447">
        <v>0.96837320000000005</v>
      </c>
      <c r="I447">
        <v>3.1626834999999999E-2</v>
      </c>
      <c r="J447">
        <v>0.50803374999999995</v>
      </c>
    </row>
    <row r="448" spans="1:10" x14ac:dyDescent="0.3">
      <c r="A448">
        <v>446</v>
      </c>
      <c r="B448">
        <v>7919</v>
      </c>
      <c r="C448" t="b">
        <v>1</v>
      </c>
      <c r="D448">
        <v>8104</v>
      </c>
      <c r="E448">
        <v>8224</v>
      </c>
      <c r="F448">
        <v>284.26666</v>
      </c>
      <c r="G448">
        <v>294.06668000000002</v>
      </c>
      <c r="H448">
        <v>0.96667415000000001</v>
      </c>
      <c r="I448">
        <v>3.3325835999999998E-2</v>
      </c>
      <c r="J448">
        <v>0.50847260000000005</v>
      </c>
    </row>
    <row r="449" spans="1:10" x14ac:dyDescent="0.3">
      <c r="A449">
        <v>447</v>
      </c>
      <c r="B449">
        <v>7935</v>
      </c>
      <c r="C449" t="b">
        <v>1</v>
      </c>
      <c r="D449">
        <v>8144</v>
      </c>
      <c r="E449">
        <v>8200</v>
      </c>
      <c r="F449">
        <v>285.86667</v>
      </c>
      <c r="G449">
        <v>295.13333</v>
      </c>
      <c r="H449">
        <v>0.96860175999999998</v>
      </c>
      <c r="I449">
        <v>3.1398226000000001E-2</v>
      </c>
      <c r="J449">
        <v>0.50797473999999998</v>
      </c>
    </row>
    <row r="450" spans="1:10" x14ac:dyDescent="0.3">
      <c r="A450">
        <v>448</v>
      </c>
      <c r="B450">
        <v>7951</v>
      </c>
      <c r="C450" t="b">
        <v>1</v>
      </c>
      <c r="D450">
        <v>8136</v>
      </c>
      <c r="E450">
        <v>8208</v>
      </c>
      <c r="F450">
        <v>287.46667000000002</v>
      </c>
      <c r="G450">
        <v>295.66665999999998</v>
      </c>
      <c r="H450">
        <v>0.97226614</v>
      </c>
      <c r="I450">
        <v>2.7733873999999999E-2</v>
      </c>
      <c r="J450">
        <v>0.50703096000000003</v>
      </c>
    </row>
    <row r="451" spans="1:10" x14ac:dyDescent="0.3">
      <c r="A451">
        <v>449</v>
      </c>
      <c r="B451">
        <v>7983</v>
      </c>
      <c r="C451" t="b">
        <v>1</v>
      </c>
      <c r="D451">
        <v>8064</v>
      </c>
      <c r="E451">
        <v>8176</v>
      </c>
      <c r="F451">
        <v>286.93331999999998</v>
      </c>
      <c r="G451">
        <v>296.2</v>
      </c>
      <c r="H451">
        <v>0.96871479999999999</v>
      </c>
      <c r="I451">
        <v>3.1285255999999997E-2</v>
      </c>
      <c r="J451">
        <v>0.50794565999999997</v>
      </c>
    </row>
    <row r="452" spans="1:10" x14ac:dyDescent="0.3">
      <c r="A452">
        <v>450</v>
      </c>
      <c r="B452">
        <v>8014</v>
      </c>
      <c r="C452" t="b">
        <v>1</v>
      </c>
      <c r="D452">
        <v>8136</v>
      </c>
      <c r="E452">
        <v>8208</v>
      </c>
      <c r="F452">
        <v>287.46667000000002</v>
      </c>
      <c r="G452">
        <v>295.66665999999998</v>
      </c>
      <c r="H452">
        <v>0.97226614</v>
      </c>
      <c r="I452">
        <v>2.7733873999999999E-2</v>
      </c>
      <c r="J452">
        <v>0.50703096000000003</v>
      </c>
    </row>
    <row r="453" spans="1:10" x14ac:dyDescent="0.3">
      <c r="A453">
        <v>451</v>
      </c>
      <c r="B453">
        <v>8045</v>
      </c>
      <c r="C453" t="b">
        <v>1</v>
      </c>
      <c r="D453">
        <v>8080</v>
      </c>
      <c r="E453">
        <v>8184</v>
      </c>
      <c r="F453">
        <v>288</v>
      </c>
      <c r="G453">
        <v>294.06668000000002</v>
      </c>
      <c r="H453">
        <v>0.97936970000000001</v>
      </c>
      <c r="I453">
        <v>2.0630289999999999E-2</v>
      </c>
      <c r="J453">
        <v>0.50521134999999995</v>
      </c>
    </row>
    <row r="454" spans="1:10" x14ac:dyDescent="0.3">
      <c r="A454">
        <v>452</v>
      </c>
      <c r="B454">
        <v>8061</v>
      </c>
      <c r="C454" t="b">
        <v>1</v>
      </c>
      <c r="D454">
        <v>8064</v>
      </c>
      <c r="E454">
        <v>8200</v>
      </c>
      <c r="F454">
        <v>284.26666</v>
      </c>
      <c r="G454">
        <v>292.46667000000002</v>
      </c>
      <c r="H454">
        <v>0.97196260000000001</v>
      </c>
      <c r="I454">
        <v>2.8037422999999999E-2</v>
      </c>
      <c r="J454">
        <v>0.50710900000000003</v>
      </c>
    </row>
    <row r="455" spans="1:10" x14ac:dyDescent="0.3">
      <c r="A455">
        <v>453</v>
      </c>
      <c r="B455">
        <v>8077</v>
      </c>
      <c r="C455" t="b">
        <v>1</v>
      </c>
      <c r="D455">
        <v>8144</v>
      </c>
      <c r="E455">
        <v>8208</v>
      </c>
      <c r="F455">
        <v>280.53332999999998</v>
      </c>
      <c r="G455">
        <v>290.86667</v>
      </c>
      <c r="H455">
        <v>0.96447395999999996</v>
      </c>
      <c r="I455">
        <v>3.5526050000000003E-2</v>
      </c>
      <c r="J455">
        <v>0.50904210000000005</v>
      </c>
    </row>
    <row r="456" spans="1:10" x14ac:dyDescent="0.3">
      <c r="A456">
        <v>454</v>
      </c>
      <c r="B456">
        <v>8093</v>
      </c>
      <c r="C456" t="b">
        <v>1</v>
      </c>
      <c r="D456">
        <v>8144</v>
      </c>
      <c r="E456">
        <v>8200</v>
      </c>
      <c r="F456">
        <v>281.06668000000002</v>
      </c>
      <c r="G456">
        <v>289.26666</v>
      </c>
      <c r="H456">
        <v>0.97165250000000003</v>
      </c>
      <c r="I456">
        <v>2.8347483E-2</v>
      </c>
      <c r="J456">
        <v>0.50718874000000003</v>
      </c>
    </row>
    <row r="457" spans="1:10" x14ac:dyDescent="0.3">
      <c r="A457">
        <v>455</v>
      </c>
      <c r="B457">
        <v>8109</v>
      </c>
      <c r="C457" t="b">
        <v>1</v>
      </c>
      <c r="D457">
        <v>8024</v>
      </c>
      <c r="E457">
        <v>8208</v>
      </c>
      <c r="F457">
        <v>277.33334000000002</v>
      </c>
      <c r="G457">
        <v>289.26666</v>
      </c>
      <c r="H457">
        <v>0.95874630000000005</v>
      </c>
      <c r="I457">
        <v>4.1253696999999999E-2</v>
      </c>
      <c r="J457">
        <v>0.51053064999999997</v>
      </c>
    </row>
    <row r="458" spans="1:10" x14ac:dyDescent="0.3">
      <c r="A458">
        <v>456</v>
      </c>
      <c r="B458">
        <v>8125</v>
      </c>
      <c r="C458" t="b">
        <v>1</v>
      </c>
      <c r="D458">
        <v>8104</v>
      </c>
      <c r="E458">
        <v>8200</v>
      </c>
      <c r="F458">
        <v>277.33334000000002</v>
      </c>
      <c r="G458">
        <v>289.26666</v>
      </c>
      <c r="H458">
        <v>0.95874630000000005</v>
      </c>
      <c r="I458">
        <v>4.1253696999999999E-2</v>
      </c>
      <c r="J458">
        <v>0.51053064999999997</v>
      </c>
    </row>
    <row r="459" spans="1:10" x14ac:dyDescent="0.3">
      <c r="A459">
        <v>457</v>
      </c>
      <c r="B459">
        <v>8140</v>
      </c>
      <c r="C459" t="b">
        <v>1</v>
      </c>
      <c r="D459">
        <v>8104</v>
      </c>
      <c r="E459">
        <v>8184</v>
      </c>
      <c r="F459">
        <v>277.86667</v>
      </c>
      <c r="G459">
        <v>289.26666</v>
      </c>
      <c r="H459">
        <v>0.96059000000000005</v>
      </c>
      <c r="I459">
        <v>3.9409979999999997E-2</v>
      </c>
      <c r="J459">
        <v>0.51005060000000002</v>
      </c>
    </row>
    <row r="460" spans="1:10" x14ac:dyDescent="0.3">
      <c r="A460">
        <v>458</v>
      </c>
      <c r="B460">
        <v>8156</v>
      </c>
      <c r="C460" t="b">
        <v>1</v>
      </c>
      <c r="D460">
        <v>8104</v>
      </c>
      <c r="E460">
        <v>8200</v>
      </c>
      <c r="F460">
        <v>277.86667</v>
      </c>
      <c r="G460">
        <v>289.26666</v>
      </c>
      <c r="H460">
        <v>0.96059000000000005</v>
      </c>
      <c r="I460">
        <v>3.9409979999999997E-2</v>
      </c>
      <c r="J460">
        <v>0.51005060000000002</v>
      </c>
    </row>
    <row r="461" spans="1:10" x14ac:dyDescent="0.3">
      <c r="A461">
        <v>459</v>
      </c>
      <c r="B461">
        <v>8172</v>
      </c>
      <c r="C461" t="b">
        <v>1</v>
      </c>
      <c r="D461">
        <v>8064</v>
      </c>
      <c r="E461">
        <v>8208</v>
      </c>
      <c r="F461">
        <v>275.2</v>
      </c>
      <c r="G461">
        <v>289.26666</v>
      </c>
      <c r="H461">
        <v>0.95137130000000003</v>
      </c>
      <c r="I461">
        <v>4.8628659999999997E-2</v>
      </c>
      <c r="J461">
        <v>0.51246009999999997</v>
      </c>
    </row>
    <row r="462" spans="1:10" x14ac:dyDescent="0.3">
      <c r="A462">
        <v>460</v>
      </c>
      <c r="B462">
        <v>8188</v>
      </c>
      <c r="C462" t="b">
        <v>1</v>
      </c>
      <c r="D462">
        <v>8120</v>
      </c>
      <c r="E462">
        <v>8200</v>
      </c>
      <c r="F462">
        <v>273.60000000000002</v>
      </c>
      <c r="G462">
        <v>288.73334</v>
      </c>
      <c r="H462">
        <v>0.94758719999999996</v>
      </c>
      <c r="I462">
        <v>5.2412830000000001E-2</v>
      </c>
      <c r="J462">
        <v>0.51345580000000002</v>
      </c>
    </row>
    <row r="463" spans="1:10" x14ac:dyDescent="0.3">
      <c r="A463">
        <v>461</v>
      </c>
      <c r="B463">
        <v>8203</v>
      </c>
      <c r="C463" t="b">
        <v>1</v>
      </c>
      <c r="D463">
        <v>8096</v>
      </c>
      <c r="E463">
        <v>8184</v>
      </c>
      <c r="F463">
        <v>272</v>
      </c>
      <c r="G463">
        <v>287.66665999999998</v>
      </c>
      <c r="H463">
        <v>0.94553889999999996</v>
      </c>
      <c r="I463">
        <v>5.4461148000000001E-2</v>
      </c>
      <c r="J463">
        <v>0.51399640000000002</v>
      </c>
    </row>
    <row r="464" spans="1:10" x14ac:dyDescent="0.3">
      <c r="A464">
        <v>462</v>
      </c>
      <c r="B464">
        <v>8219</v>
      </c>
      <c r="C464" t="b">
        <v>1</v>
      </c>
      <c r="D464">
        <v>8136</v>
      </c>
      <c r="E464">
        <v>8200</v>
      </c>
      <c r="F464">
        <v>269.33334000000002</v>
      </c>
      <c r="G464">
        <v>286.60000000000002</v>
      </c>
      <c r="H464">
        <v>0.93975350000000002</v>
      </c>
      <c r="I464">
        <v>6.0246553000000001E-2</v>
      </c>
      <c r="J464">
        <v>0.51552944999999994</v>
      </c>
    </row>
    <row r="465" spans="1:10" x14ac:dyDescent="0.3">
      <c r="A465">
        <v>463</v>
      </c>
      <c r="B465">
        <v>8236</v>
      </c>
      <c r="C465" t="b">
        <v>1</v>
      </c>
      <c r="D465">
        <v>8112</v>
      </c>
      <c r="E465">
        <v>8200</v>
      </c>
      <c r="F465">
        <v>267.73334</v>
      </c>
      <c r="G465">
        <v>286.06668000000002</v>
      </c>
      <c r="H465">
        <v>0.93591239999999998</v>
      </c>
      <c r="I465">
        <v>6.4087660000000005E-2</v>
      </c>
      <c r="J465">
        <v>0.51655227000000004</v>
      </c>
    </row>
    <row r="466" spans="1:10" x14ac:dyDescent="0.3">
      <c r="A466">
        <v>464</v>
      </c>
      <c r="B466">
        <v>8251</v>
      </c>
      <c r="C466" t="b">
        <v>1</v>
      </c>
      <c r="D466">
        <v>8128</v>
      </c>
      <c r="E466">
        <v>8176</v>
      </c>
      <c r="F466">
        <v>267.2</v>
      </c>
      <c r="G466">
        <v>285.53332999999998</v>
      </c>
      <c r="H466">
        <v>0.93579274000000001</v>
      </c>
      <c r="I466">
        <v>6.4207260000000002E-2</v>
      </c>
      <c r="J466">
        <v>0.51658420000000005</v>
      </c>
    </row>
    <row r="467" spans="1:10" x14ac:dyDescent="0.3">
      <c r="A467">
        <v>465</v>
      </c>
      <c r="B467">
        <v>8283</v>
      </c>
      <c r="C467" t="b">
        <v>1</v>
      </c>
      <c r="D467">
        <v>8160</v>
      </c>
      <c r="E467">
        <v>8192</v>
      </c>
      <c r="F467">
        <v>266.66665999999998</v>
      </c>
      <c r="G467">
        <v>284.46667000000002</v>
      </c>
      <c r="H467">
        <v>0.93742669999999995</v>
      </c>
      <c r="I467">
        <v>6.2573299999999998E-2</v>
      </c>
      <c r="J467">
        <v>0.51614857000000003</v>
      </c>
    </row>
    <row r="468" spans="1:10" x14ac:dyDescent="0.3">
      <c r="A468">
        <v>466</v>
      </c>
      <c r="B468">
        <v>8315</v>
      </c>
      <c r="C468" t="b">
        <v>1</v>
      </c>
      <c r="D468">
        <v>8096</v>
      </c>
      <c r="E468">
        <v>8200</v>
      </c>
      <c r="F468">
        <v>266.13333</v>
      </c>
      <c r="G468">
        <v>284.46667000000002</v>
      </c>
      <c r="H468">
        <v>0.93555189999999999</v>
      </c>
      <c r="I468">
        <v>6.4448125999999994E-2</v>
      </c>
      <c r="J468">
        <v>0.51664852999999999</v>
      </c>
    </row>
    <row r="469" spans="1:10" x14ac:dyDescent="0.3">
      <c r="A469">
        <v>467</v>
      </c>
      <c r="B469">
        <v>8331</v>
      </c>
      <c r="C469" t="b">
        <v>1</v>
      </c>
      <c r="D469">
        <v>8144</v>
      </c>
      <c r="E469">
        <v>8224</v>
      </c>
      <c r="F469">
        <v>269.33334000000002</v>
      </c>
      <c r="G469">
        <v>284.46667000000002</v>
      </c>
      <c r="H469">
        <v>0.94680107000000002</v>
      </c>
      <c r="I469">
        <v>5.3198960000000003E-2</v>
      </c>
      <c r="J469">
        <v>0.51366319999999999</v>
      </c>
    </row>
    <row r="470" spans="1:10" x14ac:dyDescent="0.3">
      <c r="A470">
        <v>468</v>
      </c>
      <c r="B470">
        <v>8347</v>
      </c>
      <c r="C470" t="b">
        <v>1</v>
      </c>
      <c r="D470">
        <v>8136</v>
      </c>
      <c r="E470">
        <v>8200</v>
      </c>
      <c r="F470">
        <v>273.06668000000002</v>
      </c>
      <c r="G470">
        <v>284.46667000000002</v>
      </c>
      <c r="H470">
        <v>0.95992506</v>
      </c>
      <c r="I470">
        <v>4.0074970000000001E-2</v>
      </c>
      <c r="J470">
        <v>0.5102236</v>
      </c>
    </row>
    <row r="471" spans="1:10" x14ac:dyDescent="0.3">
      <c r="A471">
        <v>469</v>
      </c>
      <c r="B471">
        <v>8362</v>
      </c>
      <c r="C471" t="b">
        <v>1</v>
      </c>
      <c r="D471">
        <v>8128</v>
      </c>
      <c r="E471">
        <v>8208</v>
      </c>
      <c r="F471">
        <v>273.06668000000002</v>
      </c>
      <c r="G471">
        <v>284.46667000000002</v>
      </c>
      <c r="H471">
        <v>0.95992506</v>
      </c>
      <c r="I471">
        <v>4.0074970000000001E-2</v>
      </c>
      <c r="J471">
        <v>0.5102236</v>
      </c>
    </row>
    <row r="472" spans="1:10" x14ac:dyDescent="0.3">
      <c r="A472">
        <v>470</v>
      </c>
      <c r="B472">
        <v>8378</v>
      </c>
      <c r="C472" t="b">
        <v>1</v>
      </c>
      <c r="D472">
        <v>8152</v>
      </c>
      <c r="E472">
        <v>8192</v>
      </c>
      <c r="F472">
        <v>276.8</v>
      </c>
      <c r="G472">
        <v>284.46667000000002</v>
      </c>
      <c r="H472">
        <v>0.97304889999999999</v>
      </c>
      <c r="I472">
        <v>2.695109E-2</v>
      </c>
      <c r="J472">
        <v>0.5068298</v>
      </c>
    </row>
    <row r="473" spans="1:10" x14ac:dyDescent="0.3">
      <c r="A473">
        <v>471</v>
      </c>
      <c r="B473">
        <v>8410</v>
      </c>
      <c r="C473" t="b">
        <v>1</v>
      </c>
      <c r="D473">
        <v>8128</v>
      </c>
      <c r="E473">
        <v>8216</v>
      </c>
      <c r="F473">
        <v>278.93331999999998</v>
      </c>
      <c r="G473">
        <v>285</v>
      </c>
      <c r="H473">
        <v>0.97871339999999996</v>
      </c>
      <c r="I473">
        <v>2.1286599999999999E-2</v>
      </c>
      <c r="J473">
        <v>0.50537884</v>
      </c>
    </row>
    <row r="474" spans="1:10" x14ac:dyDescent="0.3">
      <c r="A474">
        <v>472</v>
      </c>
      <c r="B474">
        <v>8426</v>
      </c>
      <c r="C474" t="b">
        <v>1</v>
      </c>
      <c r="D474">
        <v>8128</v>
      </c>
      <c r="E474">
        <v>8184</v>
      </c>
      <c r="F474">
        <v>280.53332999999998</v>
      </c>
      <c r="G474">
        <v>285</v>
      </c>
      <c r="H474">
        <v>0.98432744000000005</v>
      </c>
      <c r="I474">
        <v>1.5672544E-2</v>
      </c>
      <c r="J474">
        <v>0.50394910000000004</v>
      </c>
    </row>
    <row r="475" spans="1:10" x14ac:dyDescent="0.3">
      <c r="A475">
        <v>473</v>
      </c>
      <c r="B475">
        <v>8442</v>
      </c>
      <c r="C475" t="b">
        <v>1</v>
      </c>
      <c r="D475">
        <v>8112</v>
      </c>
      <c r="E475">
        <v>8184</v>
      </c>
      <c r="F475">
        <v>282.13333</v>
      </c>
      <c r="G475">
        <v>284.46667000000002</v>
      </c>
      <c r="H475">
        <v>0.9917975</v>
      </c>
      <c r="I475">
        <v>8.2025190000000001E-3</v>
      </c>
      <c r="J475">
        <v>0.50205909999999998</v>
      </c>
    </row>
    <row r="476" spans="1:10" x14ac:dyDescent="0.3">
      <c r="A476">
        <v>474</v>
      </c>
      <c r="B476">
        <v>8457</v>
      </c>
      <c r="C476" t="b">
        <v>1</v>
      </c>
      <c r="D476">
        <v>8144</v>
      </c>
      <c r="E476">
        <v>8208</v>
      </c>
      <c r="F476">
        <v>283.73334</v>
      </c>
      <c r="G476">
        <v>283.93331999999998</v>
      </c>
      <c r="H476">
        <v>0.99929564999999998</v>
      </c>
      <c r="I476">
        <v>7.0432625999999996E-4</v>
      </c>
      <c r="J476">
        <v>0.50017619999999996</v>
      </c>
    </row>
    <row r="477" spans="1:10" x14ac:dyDescent="0.3">
      <c r="A477">
        <v>475</v>
      </c>
      <c r="B477">
        <v>8473</v>
      </c>
      <c r="C477" t="b">
        <v>1</v>
      </c>
      <c r="D477">
        <v>8088</v>
      </c>
      <c r="E477">
        <v>8224</v>
      </c>
      <c r="F477">
        <v>285.33334000000002</v>
      </c>
      <c r="G477">
        <v>284.46667000000002</v>
      </c>
      <c r="H477">
        <v>1.0030466</v>
      </c>
      <c r="I477">
        <v>-3.0466441999999999E-3</v>
      </c>
      <c r="J477">
        <v>0.49923947000000002</v>
      </c>
    </row>
    <row r="478" spans="1:10" x14ac:dyDescent="0.3">
      <c r="A478">
        <v>476</v>
      </c>
      <c r="B478">
        <v>8505</v>
      </c>
      <c r="C478" t="b">
        <v>1</v>
      </c>
      <c r="D478">
        <v>8072</v>
      </c>
      <c r="E478">
        <v>8184</v>
      </c>
      <c r="F478">
        <v>285.86667</v>
      </c>
      <c r="G478">
        <v>283.39999999999998</v>
      </c>
      <c r="H478">
        <v>1.0087037999999999</v>
      </c>
      <c r="I478">
        <v>-8.7038629999999992E-3</v>
      </c>
      <c r="J478">
        <v>0.49783346000000001</v>
      </c>
    </row>
    <row r="479" spans="1:10" x14ac:dyDescent="0.3">
      <c r="A479">
        <v>477</v>
      </c>
      <c r="B479">
        <v>8521</v>
      </c>
      <c r="C479" t="b">
        <v>1</v>
      </c>
      <c r="D479">
        <v>8080</v>
      </c>
      <c r="E479">
        <v>8184</v>
      </c>
      <c r="F479">
        <v>284.8</v>
      </c>
      <c r="G479">
        <v>282.33334000000002</v>
      </c>
      <c r="H479">
        <v>1.0087366</v>
      </c>
      <c r="I479">
        <v>-8.7366379999999997E-3</v>
      </c>
      <c r="J479">
        <v>0.49782535</v>
      </c>
    </row>
    <row r="480" spans="1:10" x14ac:dyDescent="0.3">
      <c r="A480">
        <v>478</v>
      </c>
      <c r="B480">
        <v>8537</v>
      </c>
      <c r="C480" t="b">
        <v>1</v>
      </c>
      <c r="D480">
        <v>8048</v>
      </c>
      <c r="E480">
        <v>8224</v>
      </c>
      <c r="F480">
        <v>282.66665999999998</v>
      </c>
      <c r="G480">
        <v>282.86667</v>
      </c>
      <c r="H480">
        <v>0.99929290000000004</v>
      </c>
      <c r="I480">
        <v>7.0709009999999999E-4</v>
      </c>
      <c r="J480">
        <v>0.50017685000000001</v>
      </c>
    </row>
    <row r="481" spans="1:10" x14ac:dyDescent="0.3">
      <c r="A481">
        <v>479</v>
      </c>
      <c r="B481">
        <v>8553</v>
      </c>
      <c r="C481" t="b">
        <v>1</v>
      </c>
      <c r="D481">
        <v>8064</v>
      </c>
      <c r="E481">
        <v>8224</v>
      </c>
      <c r="F481">
        <v>279.46667000000002</v>
      </c>
      <c r="G481">
        <v>284.46667000000002</v>
      </c>
      <c r="H481">
        <v>0.98242324999999997</v>
      </c>
      <c r="I481">
        <v>1.7576752000000001E-2</v>
      </c>
      <c r="J481">
        <v>0.50443316000000005</v>
      </c>
    </row>
    <row r="482" spans="1:10" x14ac:dyDescent="0.3">
      <c r="A482">
        <v>480</v>
      </c>
      <c r="B482">
        <v>8584</v>
      </c>
      <c r="C482" t="b">
        <v>1</v>
      </c>
      <c r="D482">
        <v>8128</v>
      </c>
      <c r="E482">
        <v>8192</v>
      </c>
      <c r="F482">
        <v>275.73334</v>
      </c>
      <c r="G482">
        <v>284.46667000000002</v>
      </c>
      <c r="H482">
        <v>0.96929926</v>
      </c>
      <c r="I482">
        <v>3.0700740000000001E-2</v>
      </c>
      <c r="J482">
        <v>0.50779485999999996</v>
      </c>
    </row>
    <row r="483" spans="1:10" x14ac:dyDescent="0.3">
      <c r="A483">
        <v>481</v>
      </c>
      <c r="B483">
        <v>8600</v>
      </c>
      <c r="C483" t="b">
        <v>1</v>
      </c>
      <c r="D483">
        <v>8144</v>
      </c>
      <c r="E483">
        <v>8208</v>
      </c>
      <c r="F483">
        <v>272.53332999999998</v>
      </c>
      <c r="G483">
        <v>285</v>
      </c>
      <c r="H483">
        <v>0.95625729999999998</v>
      </c>
      <c r="I483">
        <v>4.3742719999999999E-2</v>
      </c>
      <c r="J483">
        <v>0.51118019999999997</v>
      </c>
    </row>
    <row r="484" spans="1:10" x14ac:dyDescent="0.3">
      <c r="A484">
        <v>482</v>
      </c>
      <c r="B484">
        <v>8616</v>
      </c>
      <c r="C484" t="b">
        <v>1</v>
      </c>
      <c r="D484">
        <v>8096</v>
      </c>
      <c r="E484">
        <v>8216</v>
      </c>
      <c r="F484">
        <v>270.39999999999998</v>
      </c>
      <c r="G484">
        <v>286.06668000000002</v>
      </c>
      <c r="H484">
        <v>0.94523409999999997</v>
      </c>
      <c r="I484">
        <v>5.4765858000000001E-2</v>
      </c>
      <c r="J484">
        <v>0.51407694999999998</v>
      </c>
    </row>
    <row r="485" spans="1:10" x14ac:dyDescent="0.3">
      <c r="A485">
        <v>483</v>
      </c>
      <c r="B485">
        <v>8632</v>
      </c>
      <c r="C485" t="b">
        <v>1</v>
      </c>
      <c r="D485">
        <v>8064</v>
      </c>
      <c r="E485">
        <v>8184</v>
      </c>
      <c r="F485">
        <v>267.73334</v>
      </c>
      <c r="G485">
        <v>286.60000000000002</v>
      </c>
      <c r="H485">
        <v>0.93417070000000002</v>
      </c>
      <c r="I485">
        <v>6.5829269999999995E-2</v>
      </c>
      <c r="J485">
        <v>0.51701739999999996</v>
      </c>
    </row>
    <row r="486" spans="1:10" x14ac:dyDescent="0.3">
      <c r="A486">
        <v>484</v>
      </c>
      <c r="B486">
        <v>8647</v>
      </c>
      <c r="C486" t="b">
        <v>1</v>
      </c>
      <c r="D486">
        <v>8104</v>
      </c>
      <c r="E486">
        <v>8224</v>
      </c>
      <c r="F486">
        <v>265.60000000000002</v>
      </c>
      <c r="G486">
        <v>287.13333</v>
      </c>
      <c r="H486">
        <v>0.92500585000000002</v>
      </c>
      <c r="I486">
        <v>7.4994169999999999E-2</v>
      </c>
      <c r="J486">
        <v>0.51947889999999997</v>
      </c>
    </row>
    <row r="487" spans="1:10" x14ac:dyDescent="0.3">
      <c r="A487">
        <v>485</v>
      </c>
      <c r="B487">
        <v>8663</v>
      </c>
      <c r="C487" t="b">
        <v>1</v>
      </c>
      <c r="D487">
        <v>8072</v>
      </c>
      <c r="E487">
        <v>8176</v>
      </c>
      <c r="F487">
        <v>262.93331999999998</v>
      </c>
      <c r="G487">
        <v>287.66665999999998</v>
      </c>
      <c r="H487">
        <v>0.91402083999999995</v>
      </c>
      <c r="I487">
        <v>8.5979156000000001E-2</v>
      </c>
      <c r="J487">
        <v>0.52246033999999997</v>
      </c>
    </row>
    <row r="488" spans="1:10" x14ac:dyDescent="0.3">
      <c r="A488">
        <v>486</v>
      </c>
      <c r="B488">
        <v>8679</v>
      </c>
      <c r="C488" t="b">
        <v>1</v>
      </c>
      <c r="D488">
        <v>8152</v>
      </c>
      <c r="E488">
        <v>8200</v>
      </c>
      <c r="F488">
        <v>260.26666</v>
      </c>
      <c r="G488">
        <v>287.13333</v>
      </c>
      <c r="H488">
        <v>0.9064314</v>
      </c>
      <c r="I488">
        <v>9.3568615999999993E-2</v>
      </c>
      <c r="J488">
        <v>0.52454025000000004</v>
      </c>
    </row>
    <row r="489" spans="1:10" x14ac:dyDescent="0.3">
      <c r="A489">
        <v>487</v>
      </c>
      <c r="B489">
        <v>8695</v>
      </c>
      <c r="C489" t="b">
        <v>1</v>
      </c>
      <c r="D489">
        <v>8088</v>
      </c>
      <c r="E489">
        <v>8200</v>
      </c>
      <c r="F489">
        <v>257.60000000000002</v>
      </c>
      <c r="G489">
        <v>287.13333</v>
      </c>
      <c r="H489">
        <v>0.89714419999999995</v>
      </c>
      <c r="I489">
        <v>0.10285579</v>
      </c>
      <c r="J489">
        <v>0.52710809999999997</v>
      </c>
    </row>
    <row r="490" spans="1:10" x14ac:dyDescent="0.3">
      <c r="A490">
        <v>488</v>
      </c>
      <c r="B490">
        <v>8711</v>
      </c>
      <c r="C490" t="b">
        <v>1</v>
      </c>
      <c r="D490">
        <v>8088</v>
      </c>
      <c r="E490">
        <v>8208</v>
      </c>
      <c r="F490">
        <v>254.93333000000001</v>
      </c>
      <c r="G490">
        <v>287.66665999999998</v>
      </c>
      <c r="H490">
        <v>0.88621090000000002</v>
      </c>
      <c r="I490">
        <v>0.113789074</v>
      </c>
      <c r="J490">
        <v>0.53016339999999995</v>
      </c>
    </row>
    <row r="491" spans="1:10" x14ac:dyDescent="0.3">
      <c r="A491">
        <v>489</v>
      </c>
      <c r="B491">
        <v>8727</v>
      </c>
      <c r="C491" t="b">
        <v>1</v>
      </c>
      <c r="D491">
        <v>8136</v>
      </c>
      <c r="E491">
        <v>8200</v>
      </c>
      <c r="F491">
        <v>252.26666</v>
      </c>
      <c r="G491">
        <v>288.2</v>
      </c>
      <c r="H491">
        <v>0.87531800000000004</v>
      </c>
      <c r="I491">
        <v>0.12468199000000001</v>
      </c>
      <c r="J491">
        <v>0.53324289999999996</v>
      </c>
    </row>
    <row r="492" spans="1:10" x14ac:dyDescent="0.3">
      <c r="A492">
        <v>490</v>
      </c>
      <c r="B492">
        <v>8743</v>
      </c>
      <c r="C492" t="b">
        <v>1</v>
      </c>
      <c r="D492">
        <v>8072</v>
      </c>
      <c r="E492">
        <v>8200</v>
      </c>
      <c r="F492">
        <v>249.6</v>
      </c>
      <c r="G492">
        <v>287.66665999999998</v>
      </c>
      <c r="H492">
        <v>0.86767095000000005</v>
      </c>
      <c r="I492">
        <v>0.13232902999999999</v>
      </c>
      <c r="J492">
        <v>0.53542619999999996</v>
      </c>
    </row>
    <row r="493" spans="1:10" x14ac:dyDescent="0.3">
      <c r="A493">
        <v>491</v>
      </c>
      <c r="B493">
        <v>8774</v>
      </c>
      <c r="C493" t="b">
        <v>1</v>
      </c>
      <c r="D493">
        <v>8088</v>
      </c>
      <c r="E493">
        <v>8216</v>
      </c>
      <c r="F493">
        <v>248</v>
      </c>
      <c r="G493">
        <v>288.73334</v>
      </c>
      <c r="H493">
        <v>0.85892402999999995</v>
      </c>
      <c r="I493">
        <v>0.14107596999999999</v>
      </c>
      <c r="J493">
        <v>0.53794560000000002</v>
      </c>
    </row>
    <row r="494" spans="1:10" x14ac:dyDescent="0.3">
      <c r="A494">
        <v>492</v>
      </c>
      <c r="B494">
        <v>8790</v>
      </c>
      <c r="C494" t="b">
        <v>1</v>
      </c>
      <c r="D494">
        <v>8064</v>
      </c>
      <c r="E494">
        <v>8200</v>
      </c>
      <c r="F494">
        <v>248</v>
      </c>
      <c r="G494">
        <v>289.8</v>
      </c>
      <c r="H494">
        <v>0.85576266000000001</v>
      </c>
      <c r="I494">
        <v>0.14423737</v>
      </c>
      <c r="J494">
        <v>0.53886204999999998</v>
      </c>
    </row>
    <row r="495" spans="1:10" x14ac:dyDescent="0.3">
      <c r="A495">
        <v>493</v>
      </c>
      <c r="B495">
        <v>8806</v>
      </c>
      <c r="C495" t="b">
        <v>1</v>
      </c>
      <c r="D495">
        <v>8112</v>
      </c>
      <c r="E495">
        <v>8224</v>
      </c>
      <c r="F495">
        <v>248.53334000000001</v>
      </c>
      <c r="G495">
        <v>289.26666</v>
      </c>
      <c r="H495">
        <v>0.85918419999999995</v>
      </c>
      <c r="I495">
        <v>0.14081582000000001</v>
      </c>
      <c r="J495">
        <v>0.53787035000000005</v>
      </c>
    </row>
    <row r="496" spans="1:10" x14ac:dyDescent="0.3">
      <c r="A496">
        <v>494</v>
      </c>
      <c r="B496">
        <v>8822</v>
      </c>
      <c r="C496" t="b">
        <v>1</v>
      </c>
      <c r="D496">
        <v>8136</v>
      </c>
      <c r="E496">
        <v>8192</v>
      </c>
      <c r="F496">
        <v>249.6</v>
      </c>
      <c r="G496">
        <v>287.66665999999998</v>
      </c>
      <c r="H496">
        <v>0.86767095000000005</v>
      </c>
      <c r="I496">
        <v>0.13232902999999999</v>
      </c>
      <c r="J496">
        <v>0.53542619999999996</v>
      </c>
    </row>
    <row r="497" spans="1:10" x14ac:dyDescent="0.3">
      <c r="A497">
        <v>495</v>
      </c>
      <c r="B497">
        <v>8838</v>
      </c>
      <c r="C497" t="b">
        <v>1</v>
      </c>
      <c r="D497">
        <v>8112</v>
      </c>
      <c r="E497">
        <v>8208</v>
      </c>
      <c r="F497">
        <v>252.26666</v>
      </c>
      <c r="G497">
        <v>288.73334</v>
      </c>
      <c r="H497">
        <v>0.87370119999999996</v>
      </c>
      <c r="I497">
        <v>0.12629879999999999</v>
      </c>
      <c r="J497">
        <v>0.53370300000000004</v>
      </c>
    </row>
    <row r="498" spans="1:10" x14ac:dyDescent="0.3">
      <c r="A498">
        <v>496</v>
      </c>
      <c r="B498">
        <v>8853</v>
      </c>
      <c r="C498" t="b">
        <v>1</v>
      </c>
      <c r="D498">
        <v>8096</v>
      </c>
      <c r="E498">
        <v>8208</v>
      </c>
      <c r="F498">
        <v>254.4</v>
      </c>
      <c r="G498">
        <v>288.73334</v>
      </c>
      <c r="H498">
        <v>0.88108980000000003</v>
      </c>
      <c r="I498">
        <v>0.118910216</v>
      </c>
      <c r="J498">
        <v>0.53160680000000005</v>
      </c>
    </row>
    <row r="499" spans="1:10" x14ac:dyDescent="0.3">
      <c r="A499">
        <v>497</v>
      </c>
      <c r="B499">
        <v>8869</v>
      </c>
      <c r="C499" t="b">
        <v>1</v>
      </c>
      <c r="D499">
        <v>8088</v>
      </c>
      <c r="E499">
        <v>8208</v>
      </c>
      <c r="F499">
        <v>255.46665999999999</v>
      </c>
      <c r="G499">
        <v>288.2</v>
      </c>
      <c r="H499">
        <v>0.88642140000000003</v>
      </c>
      <c r="I499">
        <v>0.113578595</v>
      </c>
      <c r="J499">
        <v>0.53010420000000003</v>
      </c>
    </row>
    <row r="500" spans="1:10" x14ac:dyDescent="0.3">
      <c r="A500">
        <v>498</v>
      </c>
      <c r="B500">
        <v>8885</v>
      </c>
      <c r="C500" t="b">
        <v>1</v>
      </c>
      <c r="D500">
        <v>8128</v>
      </c>
      <c r="E500">
        <v>8200</v>
      </c>
      <c r="F500">
        <v>256.53332999999998</v>
      </c>
      <c r="G500">
        <v>288.2</v>
      </c>
      <c r="H500">
        <v>0.89012252999999997</v>
      </c>
      <c r="I500">
        <v>0.10987747</v>
      </c>
      <c r="J500">
        <v>0.52906620000000004</v>
      </c>
    </row>
    <row r="501" spans="1:10" x14ac:dyDescent="0.3">
      <c r="A501">
        <v>499</v>
      </c>
      <c r="B501">
        <v>8901</v>
      </c>
      <c r="C501" t="b">
        <v>1</v>
      </c>
      <c r="D501">
        <v>8152</v>
      </c>
      <c r="E501">
        <v>8192</v>
      </c>
      <c r="F501">
        <v>257.06668000000002</v>
      </c>
      <c r="G501">
        <v>288.2</v>
      </c>
      <c r="H501">
        <v>0.89197320000000002</v>
      </c>
      <c r="I501">
        <v>0.10802682500000001</v>
      </c>
      <c r="J501">
        <v>0.52854869999999998</v>
      </c>
    </row>
    <row r="502" spans="1:10" x14ac:dyDescent="0.3">
      <c r="A502">
        <v>500</v>
      </c>
      <c r="B502">
        <v>8917</v>
      </c>
      <c r="C502" t="b">
        <v>1</v>
      </c>
      <c r="D502">
        <v>8120</v>
      </c>
      <c r="E502">
        <v>8176</v>
      </c>
      <c r="F502">
        <v>258.66665999999998</v>
      </c>
      <c r="G502">
        <v>287.66665999999998</v>
      </c>
      <c r="H502">
        <v>0.89918889999999996</v>
      </c>
      <c r="I502">
        <v>0.100811124</v>
      </c>
      <c r="J502">
        <v>0.52654060000000003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9925D-AE63-4147-A537-281072364450}">
  <dimension ref="A1:J502"/>
  <sheetViews>
    <sheetView workbookViewId="0"/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10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 t="b">
        <v>1</v>
      </c>
      <c r="D2">
        <v>8048</v>
      </c>
      <c r="E2">
        <v>8123</v>
      </c>
      <c r="F2">
        <v>8</v>
      </c>
      <c r="G2">
        <v>8</v>
      </c>
      <c r="H2">
        <v>1</v>
      </c>
      <c r="I2">
        <v>0</v>
      </c>
      <c r="J2">
        <v>0.5</v>
      </c>
    </row>
    <row r="3" spans="1:10" x14ac:dyDescent="0.3">
      <c r="A3">
        <v>1</v>
      </c>
      <c r="B3">
        <v>24</v>
      </c>
      <c r="C3" t="b">
        <v>1</v>
      </c>
      <c r="D3">
        <v>8048</v>
      </c>
      <c r="E3">
        <v>8123</v>
      </c>
      <c r="F3">
        <v>8</v>
      </c>
      <c r="G3">
        <v>8</v>
      </c>
      <c r="H3">
        <v>1</v>
      </c>
      <c r="I3">
        <v>0</v>
      </c>
      <c r="J3">
        <v>0.5</v>
      </c>
    </row>
    <row r="4" spans="1:10" x14ac:dyDescent="0.3">
      <c r="A4">
        <v>2</v>
      </c>
      <c r="B4">
        <v>40</v>
      </c>
      <c r="C4" t="b">
        <v>1</v>
      </c>
      <c r="D4">
        <v>8048</v>
      </c>
      <c r="E4">
        <v>8117</v>
      </c>
      <c r="F4">
        <v>8</v>
      </c>
      <c r="G4">
        <v>8</v>
      </c>
      <c r="H4">
        <v>1</v>
      </c>
      <c r="I4">
        <v>0</v>
      </c>
      <c r="J4">
        <v>0.5</v>
      </c>
    </row>
    <row r="5" spans="1:10" x14ac:dyDescent="0.3">
      <c r="A5">
        <v>3</v>
      </c>
      <c r="B5">
        <v>56</v>
      </c>
      <c r="C5" t="b">
        <v>1</v>
      </c>
      <c r="D5">
        <v>8048</v>
      </c>
      <c r="E5">
        <v>8117</v>
      </c>
      <c r="F5">
        <v>8</v>
      </c>
      <c r="G5">
        <v>8</v>
      </c>
      <c r="H5">
        <v>1</v>
      </c>
      <c r="I5">
        <v>0</v>
      </c>
      <c r="J5">
        <v>0.5</v>
      </c>
    </row>
    <row r="6" spans="1:10" x14ac:dyDescent="0.3">
      <c r="A6">
        <v>4</v>
      </c>
      <c r="B6">
        <v>72</v>
      </c>
      <c r="C6" t="b">
        <v>1</v>
      </c>
      <c r="D6">
        <v>8048</v>
      </c>
      <c r="E6">
        <v>8117</v>
      </c>
      <c r="F6">
        <v>8</v>
      </c>
      <c r="G6">
        <v>6.8</v>
      </c>
      <c r="H6">
        <v>1.1764705</v>
      </c>
      <c r="I6">
        <v>-0.17647055</v>
      </c>
      <c r="J6">
        <v>0.45945944999999999</v>
      </c>
    </row>
    <row r="7" spans="1:10" x14ac:dyDescent="0.3">
      <c r="A7">
        <v>5</v>
      </c>
      <c r="B7">
        <v>88</v>
      </c>
      <c r="C7" t="b">
        <v>1</v>
      </c>
      <c r="D7">
        <v>8048</v>
      </c>
      <c r="E7">
        <v>8117</v>
      </c>
      <c r="F7">
        <v>8</v>
      </c>
      <c r="G7">
        <v>6</v>
      </c>
      <c r="H7">
        <v>1.3333333999999999</v>
      </c>
      <c r="I7">
        <v>-0.33333333999999998</v>
      </c>
      <c r="J7">
        <v>0.42857142999999998</v>
      </c>
    </row>
    <row r="8" spans="1:10" x14ac:dyDescent="0.3">
      <c r="A8">
        <v>6</v>
      </c>
      <c r="B8">
        <v>103</v>
      </c>
      <c r="C8" t="b">
        <v>1</v>
      </c>
      <c r="D8">
        <v>8048</v>
      </c>
      <c r="E8">
        <v>8123</v>
      </c>
      <c r="F8">
        <v>8</v>
      </c>
      <c r="G8">
        <v>5.4285709999999998</v>
      </c>
      <c r="H8">
        <v>1.4736842999999999</v>
      </c>
      <c r="I8">
        <v>-0.47368424999999997</v>
      </c>
      <c r="J8">
        <v>0.40425529999999998</v>
      </c>
    </row>
    <row r="9" spans="1:10" x14ac:dyDescent="0.3">
      <c r="A9">
        <v>7</v>
      </c>
      <c r="B9">
        <v>120</v>
      </c>
      <c r="C9" t="b">
        <v>1</v>
      </c>
      <c r="D9">
        <v>8048</v>
      </c>
      <c r="E9">
        <v>8117</v>
      </c>
      <c r="F9">
        <v>8</v>
      </c>
      <c r="G9">
        <v>5</v>
      </c>
      <c r="H9">
        <v>1.6</v>
      </c>
      <c r="I9">
        <v>-0.6</v>
      </c>
      <c r="J9">
        <v>0.3846154</v>
      </c>
    </row>
    <row r="10" spans="1:10" x14ac:dyDescent="0.3">
      <c r="A10">
        <v>8</v>
      </c>
      <c r="B10">
        <v>135</v>
      </c>
      <c r="C10" t="b">
        <v>1</v>
      </c>
      <c r="D10">
        <v>8048</v>
      </c>
      <c r="E10">
        <v>8117</v>
      </c>
      <c r="F10">
        <v>8</v>
      </c>
      <c r="G10">
        <v>4.6666664999999998</v>
      </c>
      <c r="H10">
        <v>1.7142857</v>
      </c>
      <c r="I10">
        <v>-0.71428579999999997</v>
      </c>
      <c r="J10">
        <v>0.36842105000000003</v>
      </c>
    </row>
    <row r="11" spans="1:10" x14ac:dyDescent="0.3">
      <c r="A11">
        <v>9</v>
      </c>
      <c r="B11">
        <v>151</v>
      </c>
      <c r="C11" t="b">
        <v>1</v>
      </c>
      <c r="D11">
        <v>8048</v>
      </c>
      <c r="E11">
        <v>8123</v>
      </c>
      <c r="F11">
        <v>8</v>
      </c>
      <c r="G11">
        <v>4.4000000000000004</v>
      </c>
      <c r="H11">
        <v>1.8181818000000001</v>
      </c>
      <c r="I11">
        <v>-0.81818175000000004</v>
      </c>
      <c r="J11">
        <v>0.35483872999999999</v>
      </c>
    </row>
    <row r="12" spans="1:10" x14ac:dyDescent="0.3">
      <c r="A12">
        <v>10</v>
      </c>
      <c r="B12">
        <v>167</v>
      </c>
      <c r="C12" t="b">
        <v>1</v>
      </c>
      <c r="D12">
        <v>8048</v>
      </c>
      <c r="E12">
        <v>8117</v>
      </c>
      <c r="F12">
        <v>8</v>
      </c>
      <c r="G12">
        <v>4.1818179999999998</v>
      </c>
      <c r="H12">
        <v>1.9130434999999999</v>
      </c>
      <c r="I12">
        <v>-0.91304355999999998</v>
      </c>
      <c r="J12">
        <v>0.34328355999999999</v>
      </c>
    </row>
    <row r="13" spans="1:10" x14ac:dyDescent="0.3">
      <c r="A13">
        <v>11</v>
      </c>
      <c r="B13">
        <v>183</v>
      </c>
      <c r="C13" t="b">
        <v>1</v>
      </c>
      <c r="D13">
        <v>8054</v>
      </c>
      <c r="E13">
        <v>8117</v>
      </c>
      <c r="F13">
        <v>8</v>
      </c>
      <c r="G13">
        <v>4</v>
      </c>
      <c r="H13">
        <v>2</v>
      </c>
      <c r="I13">
        <v>-1</v>
      </c>
      <c r="J13">
        <v>0.33333333999999998</v>
      </c>
    </row>
    <row r="14" spans="1:10" x14ac:dyDescent="0.3">
      <c r="A14">
        <v>12</v>
      </c>
      <c r="B14">
        <v>199</v>
      </c>
      <c r="C14" t="b">
        <v>1</v>
      </c>
      <c r="D14">
        <v>8048</v>
      </c>
      <c r="E14">
        <v>8117</v>
      </c>
      <c r="F14">
        <v>8</v>
      </c>
      <c r="G14">
        <v>3.8461536999999999</v>
      </c>
      <c r="H14">
        <v>2.0800002000000002</v>
      </c>
      <c r="I14">
        <v>-1.08</v>
      </c>
      <c r="J14">
        <v>0.32467531999999999</v>
      </c>
    </row>
    <row r="15" spans="1:10" x14ac:dyDescent="0.3">
      <c r="A15">
        <v>13</v>
      </c>
      <c r="B15">
        <v>215</v>
      </c>
      <c r="C15" t="b">
        <v>1</v>
      </c>
      <c r="D15">
        <v>8048</v>
      </c>
      <c r="E15">
        <v>8117</v>
      </c>
      <c r="F15">
        <v>8</v>
      </c>
      <c r="G15">
        <v>3.7142856000000002</v>
      </c>
      <c r="H15">
        <v>2.1538463000000001</v>
      </c>
      <c r="I15">
        <v>-1.1538461</v>
      </c>
      <c r="J15">
        <v>0.31707317000000002</v>
      </c>
    </row>
    <row r="16" spans="1:10" x14ac:dyDescent="0.3">
      <c r="A16">
        <v>14</v>
      </c>
      <c r="B16">
        <v>230</v>
      </c>
      <c r="C16" t="b">
        <v>1</v>
      </c>
      <c r="D16">
        <v>8042</v>
      </c>
      <c r="E16">
        <v>8117</v>
      </c>
      <c r="F16">
        <v>8</v>
      </c>
      <c r="G16">
        <v>3.6</v>
      </c>
      <c r="H16">
        <v>2.2222222999999999</v>
      </c>
      <c r="I16">
        <v>-1.2222223000000001</v>
      </c>
      <c r="J16">
        <v>0.31034482000000002</v>
      </c>
    </row>
    <row r="17" spans="1:10" x14ac:dyDescent="0.3">
      <c r="A17">
        <v>15</v>
      </c>
      <c r="B17">
        <v>246</v>
      </c>
      <c r="C17" t="b">
        <v>1</v>
      </c>
      <c r="D17">
        <v>8048</v>
      </c>
      <c r="E17">
        <v>8123</v>
      </c>
      <c r="F17">
        <v>8</v>
      </c>
      <c r="G17">
        <v>3.2</v>
      </c>
      <c r="H17">
        <v>2.5</v>
      </c>
      <c r="I17">
        <v>-1.5</v>
      </c>
      <c r="J17">
        <v>0.28571429999999998</v>
      </c>
    </row>
    <row r="18" spans="1:10" x14ac:dyDescent="0.3">
      <c r="A18">
        <v>16</v>
      </c>
      <c r="B18">
        <v>262</v>
      </c>
      <c r="C18" t="b">
        <v>1</v>
      </c>
      <c r="D18">
        <v>8048</v>
      </c>
      <c r="E18">
        <v>8129</v>
      </c>
      <c r="F18">
        <v>8</v>
      </c>
      <c r="G18">
        <v>2.8</v>
      </c>
      <c r="H18">
        <v>2.8571430000000002</v>
      </c>
      <c r="I18">
        <v>-1.8571428000000001</v>
      </c>
      <c r="J18">
        <v>0.25925925</v>
      </c>
    </row>
    <row r="19" spans="1:10" x14ac:dyDescent="0.3">
      <c r="A19">
        <v>17</v>
      </c>
      <c r="B19">
        <v>278</v>
      </c>
      <c r="C19" t="b">
        <v>1</v>
      </c>
      <c r="D19">
        <v>8048</v>
      </c>
      <c r="E19">
        <v>8123</v>
      </c>
      <c r="F19">
        <v>8</v>
      </c>
      <c r="G19">
        <v>2.8</v>
      </c>
      <c r="H19">
        <v>2.8571430000000002</v>
      </c>
      <c r="I19">
        <v>-1.8571428000000001</v>
      </c>
      <c r="J19">
        <v>0.25925925</v>
      </c>
    </row>
    <row r="20" spans="1:10" x14ac:dyDescent="0.3">
      <c r="A20">
        <v>18</v>
      </c>
      <c r="B20">
        <v>293</v>
      </c>
      <c r="C20" t="b">
        <v>1</v>
      </c>
      <c r="D20">
        <v>8048</v>
      </c>
      <c r="E20">
        <v>8129</v>
      </c>
      <c r="F20">
        <v>8</v>
      </c>
      <c r="G20">
        <v>2.8</v>
      </c>
      <c r="H20">
        <v>2.8571430000000002</v>
      </c>
      <c r="I20">
        <v>-1.8571428000000001</v>
      </c>
      <c r="J20">
        <v>0.25925925</v>
      </c>
    </row>
    <row r="21" spans="1:10" x14ac:dyDescent="0.3">
      <c r="A21">
        <v>19</v>
      </c>
      <c r="B21">
        <v>309</v>
      </c>
      <c r="C21" t="b">
        <v>1</v>
      </c>
      <c r="D21">
        <v>8048</v>
      </c>
      <c r="E21">
        <v>8129</v>
      </c>
      <c r="F21">
        <v>8</v>
      </c>
      <c r="G21">
        <v>3.6</v>
      </c>
      <c r="H21">
        <v>2.2222222999999999</v>
      </c>
      <c r="I21">
        <v>-1.2222223000000001</v>
      </c>
      <c r="J21">
        <v>0.31034482000000002</v>
      </c>
    </row>
    <row r="22" spans="1:10" x14ac:dyDescent="0.3">
      <c r="A22">
        <v>20</v>
      </c>
      <c r="B22">
        <v>325</v>
      </c>
      <c r="C22" t="b">
        <v>1</v>
      </c>
      <c r="D22">
        <v>8048</v>
      </c>
      <c r="E22">
        <v>8123</v>
      </c>
      <c r="F22">
        <v>8</v>
      </c>
      <c r="G22">
        <v>4.4000000000000004</v>
      </c>
      <c r="H22">
        <v>1.8181818000000001</v>
      </c>
      <c r="I22">
        <v>-0.81818175000000004</v>
      </c>
      <c r="J22">
        <v>0.35483872999999999</v>
      </c>
    </row>
    <row r="23" spans="1:10" x14ac:dyDescent="0.3">
      <c r="A23">
        <v>21</v>
      </c>
      <c r="B23">
        <v>341</v>
      </c>
      <c r="C23" t="b">
        <v>1</v>
      </c>
      <c r="D23">
        <v>8048</v>
      </c>
      <c r="E23">
        <v>8123</v>
      </c>
      <c r="F23">
        <v>8</v>
      </c>
      <c r="G23">
        <v>4.8</v>
      </c>
      <c r="H23">
        <v>1.6666666000000001</v>
      </c>
      <c r="I23">
        <v>-0.6666666</v>
      </c>
      <c r="J23">
        <v>0.375</v>
      </c>
    </row>
    <row r="24" spans="1:10" x14ac:dyDescent="0.3">
      <c r="A24">
        <v>22</v>
      </c>
      <c r="B24">
        <v>356</v>
      </c>
      <c r="C24" t="b">
        <v>1</v>
      </c>
      <c r="D24">
        <v>8042</v>
      </c>
      <c r="E24">
        <v>8123</v>
      </c>
      <c r="F24">
        <v>8</v>
      </c>
      <c r="G24">
        <v>5.2</v>
      </c>
      <c r="H24">
        <v>1.5384616</v>
      </c>
      <c r="I24">
        <v>-0.53846156999999994</v>
      </c>
      <c r="J24">
        <v>0.39393938000000001</v>
      </c>
    </row>
    <row r="25" spans="1:10" x14ac:dyDescent="0.3">
      <c r="A25">
        <v>23</v>
      </c>
      <c r="B25">
        <v>372</v>
      </c>
      <c r="C25" t="b">
        <v>1</v>
      </c>
      <c r="D25">
        <v>8048</v>
      </c>
      <c r="E25">
        <v>8123</v>
      </c>
      <c r="F25">
        <v>8</v>
      </c>
      <c r="G25">
        <v>5.6</v>
      </c>
      <c r="H25">
        <v>1.4285715000000001</v>
      </c>
      <c r="I25">
        <v>-0.42857146000000002</v>
      </c>
      <c r="J25">
        <v>0.41176467999999999</v>
      </c>
    </row>
    <row r="26" spans="1:10" x14ac:dyDescent="0.3">
      <c r="A26">
        <v>24</v>
      </c>
      <c r="B26">
        <v>388</v>
      </c>
      <c r="C26" t="b">
        <v>1</v>
      </c>
      <c r="D26">
        <v>8048</v>
      </c>
      <c r="E26">
        <v>8117</v>
      </c>
      <c r="F26">
        <v>8</v>
      </c>
      <c r="G26">
        <v>6</v>
      </c>
      <c r="H26">
        <v>1.3333333999999999</v>
      </c>
      <c r="I26">
        <v>-0.33333333999999998</v>
      </c>
      <c r="J26">
        <v>0.42857142999999998</v>
      </c>
    </row>
    <row r="27" spans="1:10" x14ac:dyDescent="0.3">
      <c r="A27">
        <v>25</v>
      </c>
      <c r="B27">
        <v>404</v>
      </c>
      <c r="C27" t="b">
        <v>1</v>
      </c>
      <c r="D27">
        <v>8048</v>
      </c>
      <c r="E27">
        <v>8123</v>
      </c>
      <c r="F27">
        <v>8</v>
      </c>
      <c r="G27">
        <v>6.4</v>
      </c>
      <c r="H27">
        <v>1.25</v>
      </c>
      <c r="I27">
        <v>-0.24999999000000001</v>
      </c>
      <c r="J27">
        <v>0.44444447999999998</v>
      </c>
    </row>
    <row r="28" spans="1:10" x14ac:dyDescent="0.3">
      <c r="A28">
        <v>26</v>
      </c>
      <c r="B28">
        <v>420</v>
      </c>
      <c r="C28" t="b">
        <v>1</v>
      </c>
      <c r="D28">
        <v>8048</v>
      </c>
      <c r="E28">
        <v>8123</v>
      </c>
      <c r="F28">
        <v>8</v>
      </c>
      <c r="G28">
        <v>6.8</v>
      </c>
      <c r="H28">
        <v>1.1764705</v>
      </c>
      <c r="I28">
        <v>-0.17647055</v>
      </c>
      <c r="J28">
        <v>0.45945944999999999</v>
      </c>
    </row>
    <row r="29" spans="1:10" x14ac:dyDescent="0.3">
      <c r="A29">
        <v>27</v>
      </c>
      <c r="B29">
        <v>435</v>
      </c>
      <c r="C29" t="b">
        <v>1</v>
      </c>
      <c r="D29">
        <v>8048</v>
      </c>
      <c r="E29">
        <v>8129</v>
      </c>
      <c r="F29">
        <v>8</v>
      </c>
      <c r="G29">
        <v>7.2</v>
      </c>
      <c r="H29">
        <v>1.1111112000000001</v>
      </c>
      <c r="I29">
        <v>-0.11111114</v>
      </c>
      <c r="J29">
        <v>0.4736842</v>
      </c>
    </row>
    <row r="30" spans="1:10" x14ac:dyDescent="0.3">
      <c r="A30">
        <v>28</v>
      </c>
      <c r="B30">
        <v>451</v>
      </c>
      <c r="C30" t="b">
        <v>1</v>
      </c>
      <c r="D30">
        <v>8048</v>
      </c>
      <c r="E30">
        <v>8129</v>
      </c>
      <c r="F30">
        <v>8</v>
      </c>
      <c r="G30">
        <v>7.6</v>
      </c>
      <c r="H30">
        <v>1.0526316</v>
      </c>
      <c r="I30">
        <v>-5.2631589999999999E-2</v>
      </c>
      <c r="J30">
        <v>0.48717946000000001</v>
      </c>
    </row>
    <row r="31" spans="1:10" x14ac:dyDescent="0.3">
      <c r="A31">
        <v>29</v>
      </c>
      <c r="B31">
        <v>467</v>
      </c>
      <c r="C31" t="b">
        <v>1</v>
      </c>
      <c r="D31">
        <v>8048</v>
      </c>
      <c r="E31">
        <v>8123</v>
      </c>
      <c r="F31">
        <v>8</v>
      </c>
      <c r="G31">
        <v>8</v>
      </c>
      <c r="H31">
        <v>1</v>
      </c>
      <c r="I31">
        <v>0</v>
      </c>
      <c r="J31">
        <v>0.5</v>
      </c>
    </row>
    <row r="32" spans="1:10" x14ac:dyDescent="0.3">
      <c r="A32">
        <v>30</v>
      </c>
      <c r="B32">
        <v>483</v>
      </c>
      <c r="C32" t="b">
        <v>1</v>
      </c>
      <c r="D32">
        <v>8048</v>
      </c>
      <c r="E32">
        <v>8123</v>
      </c>
      <c r="F32">
        <v>8</v>
      </c>
      <c r="G32">
        <v>8.4</v>
      </c>
      <c r="H32">
        <v>0.95238100000000003</v>
      </c>
      <c r="I32">
        <v>4.7619003999999999E-2</v>
      </c>
      <c r="J32">
        <v>0.51219510000000001</v>
      </c>
    </row>
    <row r="33" spans="1:10" x14ac:dyDescent="0.3">
      <c r="A33">
        <v>31</v>
      </c>
      <c r="B33">
        <v>499</v>
      </c>
      <c r="C33" t="b">
        <v>1</v>
      </c>
      <c r="D33">
        <v>8048</v>
      </c>
      <c r="E33">
        <v>8123</v>
      </c>
      <c r="F33">
        <v>8</v>
      </c>
      <c r="G33">
        <v>8.8000000000000007</v>
      </c>
      <c r="H33">
        <v>0.90909090000000004</v>
      </c>
      <c r="I33">
        <v>9.0909110000000001E-2</v>
      </c>
      <c r="J33">
        <v>0.52380954999999996</v>
      </c>
    </row>
    <row r="34" spans="1:10" x14ac:dyDescent="0.3">
      <c r="A34">
        <v>32</v>
      </c>
      <c r="B34">
        <v>515</v>
      </c>
      <c r="C34" t="b">
        <v>1</v>
      </c>
      <c r="D34">
        <v>8048</v>
      </c>
      <c r="E34">
        <v>8123</v>
      </c>
      <c r="F34">
        <v>8</v>
      </c>
      <c r="G34">
        <v>8.8000000000000007</v>
      </c>
      <c r="H34">
        <v>0.90909090000000004</v>
      </c>
      <c r="I34">
        <v>9.0909110000000001E-2</v>
      </c>
      <c r="J34">
        <v>0.52380954999999996</v>
      </c>
    </row>
    <row r="35" spans="1:10" x14ac:dyDescent="0.3">
      <c r="A35">
        <v>33</v>
      </c>
      <c r="B35">
        <v>531</v>
      </c>
      <c r="C35" t="b">
        <v>1</v>
      </c>
      <c r="D35">
        <v>8048</v>
      </c>
      <c r="E35">
        <v>8123</v>
      </c>
      <c r="F35">
        <v>8</v>
      </c>
      <c r="G35">
        <v>8.8000000000000007</v>
      </c>
      <c r="H35">
        <v>0.90909090000000004</v>
      </c>
      <c r="I35">
        <v>9.0909110000000001E-2</v>
      </c>
      <c r="J35">
        <v>0.52380954999999996</v>
      </c>
    </row>
    <row r="36" spans="1:10" x14ac:dyDescent="0.3">
      <c r="A36">
        <v>34</v>
      </c>
      <c r="B36">
        <v>547</v>
      </c>
      <c r="C36" t="b">
        <v>1</v>
      </c>
      <c r="D36">
        <v>8042</v>
      </c>
      <c r="E36">
        <v>8123</v>
      </c>
      <c r="F36">
        <v>8</v>
      </c>
      <c r="G36">
        <v>8.4</v>
      </c>
      <c r="H36">
        <v>0.95238100000000003</v>
      </c>
      <c r="I36">
        <v>4.7619003999999999E-2</v>
      </c>
      <c r="J36">
        <v>0.51219510000000001</v>
      </c>
    </row>
    <row r="37" spans="1:10" x14ac:dyDescent="0.3">
      <c r="A37">
        <v>35</v>
      </c>
      <c r="B37">
        <v>563</v>
      </c>
      <c r="C37" t="b">
        <v>1</v>
      </c>
      <c r="D37">
        <v>8042</v>
      </c>
      <c r="E37">
        <v>8129</v>
      </c>
      <c r="F37">
        <v>8</v>
      </c>
      <c r="G37">
        <v>8</v>
      </c>
      <c r="H37">
        <v>1</v>
      </c>
      <c r="I37">
        <v>0</v>
      </c>
      <c r="J37">
        <v>0.5</v>
      </c>
    </row>
    <row r="38" spans="1:10" x14ac:dyDescent="0.3">
      <c r="A38">
        <v>36</v>
      </c>
      <c r="B38">
        <v>579</v>
      </c>
      <c r="C38" t="b">
        <v>1</v>
      </c>
      <c r="D38">
        <v>8048</v>
      </c>
      <c r="E38">
        <v>8123</v>
      </c>
      <c r="F38">
        <v>8</v>
      </c>
      <c r="G38">
        <v>8</v>
      </c>
      <c r="H38">
        <v>1</v>
      </c>
      <c r="I38">
        <v>0</v>
      </c>
      <c r="J38">
        <v>0.5</v>
      </c>
    </row>
    <row r="39" spans="1:10" x14ac:dyDescent="0.3">
      <c r="A39">
        <v>37</v>
      </c>
      <c r="B39">
        <v>595</v>
      </c>
      <c r="C39" t="b">
        <v>1</v>
      </c>
      <c r="D39">
        <v>8048</v>
      </c>
      <c r="E39">
        <v>8123</v>
      </c>
      <c r="F39">
        <v>8</v>
      </c>
      <c r="G39">
        <v>8</v>
      </c>
      <c r="H39">
        <v>1</v>
      </c>
      <c r="I39">
        <v>0</v>
      </c>
      <c r="J39">
        <v>0.5</v>
      </c>
    </row>
    <row r="40" spans="1:10" x14ac:dyDescent="0.3">
      <c r="A40">
        <v>38</v>
      </c>
      <c r="B40">
        <v>611</v>
      </c>
      <c r="C40" t="b">
        <v>1</v>
      </c>
      <c r="D40">
        <v>8048</v>
      </c>
      <c r="E40">
        <v>8123</v>
      </c>
      <c r="F40">
        <v>8</v>
      </c>
      <c r="G40">
        <v>8</v>
      </c>
      <c r="H40">
        <v>1</v>
      </c>
      <c r="I40">
        <v>0</v>
      </c>
      <c r="J40">
        <v>0.5</v>
      </c>
    </row>
    <row r="41" spans="1:10" x14ac:dyDescent="0.3">
      <c r="A41">
        <v>39</v>
      </c>
      <c r="B41">
        <v>627</v>
      </c>
      <c r="C41" t="b">
        <v>1</v>
      </c>
      <c r="D41">
        <v>8048</v>
      </c>
      <c r="E41">
        <v>8129</v>
      </c>
      <c r="F41">
        <v>8</v>
      </c>
      <c r="G41">
        <v>8</v>
      </c>
      <c r="H41">
        <v>1</v>
      </c>
      <c r="I41">
        <v>0</v>
      </c>
      <c r="J41">
        <v>0.5</v>
      </c>
    </row>
    <row r="42" spans="1:10" x14ac:dyDescent="0.3">
      <c r="A42">
        <v>40</v>
      </c>
      <c r="B42">
        <v>642</v>
      </c>
      <c r="C42" t="b">
        <v>1</v>
      </c>
      <c r="D42">
        <v>8048</v>
      </c>
      <c r="E42">
        <v>8134</v>
      </c>
      <c r="F42">
        <v>8</v>
      </c>
      <c r="G42">
        <v>8</v>
      </c>
      <c r="H42">
        <v>1</v>
      </c>
      <c r="I42">
        <v>0</v>
      </c>
      <c r="J42">
        <v>0.5</v>
      </c>
    </row>
    <row r="43" spans="1:10" x14ac:dyDescent="0.3">
      <c r="A43">
        <v>41</v>
      </c>
      <c r="B43">
        <v>658</v>
      </c>
      <c r="C43" t="b">
        <v>1</v>
      </c>
      <c r="D43">
        <v>8048</v>
      </c>
      <c r="E43">
        <v>8129</v>
      </c>
      <c r="F43">
        <v>8</v>
      </c>
      <c r="G43">
        <v>8.4</v>
      </c>
      <c r="H43">
        <v>0.95238100000000003</v>
      </c>
      <c r="I43">
        <v>4.7619003999999999E-2</v>
      </c>
      <c r="J43">
        <v>0.51219510000000001</v>
      </c>
    </row>
    <row r="44" spans="1:10" x14ac:dyDescent="0.3">
      <c r="A44">
        <v>42</v>
      </c>
      <c r="B44">
        <v>674</v>
      </c>
      <c r="C44" t="b">
        <v>1</v>
      </c>
      <c r="D44">
        <v>8048</v>
      </c>
      <c r="E44">
        <v>8129</v>
      </c>
      <c r="F44">
        <v>8</v>
      </c>
      <c r="G44">
        <v>8.8000000000000007</v>
      </c>
      <c r="H44">
        <v>0.90909090000000004</v>
      </c>
      <c r="I44">
        <v>9.0909110000000001E-2</v>
      </c>
      <c r="J44">
        <v>0.52380954999999996</v>
      </c>
    </row>
    <row r="45" spans="1:10" x14ac:dyDescent="0.3">
      <c r="A45">
        <v>43</v>
      </c>
      <c r="B45">
        <v>690</v>
      </c>
      <c r="C45" t="b">
        <v>1</v>
      </c>
      <c r="D45">
        <v>8048</v>
      </c>
      <c r="E45">
        <v>8129</v>
      </c>
      <c r="F45">
        <v>8</v>
      </c>
      <c r="G45">
        <v>9.1999999999999993</v>
      </c>
      <c r="H45">
        <v>0.86956524999999996</v>
      </c>
      <c r="I45">
        <v>0.13043477000000001</v>
      </c>
      <c r="J45">
        <v>0.53488369999999996</v>
      </c>
    </row>
    <row r="46" spans="1:10" x14ac:dyDescent="0.3">
      <c r="A46">
        <v>44</v>
      </c>
      <c r="B46">
        <v>705</v>
      </c>
      <c r="C46" t="b">
        <v>1</v>
      </c>
      <c r="D46">
        <v>8048</v>
      </c>
      <c r="E46">
        <v>8129</v>
      </c>
      <c r="F46">
        <v>8</v>
      </c>
      <c r="G46">
        <v>9.6</v>
      </c>
      <c r="H46">
        <v>0.83333330000000005</v>
      </c>
      <c r="I46">
        <v>0.1666667</v>
      </c>
      <c r="J46">
        <v>0.54545456000000003</v>
      </c>
    </row>
    <row r="47" spans="1:10" x14ac:dyDescent="0.3">
      <c r="A47">
        <v>45</v>
      </c>
      <c r="B47">
        <v>721</v>
      </c>
      <c r="C47" t="b">
        <v>1</v>
      </c>
      <c r="D47">
        <v>8048</v>
      </c>
      <c r="E47">
        <v>8129</v>
      </c>
      <c r="F47">
        <v>8</v>
      </c>
      <c r="G47">
        <v>10</v>
      </c>
      <c r="H47">
        <v>0.8</v>
      </c>
      <c r="I47">
        <v>0.2</v>
      </c>
      <c r="J47">
        <v>0.55555560000000004</v>
      </c>
    </row>
    <row r="48" spans="1:10" x14ac:dyDescent="0.3">
      <c r="A48">
        <v>46</v>
      </c>
      <c r="B48">
        <v>737</v>
      </c>
      <c r="C48" t="b">
        <v>1</v>
      </c>
      <c r="D48">
        <v>8048</v>
      </c>
      <c r="E48">
        <v>8117</v>
      </c>
      <c r="F48">
        <v>8</v>
      </c>
      <c r="G48">
        <v>10.4</v>
      </c>
      <c r="H48">
        <v>0.76923079999999999</v>
      </c>
      <c r="I48">
        <v>0.23076920000000001</v>
      </c>
      <c r="J48">
        <v>0.56521739999999998</v>
      </c>
    </row>
    <row r="49" spans="1:10" x14ac:dyDescent="0.3">
      <c r="A49">
        <v>47</v>
      </c>
      <c r="B49">
        <v>753</v>
      </c>
      <c r="C49" t="b">
        <v>1</v>
      </c>
      <c r="D49">
        <v>8048</v>
      </c>
      <c r="E49">
        <v>8129</v>
      </c>
      <c r="F49">
        <v>8</v>
      </c>
      <c r="G49">
        <v>10.8</v>
      </c>
      <c r="H49">
        <v>0.74074070000000003</v>
      </c>
      <c r="I49">
        <v>0.25925927999999998</v>
      </c>
      <c r="J49">
        <v>0.57446814000000002</v>
      </c>
    </row>
    <row r="50" spans="1:10" x14ac:dyDescent="0.3">
      <c r="A50">
        <v>48</v>
      </c>
      <c r="B50">
        <v>769</v>
      </c>
      <c r="C50" t="b">
        <v>1</v>
      </c>
      <c r="D50">
        <v>8048</v>
      </c>
      <c r="E50">
        <v>8117</v>
      </c>
      <c r="F50">
        <v>8</v>
      </c>
      <c r="G50">
        <v>11.2</v>
      </c>
      <c r="H50">
        <v>0.71428572999999995</v>
      </c>
      <c r="I50">
        <v>0.28571426999999999</v>
      </c>
      <c r="J50">
        <v>0.58333330000000005</v>
      </c>
    </row>
    <row r="51" spans="1:10" x14ac:dyDescent="0.3">
      <c r="A51">
        <v>49</v>
      </c>
      <c r="B51">
        <v>785</v>
      </c>
      <c r="C51" t="b">
        <v>1</v>
      </c>
      <c r="D51">
        <v>8042</v>
      </c>
      <c r="E51">
        <v>8123</v>
      </c>
      <c r="F51">
        <v>8</v>
      </c>
      <c r="G51">
        <v>11.2</v>
      </c>
      <c r="H51">
        <v>0.71428572999999995</v>
      </c>
      <c r="I51">
        <v>0.28571426999999999</v>
      </c>
      <c r="J51">
        <v>0.58333330000000005</v>
      </c>
    </row>
    <row r="52" spans="1:10" x14ac:dyDescent="0.3">
      <c r="A52">
        <v>50</v>
      </c>
      <c r="B52">
        <v>801</v>
      </c>
      <c r="C52" t="b">
        <v>1</v>
      </c>
      <c r="D52">
        <v>8048</v>
      </c>
      <c r="E52">
        <v>8123</v>
      </c>
      <c r="F52">
        <v>8</v>
      </c>
      <c r="G52">
        <v>11.2</v>
      </c>
      <c r="H52">
        <v>0.71428572999999995</v>
      </c>
      <c r="I52">
        <v>0.28571426999999999</v>
      </c>
      <c r="J52">
        <v>0.58333330000000005</v>
      </c>
    </row>
    <row r="53" spans="1:10" x14ac:dyDescent="0.3">
      <c r="A53">
        <v>51</v>
      </c>
      <c r="B53">
        <v>817</v>
      </c>
      <c r="C53" t="b">
        <v>1</v>
      </c>
      <c r="D53">
        <v>8048</v>
      </c>
      <c r="E53">
        <v>8123</v>
      </c>
      <c r="F53">
        <v>8</v>
      </c>
      <c r="G53">
        <v>11.2</v>
      </c>
      <c r="H53">
        <v>0.71428572999999995</v>
      </c>
      <c r="I53">
        <v>0.28571426999999999</v>
      </c>
      <c r="J53">
        <v>0.58333330000000005</v>
      </c>
    </row>
    <row r="54" spans="1:10" x14ac:dyDescent="0.3">
      <c r="A54">
        <v>52</v>
      </c>
      <c r="B54">
        <v>832</v>
      </c>
      <c r="C54" t="b">
        <v>1</v>
      </c>
      <c r="D54">
        <v>8037</v>
      </c>
      <c r="E54">
        <v>8123</v>
      </c>
      <c r="F54">
        <v>8</v>
      </c>
      <c r="G54">
        <v>11.2</v>
      </c>
      <c r="H54">
        <v>0.71428572999999995</v>
      </c>
      <c r="I54">
        <v>0.28571426999999999</v>
      </c>
      <c r="J54">
        <v>0.58333330000000005</v>
      </c>
    </row>
    <row r="55" spans="1:10" x14ac:dyDescent="0.3">
      <c r="A55">
        <v>53</v>
      </c>
      <c r="B55">
        <v>848</v>
      </c>
      <c r="C55" t="b">
        <v>1</v>
      </c>
      <c r="D55">
        <v>8037</v>
      </c>
      <c r="E55">
        <v>8123</v>
      </c>
      <c r="F55">
        <v>7.6</v>
      </c>
      <c r="G55">
        <v>11.2</v>
      </c>
      <c r="H55">
        <v>0.67857140000000005</v>
      </c>
      <c r="I55">
        <v>0.32142857000000002</v>
      </c>
      <c r="J55">
        <v>0.59574466999999998</v>
      </c>
    </row>
    <row r="56" spans="1:10" x14ac:dyDescent="0.3">
      <c r="A56">
        <v>54</v>
      </c>
      <c r="B56">
        <v>864</v>
      </c>
      <c r="C56" t="b">
        <v>1</v>
      </c>
      <c r="D56">
        <v>8048</v>
      </c>
      <c r="E56">
        <v>8123</v>
      </c>
      <c r="F56">
        <v>7.6</v>
      </c>
      <c r="G56">
        <v>11.2</v>
      </c>
      <c r="H56">
        <v>0.67857140000000005</v>
      </c>
      <c r="I56">
        <v>0.32142857000000002</v>
      </c>
      <c r="J56">
        <v>0.59574466999999998</v>
      </c>
    </row>
    <row r="57" spans="1:10" x14ac:dyDescent="0.3">
      <c r="A57">
        <v>55</v>
      </c>
      <c r="B57">
        <v>880</v>
      </c>
      <c r="C57" t="b">
        <v>1</v>
      </c>
      <c r="D57">
        <v>8042</v>
      </c>
      <c r="E57">
        <v>8123</v>
      </c>
      <c r="F57">
        <v>7.2</v>
      </c>
      <c r="G57">
        <v>11.2</v>
      </c>
      <c r="H57">
        <v>0.64285713</v>
      </c>
      <c r="I57">
        <v>0.35714287</v>
      </c>
      <c r="J57">
        <v>0.6086956</v>
      </c>
    </row>
    <row r="58" spans="1:10" x14ac:dyDescent="0.3">
      <c r="A58">
        <v>56</v>
      </c>
      <c r="B58">
        <v>896</v>
      </c>
      <c r="C58" t="b">
        <v>1</v>
      </c>
      <c r="D58">
        <v>8037</v>
      </c>
      <c r="E58">
        <v>8123</v>
      </c>
      <c r="F58">
        <v>6.4666667000000002</v>
      </c>
      <c r="G58">
        <v>10.8</v>
      </c>
      <c r="H58">
        <v>0.59876543000000004</v>
      </c>
      <c r="I58">
        <v>0.40123457000000001</v>
      </c>
      <c r="J58">
        <v>0.6254826</v>
      </c>
    </row>
    <row r="59" spans="1:10" x14ac:dyDescent="0.3">
      <c r="A59">
        <v>57</v>
      </c>
      <c r="B59">
        <v>912</v>
      </c>
      <c r="C59" t="b">
        <v>1</v>
      </c>
      <c r="D59">
        <v>8042</v>
      </c>
      <c r="E59">
        <v>8123</v>
      </c>
      <c r="F59">
        <v>6.0666665999999996</v>
      </c>
      <c r="G59">
        <v>10.4</v>
      </c>
      <c r="H59">
        <v>0.5833334</v>
      </c>
      <c r="I59">
        <v>0.41666666000000002</v>
      </c>
      <c r="J59">
        <v>0.63157890000000005</v>
      </c>
    </row>
    <row r="60" spans="1:10" x14ac:dyDescent="0.3">
      <c r="A60">
        <v>58</v>
      </c>
      <c r="B60">
        <v>928</v>
      </c>
      <c r="C60" t="b">
        <v>1</v>
      </c>
      <c r="D60">
        <v>8048</v>
      </c>
      <c r="E60">
        <v>8123</v>
      </c>
      <c r="F60">
        <v>5.6666664999999998</v>
      </c>
      <c r="G60">
        <v>10</v>
      </c>
      <c r="H60">
        <v>0.56666665999999999</v>
      </c>
      <c r="I60">
        <v>0.43333334000000001</v>
      </c>
      <c r="J60">
        <v>0.63829789999999997</v>
      </c>
    </row>
    <row r="61" spans="1:10" x14ac:dyDescent="0.3">
      <c r="A61">
        <v>59</v>
      </c>
      <c r="B61">
        <v>943</v>
      </c>
      <c r="C61" t="b">
        <v>1</v>
      </c>
      <c r="D61">
        <v>8042</v>
      </c>
      <c r="E61">
        <v>8123</v>
      </c>
      <c r="F61">
        <v>5.266667</v>
      </c>
      <c r="G61">
        <v>9.6</v>
      </c>
      <c r="H61">
        <v>0.54861110000000002</v>
      </c>
      <c r="I61">
        <v>0.45138889999999998</v>
      </c>
      <c r="J61">
        <v>0.64573990000000003</v>
      </c>
    </row>
    <row r="62" spans="1:10" x14ac:dyDescent="0.3">
      <c r="A62">
        <v>60</v>
      </c>
      <c r="B62">
        <v>959</v>
      </c>
      <c r="C62" t="b">
        <v>1</v>
      </c>
      <c r="D62">
        <v>8048</v>
      </c>
      <c r="E62">
        <v>8123</v>
      </c>
      <c r="F62">
        <v>4.8666669999999996</v>
      </c>
      <c r="G62">
        <v>9.1999999999999993</v>
      </c>
      <c r="H62">
        <v>0.52898555999999997</v>
      </c>
      <c r="I62">
        <v>0.47101447000000002</v>
      </c>
      <c r="J62">
        <v>0.65402839999999995</v>
      </c>
    </row>
    <row r="63" spans="1:10" x14ac:dyDescent="0.3">
      <c r="A63">
        <v>61</v>
      </c>
      <c r="B63">
        <v>975</v>
      </c>
      <c r="C63" t="b">
        <v>1</v>
      </c>
      <c r="D63">
        <v>8048</v>
      </c>
      <c r="E63">
        <v>8123</v>
      </c>
      <c r="F63">
        <v>4.8666669999999996</v>
      </c>
      <c r="G63">
        <v>8.8000000000000007</v>
      </c>
      <c r="H63">
        <v>0.55303029999999997</v>
      </c>
      <c r="I63">
        <v>0.44696970000000003</v>
      </c>
      <c r="J63">
        <v>0.64390239999999999</v>
      </c>
    </row>
    <row r="64" spans="1:10" x14ac:dyDescent="0.3">
      <c r="A64">
        <v>62</v>
      </c>
      <c r="B64">
        <v>991</v>
      </c>
      <c r="C64" t="b">
        <v>1</v>
      </c>
      <c r="D64">
        <v>8048</v>
      </c>
      <c r="E64">
        <v>8129</v>
      </c>
      <c r="F64">
        <v>4.8666669999999996</v>
      </c>
      <c r="G64">
        <v>8.4</v>
      </c>
      <c r="H64">
        <v>0.57936513000000001</v>
      </c>
      <c r="I64">
        <v>0.42063486999999999</v>
      </c>
      <c r="J64">
        <v>0.63316583999999998</v>
      </c>
    </row>
    <row r="65" spans="1:10" x14ac:dyDescent="0.3">
      <c r="A65">
        <v>63</v>
      </c>
      <c r="B65">
        <v>1007</v>
      </c>
      <c r="C65" t="b">
        <v>1</v>
      </c>
      <c r="D65">
        <v>8048</v>
      </c>
      <c r="E65">
        <v>8123</v>
      </c>
      <c r="F65">
        <v>4.8666669999999996</v>
      </c>
      <c r="G65">
        <v>8</v>
      </c>
      <c r="H65">
        <v>0.60833334999999999</v>
      </c>
      <c r="I65">
        <v>0.39166665000000001</v>
      </c>
      <c r="J65">
        <v>0.62176169999999997</v>
      </c>
    </row>
    <row r="66" spans="1:10" x14ac:dyDescent="0.3">
      <c r="A66">
        <v>64</v>
      </c>
      <c r="B66">
        <v>1023</v>
      </c>
      <c r="C66" t="b">
        <v>1</v>
      </c>
      <c r="D66">
        <v>8048</v>
      </c>
      <c r="E66">
        <v>8123</v>
      </c>
      <c r="F66">
        <v>4.8666669999999996</v>
      </c>
      <c r="G66">
        <v>8</v>
      </c>
      <c r="H66">
        <v>0.60833334999999999</v>
      </c>
      <c r="I66">
        <v>0.39166665000000001</v>
      </c>
      <c r="J66">
        <v>0.62176169999999997</v>
      </c>
    </row>
    <row r="67" spans="1:10" x14ac:dyDescent="0.3">
      <c r="A67">
        <v>65</v>
      </c>
      <c r="B67">
        <v>1038</v>
      </c>
      <c r="C67" t="b">
        <v>1</v>
      </c>
      <c r="D67">
        <v>8048</v>
      </c>
      <c r="E67">
        <v>8129</v>
      </c>
      <c r="F67">
        <v>4.8666669999999996</v>
      </c>
      <c r="G67">
        <v>8</v>
      </c>
      <c r="H67">
        <v>0.60833334999999999</v>
      </c>
      <c r="I67">
        <v>0.39166665000000001</v>
      </c>
      <c r="J67">
        <v>0.62176169999999997</v>
      </c>
    </row>
    <row r="68" spans="1:10" x14ac:dyDescent="0.3">
      <c r="A68">
        <v>66</v>
      </c>
      <c r="B68">
        <v>1055</v>
      </c>
      <c r="C68" t="b">
        <v>1</v>
      </c>
      <c r="D68">
        <v>8048</v>
      </c>
      <c r="E68">
        <v>8123</v>
      </c>
      <c r="F68">
        <v>4.8666669999999996</v>
      </c>
      <c r="G68">
        <v>8</v>
      </c>
      <c r="H68">
        <v>0.60833334999999999</v>
      </c>
      <c r="I68">
        <v>0.39166665000000001</v>
      </c>
      <c r="J68">
        <v>0.62176169999999997</v>
      </c>
    </row>
    <row r="69" spans="1:10" x14ac:dyDescent="0.3">
      <c r="A69">
        <v>67</v>
      </c>
      <c r="B69">
        <v>1070</v>
      </c>
      <c r="C69" t="b">
        <v>1</v>
      </c>
      <c r="D69">
        <v>8042</v>
      </c>
      <c r="E69">
        <v>8129</v>
      </c>
      <c r="F69">
        <v>4.8666669999999996</v>
      </c>
      <c r="G69">
        <v>8</v>
      </c>
      <c r="H69">
        <v>0.60833334999999999</v>
      </c>
      <c r="I69">
        <v>0.39166665000000001</v>
      </c>
      <c r="J69">
        <v>0.62176169999999997</v>
      </c>
    </row>
    <row r="70" spans="1:10" x14ac:dyDescent="0.3">
      <c r="A70">
        <v>68</v>
      </c>
      <c r="B70">
        <v>1086</v>
      </c>
      <c r="C70" t="b">
        <v>1</v>
      </c>
      <c r="D70">
        <v>8042</v>
      </c>
      <c r="E70">
        <v>8123</v>
      </c>
      <c r="F70">
        <v>5.266667</v>
      </c>
      <c r="G70">
        <v>8</v>
      </c>
      <c r="H70">
        <v>0.65833335999999998</v>
      </c>
      <c r="I70">
        <v>0.34166664000000002</v>
      </c>
      <c r="J70">
        <v>0.60301506999999999</v>
      </c>
    </row>
    <row r="71" spans="1:10" x14ac:dyDescent="0.3">
      <c r="A71">
        <v>69</v>
      </c>
      <c r="B71">
        <v>1102</v>
      </c>
      <c r="C71" t="b">
        <v>1</v>
      </c>
      <c r="D71">
        <v>8048</v>
      </c>
      <c r="E71">
        <v>8123</v>
      </c>
      <c r="F71">
        <v>5.266667</v>
      </c>
      <c r="G71">
        <v>8</v>
      </c>
      <c r="H71">
        <v>0.65833335999999998</v>
      </c>
      <c r="I71">
        <v>0.34166664000000002</v>
      </c>
      <c r="J71">
        <v>0.60301506999999999</v>
      </c>
    </row>
    <row r="72" spans="1:10" x14ac:dyDescent="0.3">
      <c r="A72">
        <v>70</v>
      </c>
      <c r="B72">
        <v>1118</v>
      </c>
      <c r="C72" t="b">
        <v>1</v>
      </c>
      <c r="D72">
        <v>8048</v>
      </c>
      <c r="E72">
        <v>8123</v>
      </c>
      <c r="F72">
        <v>5.6666664999999998</v>
      </c>
      <c r="G72">
        <v>8</v>
      </c>
      <c r="H72">
        <v>0.70833330000000005</v>
      </c>
      <c r="I72">
        <v>0.2916667</v>
      </c>
      <c r="J72">
        <v>0.58536589999999999</v>
      </c>
    </row>
    <row r="73" spans="1:10" x14ac:dyDescent="0.3">
      <c r="A73">
        <v>71</v>
      </c>
      <c r="B73">
        <v>1133</v>
      </c>
      <c r="C73" t="b">
        <v>1</v>
      </c>
      <c r="D73">
        <v>8048</v>
      </c>
      <c r="E73">
        <v>8123</v>
      </c>
      <c r="F73">
        <v>6.4</v>
      </c>
      <c r="G73">
        <v>8</v>
      </c>
      <c r="H73">
        <v>0.8</v>
      </c>
      <c r="I73">
        <v>0.19999998999999999</v>
      </c>
      <c r="J73">
        <v>0.55555560000000004</v>
      </c>
    </row>
    <row r="74" spans="1:10" x14ac:dyDescent="0.3">
      <c r="A74">
        <v>72</v>
      </c>
      <c r="B74">
        <v>1150</v>
      </c>
      <c r="C74" t="b">
        <v>1</v>
      </c>
      <c r="D74">
        <v>8048</v>
      </c>
      <c r="E74">
        <v>8123</v>
      </c>
      <c r="F74">
        <v>6.8</v>
      </c>
      <c r="G74">
        <v>8</v>
      </c>
      <c r="H74">
        <v>0.85</v>
      </c>
      <c r="I74">
        <v>0.14999998</v>
      </c>
      <c r="J74">
        <v>0.54054049999999998</v>
      </c>
    </row>
    <row r="75" spans="1:10" x14ac:dyDescent="0.3">
      <c r="A75">
        <v>73</v>
      </c>
      <c r="B75">
        <v>1166</v>
      </c>
      <c r="C75" t="b">
        <v>1</v>
      </c>
      <c r="D75">
        <v>8048</v>
      </c>
      <c r="E75">
        <v>8123</v>
      </c>
      <c r="F75">
        <v>7.2</v>
      </c>
      <c r="G75">
        <v>8</v>
      </c>
      <c r="H75">
        <v>0.9</v>
      </c>
      <c r="I75">
        <v>0.10000002400000001</v>
      </c>
      <c r="J75">
        <v>0.5263158</v>
      </c>
    </row>
    <row r="76" spans="1:10" x14ac:dyDescent="0.3">
      <c r="A76">
        <v>74</v>
      </c>
      <c r="B76">
        <v>1181</v>
      </c>
      <c r="C76" t="b">
        <v>1</v>
      </c>
      <c r="D76">
        <v>8048</v>
      </c>
      <c r="E76">
        <v>8123</v>
      </c>
      <c r="F76">
        <v>7.6</v>
      </c>
      <c r="G76">
        <v>8</v>
      </c>
      <c r="H76">
        <v>0.95</v>
      </c>
      <c r="I76">
        <v>5.0000012000000003E-2</v>
      </c>
      <c r="J76">
        <v>0.51282050000000001</v>
      </c>
    </row>
    <row r="77" spans="1:10" x14ac:dyDescent="0.3">
      <c r="A77">
        <v>75</v>
      </c>
      <c r="B77">
        <v>1197</v>
      </c>
      <c r="C77" t="b">
        <v>1</v>
      </c>
      <c r="D77">
        <v>8048</v>
      </c>
      <c r="E77">
        <v>8123</v>
      </c>
      <c r="F77">
        <v>8</v>
      </c>
      <c r="G77">
        <v>8</v>
      </c>
      <c r="H77">
        <v>1</v>
      </c>
      <c r="I77">
        <v>0</v>
      </c>
      <c r="J77">
        <v>0.5</v>
      </c>
    </row>
    <row r="78" spans="1:10" x14ac:dyDescent="0.3">
      <c r="A78">
        <v>76</v>
      </c>
      <c r="B78">
        <v>1213</v>
      </c>
      <c r="C78" t="b">
        <v>1</v>
      </c>
      <c r="D78">
        <v>8042</v>
      </c>
      <c r="E78">
        <v>8123</v>
      </c>
      <c r="F78">
        <v>8</v>
      </c>
      <c r="G78">
        <v>8</v>
      </c>
      <c r="H78">
        <v>1</v>
      </c>
      <c r="I78">
        <v>0</v>
      </c>
      <c r="J78">
        <v>0.5</v>
      </c>
    </row>
    <row r="79" spans="1:10" x14ac:dyDescent="0.3">
      <c r="A79">
        <v>77</v>
      </c>
      <c r="B79">
        <v>1229</v>
      </c>
      <c r="C79" t="b">
        <v>1</v>
      </c>
      <c r="D79">
        <v>8048</v>
      </c>
      <c r="E79">
        <v>8123</v>
      </c>
      <c r="F79">
        <v>8</v>
      </c>
      <c r="G79">
        <v>8</v>
      </c>
      <c r="H79">
        <v>1</v>
      </c>
      <c r="I79">
        <v>0</v>
      </c>
      <c r="J79">
        <v>0.5</v>
      </c>
    </row>
    <row r="80" spans="1:10" x14ac:dyDescent="0.3">
      <c r="A80">
        <v>78</v>
      </c>
      <c r="B80">
        <v>1245</v>
      </c>
      <c r="C80" t="b">
        <v>1</v>
      </c>
      <c r="D80">
        <v>8048</v>
      </c>
      <c r="E80">
        <v>8123</v>
      </c>
      <c r="F80">
        <v>8</v>
      </c>
      <c r="G80">
        <v>8</v>
      </c>
      <c r="H80">
        <v>1</v>
      </c>
      <c r="I80">
        <v>0</v>
      </c>
      <c r="J80">
        <v>0.5</v>
      </c>
    </row>
    <row r="81" spans="1:10" x14ac:dyDescent="0.3">
      <c r="A81">
        <v>79</v>
      </c>
      <c r="B81">
        <v>1261</v>
      </c>
      <c r="C81" t="b">
        <v>1</v>
      </c>
      <c r="D81">
        <v>8048</v>
      </c>
      <c r="E81">
        <v>8123</v>
      </c>
      <c r="F81">
        <v>8</v>
      </c>
      <c r="G81">
        <v>8</v>
      </c>
      <c r="H81">
        <v>1</v>
      </c>
      <c r="I81">
        <v>0</v>
      </c>
      <c r="J81">
        <v>0.5</v>
      </c>
    </row>
    <row r="82" spans="1:10" x14ac:dyDescent="0.3">
      <c r="A82">
        <v>80</v>
      </c>
      <c r="B82">
        <v>1277</v>
      </c>
      <c r="C82" t="b">
        <v>1</v>
      </c>
      <c r="D82">
        <v>8042</v>
      </c>
      <c r="E82">
        <v>8117</v>
      </c>
      <c r="F82">
        <v>8</v>
      </c>
      <c r="G82">
        <v>8</v>
      </c>
      <c r="H82">
        <v>1</v>
      </c>
      <c r="I82">
        <v>0</v>
      </c>
      <c r="J82">
        <v>0.5</v>
      </c>
    </row>
    <row r="83" spans="1:10" x14ac:dyDescent="0.3">
      <c r="A83">
        <v>81</v>
      </c>
      <c r="B83">
        <v>1292</v>
      </c>
      <c r="C83" t="b">
        <v>1</v>
      </c>
      <c r="D83">
        <v>8048</v>
      </c>
      <c r="E83">
        <v>8123</v>
      </c>
      <c r="F83">
        <v>8</v>
      </c>
      <c r="G83">
        <v>8</v>
      </c>
      <c r="H83">
        <v>1</v>
      </c>
      <c r="I83">
        <v>0</v>
      </c>
      <c r="J83">
        <v>0.5</v>
      </c>
    </row>
    <row r="84" spans="1:10" x14ac:dyDescent="0.3">
      <c r="A84">
        <v>82</v>
      </c>
      <c r="B84">
        <v>1308</v>
      </c>
      <c r="C84" t="b">
        <v>1</v>
      </c>
      <c r="D84">
        <v>8042</v>
      </c>
      <c r="E84">
        <v>8123</v>
      </c>
      <c r="F84">
        <v>8</v>
      </c>
      <c r="G84">
        <v>8</v>
      </c>
      <c r="H84">
        <v>1</v>
      </c>
      <c r="I84">
        <v>0</v>
      </c>
      <c r="J84">
        <v>0.5</v>
      </c>
    </row>
    <row r="85" spans="1:10" x14ac:dyDescent="0.3">
      <c r="A85">
        <v>83</v>
      </c>
      <c r="B85">
        <v>1324</v>
      </c>
      <c r="C85" t="b">
        <v>1</v>
      </c>
      <c r="D85">
        <v>8048</v>
      </c>
      <c r="E85">
        <v>8123</v>
      </c>
      <c r="F85">
        <v>8</v>
      </c>
      <c r="G85">
        <v>8</v>
      </c>
      <c r="H85">
        <v>1</v>
      </c>
      <c r="I85">
        <v>0</v>
      </c>
      <c r="J85">
        <v>0.5</v>
      </c>
    </row>
    <row r="86" spans="1:10" x14ac:dyDescent="0.3">
      <c r="A86">
        <v>84</v>
      </c>
      <c r="B86">
        <v>1341</v>
      </c>
      <c r="C86" t="b">
        <v>1</v>
      </c>
      <c r="D86">
        <v>8054</v>
      </c>
      <c r="E86">
        <v>8123</v>
      </c>
      <c r="F86">
        <v>8</v>
      </c>
      <c r="G86">
        <v>8</v>
      </c>
      <c r="H86">
        <v>1</v>
      </c>
      <c r="I86">
        <v>0</v>
      </c>
      <c r="J86">
        <v>0.5</v>
      </c>
    </row>
    <row r="87" spans="1:10" x14ac:dyDescent="0.3">
      <c r="A87">
        <v>85</v>
      </c>
      <c r="B87">
        <v>1356</v>
      </c>
      <c r="C87" t="b">
        <v>1</v>
      </c>
      <c r="D87">
        <v>8048</v>
      </c>
      <c r="E87">
        <v>8117</v>
      </c>
      <c r="F87">
        <v>8</v>
      </c>
      <c r="G87">
        <v>8</v>
      </c>
      <c r="H87">
        <v>1</v>
      </c>
      <c r="I87">
        <v>0</v>
      </c>
      <c r="J87">
        <v>0.5</v>
      </c>
    </row>
    <row r="88" spans="1:10" x14ac:dyDescent="0.3">
      <c r="A88">
        <v>86</v>
      </c>
      <c r="B88">
        <v>1372</v>
      </c>
      <c r="C88" t="b">
        <v>1</v>
      </c>
      <c r="D88">
        <v>8048</v>
      </c>
      <c r="E88">
        <v>8123</v>
      </c>
      <c r="F88">
        <v>8</v>
      </c>
      <c r="G88">
        <v>8</v>
      </c>
      <c r="H88">
        <v>1</v>
      </c>
      <c r="I88">
        <v>0</v>
      </c>
      <c r="J88">
        <v>0.5</v>
      </c>
    </row>
    <row r="89" spans="1:10" x14ac:dyDescent="0.3">
      <c r="A89">
        <v>87</v>
      </c>
      <c r="B89">
        <v>1388</v>
      </c>
      <c r="C89" t="b">
        <v>1</v>
      </c>
      <c r="D89">
        <v>8048</v>
      </c>
      <c r="E89">
        <v>8123</v>
      </c>
      <c r="F89">
        <v>8</v>
      </c>
      <c r="G89">
        <v>8</v>
      </c>
      <c r="H89">
        <v>1</v>
      </c>
      <c r="I89">
        <v>0</v>
      </c>
      <c r="J89">
        <v>0.5</v>
      </c>
    </row>
    <row r="90" spans="1:10" x14ac:dyDescent="0.3">
      <c r="A90">
        <v>88</v>
      </c>
      <c r="B90">
        <v>1404</v>
      </c>
      <c r="C90" t="b">
        <v>1</v>
      </c>
      <c r="D90">
        <v>8048</v>
      </c>
      <c r="E90">
        <v>8123</v>
      </c>
      <c r="F90">
        <v>8</v>
      </c>
      <c r="G90">
        <v>8</v>
      </c>
      <c r="H90">
        <v>1</v>
      </c>
      <c r="I90">
        <v>0</v>
      </c>
      <c r="J90">
        <v>0.5</v>
      </c>
    </row>
    <row r="91" spans="1:10" x14ac:dyDescent="0.3">
      <c r="A91">
        <v>89</v>
      </c>
      <c r="B91">
        <v>1419</v>
      </c>
      <c r="C91" t="b">
        <v>1</v>
      </c>
      <c r="D91">
        <v>8048</v>
      </c>
      <c r="E91">
        <v>8123</v>
      </c>
      <c r="F91">
        <v>8</v>
      </c>
      <c r="G91">
        <v>8</v>
      </c>
      <c r="H91">
        <v>1</v>
      </c>
      <c r="I91">
        <v>0</v>
      </c>
      <c r="J91">
        <v>0.5</v>
      </c>
    </row>
    <row r="92" spans="1:10" x14ac:dyDescent="0.3">
      <c r="A92">
        <v>90</v>
      </c>
      <c r="B92">
        <v>1435</v>
      </c>
      <c r="C92" t="b">
        <v>1</v>
      </c>
      <c r="D92">
        <v>8048</v>
      </c>
      <c r="E92">
        <v>8111</v>
      </c>
      <c r="F92">
        <v>8</v>
      </c>
      <c r="G92">
        <v>8</v>
      </c>
      <c r="H92">
        <v>1</v>
      </c>
      <c r="I92">
        <v>0</v>
      </c>
      <c r="J92">
        <v>0.5</v>
      </c>
    </row>
    <row r="93" spans="1:10" x14ac:dyDescent="0.3">
      <c r="A93">
        <v>91</v>
      </c>
      <c r="B93">
        <v>1451</v>
      </c>
      <c r="C93" t="b">
        <v>1</v>
      </c>
      <c r="D93">
        <v>8042</v>
      </c>
      <c r="E93">
        <v>8117</v>
      </c>
      <c r="F93">
        <v>8</v>
      </c>
      <c r="G93">
        <v>8</v>
      </c>
      <c r="H93">
        <v>1</v>
      </c>
      <c r="I93">
        <v>0</v>
      </c>
      <c r="J93">
        <v>0.5</v>
      </c>
    </row>
    <row r="94" spans="1:10" x14ac:dyDescent="0.3">
      <c r="A94">
        <v>92</v>
      </c>
      <c r="B94">
        <v>1467</v>
      </c>
      <c r="C94" t="b">
        <v>1</v>
      </c>
      <c r="D94">
        <v>8048</v>
      </c>
      <c r="E94">
        <v>8123</v>
      </c>
      <c r="F94">
        <v>8</v>
      </c>
      <c r="G94">
        <v>8</v>
      </c>
      <c r="H94">
        <v>1</v>
      </c>
      <c r="I94">
        <v>0</v>
      </c>
      <c r="J94">
        <v>0.5</v>
      </c>
    </row>
    <row r="95" spans="1:10" x14ac:dyDescent="0.3">
      <c r="A95">
        <v>93</v>
      </c>
      <c r="B95">
        <v>1483</v>
      </c>
      <c r="C95" t="b">
        <v>1</v>
      </c>
      <c r="D95">
        <v>8042</v>
      </c>
      <c r="E95">
        <v>8117</v>
      </c>
      <c r="F95">
        <v>8</v>
      </c>
      <c r="G95">
        <v>7.6</v>
      </c>
      <c r="H95">
        <v>1.0526316</v>
      </c>
      <c r="I95">
        <v>-5.2631589999999999E-2</v>
      </c>
      <c r="J95">
        <v>0.48717946000000001</v>
      </c>
    </row>
    <row r="96" spans="1:10" x14ac:dyDescent="0.3">
      <c r="A96">
        <v>94</v>
      </c>
      <c r="B96">
        <v>1498</v>
      </c>
      <c r="C96" t="b">
        <v>1</v>
      </c>
      <c r="D96">
        <v>8048</v>
      </c>
      <c r="E96">
        <v>8117</v>
      </c>
      <c r="F96">
        <v>8</v>
      </c>
      <c r="G96">
        <v>7.2</v>
      </c>
      <c r="H96">
        <v>1.1111112000000001</v>
      </c>
      <c r="I96">
        <v>-0.11111114</v>
      </c>
      <c r="J96">
        <v>0.4736842</v>
      </c>
    </row>
    <row r="97" spans="1:10" x14ac:dyDescent="0.3">
      <c r="A97">
        <v>95</v>
      </c>
      <c r="B97">
        <v>1514</v>
      </c>
      <c r="C97" t="b">
        <v>1</v>
      </c>
      <c r="D97">
        <v>8042</v>
      </c>
      <c r="E97">
        <v>8123</v>
      </c>
      <c r="F97">
        <v>7.6</v>
      </c>
      <c r="G97">
        <v>6.8</v>
      </c>
      <c r="H97">
        <v>1.1176470000000001</v>
      </c>
      <c r="I97">
        <v>-0.11764701499999999</v>
      </c>
      <c r="J97">
        <v>0.47222224000000002</v>
      </c>
    </row>
    <row r="98" spans="1:10" x14ac:dyDescent="0.3">
      <c r="A98">
        <v>96</v>
      </c>
      <c r="B98">
        <v>1530</v>
      </c>
      <c r="C98" t="b">
        <v>1</v>
      </c>
      <c r="D98">
        <v>8042</v>
      </c>
      <c r="E98">
        <v>8123</v>
      </c>
      <c r="F98">
        <v>7.2</v>
      </c>
      <c r="G98">
        <v>6.8</v>
      </c>
      <c r="H98">
        <v>1.0588234999999999</v>
      </c>
      <c r="I98">
        <v>-5.8823470000000003E-2</v>
      </c>
      <c r="J98">
        <v>0.48571429999999999</v>
      </c>
    </row>
    <row r="99" spans="1:10" x14ac:dyDescent="0.3">
      <c r="A99">
        <v>97</v>
      </c>
      <c r="B99">
        <v>1546</v>
      </c>
      <c r="C99" t="b">
        <v>1</v>
      </c>
      <c r="D99">
        <v>8054</v>
      </c>
      <c r="E99">
        <v>8123</v>
      </c>
      <c r="F99">
        <v>6.8</v>
      </c>
      <c r="G99">
        <v>6.8</v>
      </c>
      <c r="H99">
        <v>1</v>
      </c>
      <c r="I99">
        <v>0</v>
      </c>
      <c r="J99">
        <v>0.5</v>
      </c>
    </row>
    <row r="100" spans="1:10" x14ac:dyDescent="0.3">
      <c r="A100">
        <v>98</v>
      </c>
      <c r="B100">
        <v>1562</v>
      </c>
      <c r="C100" t="b">
        <v>1</v>
      </c>
      <c r="D100">
        <v>8054</v>
      </c>
      <c r="E100">
        <v>8123</v>
      </c>
      <c r="F100">
        <v>6.8</v>
      </c>
      <c r="G100">
        <v>6.8</v>
      </c>
      <c r="H100">
        <v>1</v>
      </c>
      <c r="I100">
        <v>0</v>
      </c>
      <c r="J100">
        <v>0.5</v>
      </c>
    </row>
    <row r="101" spans="1:10" x14ac:dyDescent="0.3">
      <c r="A101">
        <v>99</v>
      </c>
      <c r="B101">
        <v>1578</v>
      </c>
      <c r="C101" t="b">
        <v>1</v>
      </c>
      <c r="D101">
        <v>8048</v>
      </c>
      <c r="E101">
        <v>8123</v>
      </c>
      <c r="F101">
        <v>6.8</v>
      </c>
      <c r="G101">
        <v>6.8</v>
      </c>
      <c r="H101">
        <v>1</v>
      </c>
      <c r="I101">
        <v>0</v>
      </c>
      <c r="J101">
        <v>0.5</v>
      </c>
    </row>
    <row r="102" spans="1:10" x14ac:dyDescent="0.3">
      <c r="A102">
        <v>100</v>
      </c>
      <c r="B102">
        <v>1594</v>
      </c>
      <c r="C102" t="b">
        <v>1</v>
      </c>
      <c r="D102">
        <v>8054</v>
      </c>
      <c r="E102">
        <v>8117</v>
      </c>
      <c r="F102">
        <v>7.2</v>
      </c>
      <c r="G102">
        <v>6.8</v>
      </c>
      <c r="H102">
        <v>1.0588234999999999</v>
      </c>
      <c r="I102">
        <v>-5.8823470000000003E-2</v>
      </c>
      <c r="J102">
        <v>0.48571429999999999</v>
      </c>
    </row>
    <row r="103" spans="1:10" x14ac:dyDescent="0.3">
      <c r="A103">
        <v>101</v>
      </c>
      <c r="B103">
        <v>1610</v>
      </c>
      <c r="C103" t="b">
        <v>1</v>
      </c>
      <c r="D103">
        <v>8054</v>
      </c>
      <c r="E103">
        <v>8123</v>
      </c>
      <c r="F103">
        <v>7.6</v>
      </c>
      <c r="G103">
        <v>6.8</v>
      </c>
      <c r="H103">
        <v>1.1176470000000001</v>
      </c>
      <c r="I103">
        <v>-0.11764701499999999</v>
      </c>
      <c r="J103">
        <v>0.47222224000000002</v>
      </c>
    </row>
    <row r="104" spans="1:10" x14ac:dyDescent="0.3">
      <c r="A104">
        <v>102</v>
      </c>
      <c r="B104">
        <v>1626</v>
      </c>
      <c r="C104" t="b">
        <v>1</v>
      </c>
      <c r="D104">
        <v>8054</v>
      </c>
      <c r="E104">
        <v>8129</v>
      </c>
      <c r="F104">
        <v>8</v>
      </c>
      <c r="G104">
        <v>6.8</v>
      </c>
      <c r="H104">
        <v>1.1764705</v>
      </c>
      <c r="I104">
        <v>-0.17647055</v>
      </c>
      <c r="J104">
        <v>0.45945944999999999</v>
      </c>
    </row>
    <row r="105" spans="1:10" x14ac:dyDescent="0.3">
      <c r="A105">
        <v>103</v>
      </c>
      <c r="B105">
        <v>1642</v>
      </c>
      <c r="C105" t="b">
        <v>1</v>
      </c>
      <c r="D105">
        <v>8048</v>
      </c>
      <c r="E105">
        <v>8129</v>
      </c>
      <c r="F105">
        <v>8.4</v>
      </c>
      <c r="G105">
        <v>6.8</v>
      </c>
      <c r="H105">
        <v>1.2352939999999999</v>
      </c>
      <c r="I105">
        <v>-0.23529402999999999</v>
      </c>
      <c r="J105">
        <v>0.44736843999999998</v>
      </c>
    </row>
    <row r="106" spans="1:10" x14ac:dyDescent="0.3">
      <c r="A106">
        <v>104</v>
      </c>
      <c r="B106">
        <v>1658</v>
      </c>
      <c r="C106" t="b">
        <v>1</v>
      </c>
      <c r="D106">
        <v>8048</v>
      </c>
      <c r="E106">
        <v>8134</v>
      </c>
      <c r="F106">
        <v>8.8000000000000007</v>
      </c>
      <c r="G106">
        <v>7.2</v>
      </c>
      <c r="H106">
        <v>1.2222223000000001</v>
      </c>
      <c r="I106">
        <v>-0.22222227999999999</v>
      </c>
      <c r="J106">
        <v>0.45</v>
      </c>
    </row>
    <row r="107" spans="1:10" x14ac:dyDescent="0.3">
      <c r="A107">
        <v>105</v>
      </c>
      <c r="B107">
        <v>1674</v>
      </c>
      <c r="C107" t="b">
        <v>1</v>
      </c>
      <c r="D107">
        <v>8048</v>
      </c>
      <c r="E107">
        <v>8129</v>
      </c>
      <c r="F107">
        <v>8.8000000000000007</v>
      </c>
      <c r="G107">
        <v>7.6</v>
      </c>
      <c r="H107">
        <v>1.1578946999999999</v>
      </c>
      <c r="I107">
        <v>-0.15789478000000001</v>
      </c>
      <c r="J107">
        <v>0.46341463999999999</v>
      </c>
    </row>
    <row r="108" spans="1:10" x14ac:dyDescent="0.3">
      <c r="A108">
        <v>106</v>
      </c>
      <c r="B108">
        <v>1689</v>
      </c>
      <c r="C108" t="b">
        <v>1</v>
      </c>
      <c r="D108">
        <v>8048</v>
      </c>
      <c r="E108">
        <v>8129</v>
      </c>
      <c r="F108">
        <v>8.8000000000000007</v>
      </c>
      <c r="G108">
        <v>8</v>
      </c>
      <c r="H108">
        <v>1.1000000000000001</v>
      </c>
      <c r="I108">
        <v>-0.10000002400000001</v>
      </c>
      <c r="J108">
        <v>0.47619050000000002</v>
      </c>
    </row>
    <row r="109" spans="1:10" x14ac:dyDescent="0.3">
      <c r="A109">
        <v>107</v>
      </c>
      <c r="B109">
        <v>1705</v>
      </c>
      <c r="C109" t="b">
        <v>1</v>
      </c>
      <c r="D109">
        <v>8042</v>
      </c>
      <c r="E109">
        <v>8129</v>
      </c>
      <c r="F109">
        <v>8.8000000000000007</v>
      </c>
      <c r="G109">
        <v>8.4</v>
      </c>
      <c r="H109">
        <v>1.0476190999999999</v>
      </c>
      <c r="I109">
        <v>-4.7619120000000001E-2</v>
      </c>
      <c r="J109">
        <v>0.48837206</v>
      </c>
    </row>
    <row r="110" spans="1:10" x14ac:dyDescent="0.3">
      <c r="A110">
        <v>108</v>
      </c>
      <c r="B110">
        <v>1721</v>
      </c>
      <c r="C110" t="b">
        <v>1</v>
      </c>
      <c r="D110">
        <v>8048</v>
      </c>
      <c r="E110">
        <v>8123</v>
      </c>
      <c r="F110">
        <v>8.8000000000000007</v>
      </c>
      <c r="G110">
        <v>9.1999999999999993</v>
      </c>
      <c r="H110">
        <v>0.95652179999999998</v>
      </c>
      <c r="I110">
        <v>4.3478219999999998E-2</v>
      </c>
      <c r="J110">
        <v>0.51111110000000004</v>
      </c>
    </row>
    <row r="111" spans="1:10" x14ac:dyDescent="0.3">
      <c r="A111">
        <v>109</v>
      </c>
      <c r="B111">
        <v>1737</v>
      </c>
      <c r="C111" t="b">
        <v>1</v>
      </c>
      <c r="D111">
        <v>8048</v>
      </c>
      <c r="E111">
        <v>8123</v>
      </c>
      <c r="F111">
        <v>8.8000000000000007</v>
      </c>
      <c r="G111">
        <v>10</v>
      </c>
      <c r="H111">
        <v>0.88</v>
      </c>
      <c r="I111">
        <v>0.11999998000000001</v>
      </c>
      <c r="J111">
        <v>0.53191489999999997</v>
      </c>
    </row>
    <row r="112" spans="1:10" x14ac:dyDescent="0.3">
      <c r="A112">
        <v>110</v>
      </c>
      <c r="B112">
        <v>1753</v>
      </c>
      <c r="C112" t="b">
        <v>1</v>
      </c>
      <c r="D112">
        <v>8048</v>
      </c>
      <c r="E112">
        <v>8117</v>
      </c>
      <c r="F112">
        <v>9.1999999999999993</v>
      </c>
      <c r="G112">
        <v>10.4</v>
      </c>
      <c r="H112">
        <v>0.88461540000000005</v>
      </c>
      <c r="I112">
        <v>0.1153846</v>
      </c>
      <c r="J112">
        <v>0.53061230000000004</v>
      </c>
    </row>
    <row r="113" spans="1:10" x14ac:dyDescent="0.3">
      <c r="A113">
        <v>111</v>
      </c>
      <c r="B113">
        <v>1769</v>
      </c>
      <c r="C113" t="b">
        <v>1</v>
      </c>
      <c r="D113">
        <v>8054</v>
      </c>
      <c r="E113">
        <v>8129</v>
      </c>
      <c r="F113">
        <v>9.6</v>
      </c>
      <c r="G113">
        <v>10.4</v>
      </c>
      <c r="H113">
        <v>0.92307700000000004</v>
      </c>
      <c r="I113">
        <v>7.6923005000000003E-2</v>
      </c>
      <c r="J113">
        <v>0.52</v>
      </c>
    </row>
    <row r="114" spans="1:10" x14ac:dyDescent="0.3">
      <c r="A114">
        <v>112</v>
      </c>
      <c r="B114">
        <v>1785</v>
      </c>
      <c r="C114" t="b">
        <v>1</v>
      </c>
      <c r="D114">
        <v>8048</v>
      </c>
      <c r="E114">
        <v>8123</v>
      </c>
      <c r="F114">
        <v>10</v>
      </c>
      <c r="G114">
        <v>10.4</v>
      </c>
      <c r="H114">
        <v>0.96153849999999996</v>
      </c>
      <c r="I114">
        <v>3.8461503000000001E-2</v>
      </c>
      <c r="J114">
        <v>0.50980389999999998</v>
      </c>
    </row>
    <row r="115" spans="1:10" x14ac:dyDescent="0.3">
      <c r="A115">
        <v>113</v>
      </c>
      <c r="B115">
        <v>1800</v>
      </c>
      <c r="C115" t="b">
        <v>1</v>
      </c>
      <c r="D115">
        <v>8054</v>
      </c>
      <c r="E115">
        <v>8117</v>
      </c>
      <c r="F115">
        <v>10</v>
      </c>
      <c r="G115">
        <v>10.4</v>
      </c>
      <c r="H115">
        <v>0.96153849999999996</v>
      </c>
      <c r="I115">
        <v>3.8461503000000001E-2</v>
      </c>
      <c r="J115">
        <v>0.50980389999999998</v>
      </c>
    </row>
    <row r="116" spans="1:10" x14ac:dyDescent="0.3">
      <c r="A116">
        <v>114</v>
      </c>
      <c r="B116">
        <v>1816</v>
      </c>
      <c r="C116" t="b">
        <v>1</v>
      </c>
      <c r="D116">
        <v>8042</v>
      </c>
      <c r="E116">
        <v>8123</v>
      </c>
      <c r="F116">
        <v>10</v>
      </c>
      <c r="G116">
        <v>10.4</v>
      </c>
      <c r="H116">
        <v>0.96153849999999996</v>
      </c>
      <c r="I116">
        <v>3.8461503000000001E-2</v>
      </c>
      <c r="J116">
        <v>0.50980389999999998</v>
      </c>
    </row>
    <row r="117" spans="1:10" x14ac:dyDescent="0.3">
      <c r="A117">
        <v>115</v>
      </c>
      <c r="B117">
        <v>1832</v>
      </c>
      <c r="C117" t="b">
        <v>1</v>
      </c>
      <c r="D117">
        <v>8048</v>
      </c>
      <c r="E117">
        <v>8123</v>
      </c>
      <c r="F117">
        <v>9.6</v>
      </c>
      <c r="G117">
        <v>10.4</v>
      </c>
      <c r="H117">
        <v>0.92307700000000004</v>
      </c>
      <c r="I117">
        <v>7.6923005000000003E-2</v>
      </c>
      <c r="J117">
        <v>0.52</v>
      </c>
    </row>
    <row r="118" spans="1:10" x14ac:dyDescent="0.3">
      <c r="A118">
        <v>116</v>
      </c>
      <c r="B118">
        <v>1848</v>
      </c>
      <c r="C118" t="b">
        <v>1</v>
      </c>
      <c r="D118">
        <v>8048</v>
      </c>
      <c r="E118">
        <v>8123</v>
      </c>
      <c r="F118">
        <v>9.1999999999999993</v>
      </c>
      <c r="G118">
        <v>10.4</v>
      </c>
      <c r="H118">
        <v>0.88461540000000005</v>
      </c>
      <c r="I118">
        <v>0.1153846</v>
      </c>
      <c r="J118">
        <v>0.53061230000000004</v>
      </c>
    </row>
    <row r="119" spans="1:10" x14ac:dyDescent="0.3">
      <c r="A119">
        <v>117</v>
      </c>
      <c r="B119">
        <v>1864</v>
      </c>
      <c r="C119" t="b">
        <v>1</v>
      </c>
      <c r="D119">
        <v>8048</v>
      </c>
      <c r="E119">
        <v>8123</v>
      </c>
      <c r="F119">
        <v>8.8000000000000007</v>
      </c>
      <c r="G119">
        <v>10.4</v>
      </c>
      <c r="H119">
        <v>0.84615390000000001</v>
      </c>
      <c r="I119">
        <v>0.15384610000000001</v>
      </c>
      <c r="J119">
        <v>0.5416666</v>
      </c>
    </row>
    <row r="120" spans="1:10" x14ac:dyDescent="0.3">
      <c r="A120">
        <v>118</v>
      </c>
      <c r="B120">
        <v>1880</v>
      </c>
      <c r="C120" t="b">
        <v>1</v>
      </c>
      <c r="D120">
        <v>8048</v>
      </c>
      <c r="E120">
        <v>8123</v>
      </c>
      <c r="F120">
        <v>8.4</v>
      </c>
      <c r="G120">
        <v>10.4</v>
      </c>
      <c r="H120">
        <v>0.80769230000000003</v>
      </c>
      <c r="I120">
        <v>0.1923077</v>
      </c>
      <c r="J120">
        <v>0.55319149999999995</v>
      </c>
    </row>
    <row r="121" spans="1:10" x14ac:dyDescent="0.3">
      <c r="A121">
        <v>119</v>
      </c>
      <c r="B121">
        <v>1896</v>
      </c>
      <c r="C121" t="b">
        <v>1</v>
      </c>
      <c r="D121">
        <v>8042</v>
      </c>
      <c r="E121">
        <v>8134</v>
      </c>
      <c r="F121">
        <v>8</v>
      </c>
      <c r="G121">
        <v>10</v>
      </c>
      <c r="H121">
        <v>0.8</v>
      </c>
      <c r="I121">
        <v>0.2</v>
      </c>
      <c r="J121">
        <v>0.55555560000000004</v>
      </c>
    </row>
    <row r="122" spans="1:10" x14ac:dyDescent="0.3">
      <c r="A122">
        <v>120</v>
      </c>
      <c r="B122">
        <v>1912</v>
      </c>
      <c r="C122" t="b">
        <v>1</v>
      </c>
      <c r="D122">
        <v>8048</v>
      </c>
      <c r="E122">
        <v>8123</v>
      </c>
      <c r="F122">
        <v>8</v>
      </c>
      <c r="G122">
        <v>9.6</v>
      </c>
      <c r="H122">
        <v>0.83333330000000005</v>
      </c>
      <c r="I122">
        <v>0.1666667</v>
      </c>
      <c r="J122">
        <v>0.54545456000000003</v>
      </c>
    </row>
    <row r="123" spans="1:10" x14ac:dyDescent="0.3">
      <c r="A123">
        <v>121</v>
      </c>
      <c r="B123">
        <v>1928</v>
      </c>
      <c r="C123" t="b">
        <v>1</v>
      </c>
      <c r="D123">
        <v>8042</v>
      </c>
      <c r="E123">
        <v>8123</v>
      </c>
      <c r="F123">
        <v>8</v>
      </c>
      <c r="G123">
        <v>9.1999999999999993</v>
      </c>
      <c r="H123">
        <v>0.86956524999999996</v>
      </c>
      <c r="I123">
        <v>0.13043477000000001</v>
      </c>
      <c r="J123">
        <v>0.53488369999999996</v>
      </c>
    </row>
    <row r="124" spans="1:10" x14ac:dyDescent="0.3">
      <c r="A124">
        <v>122</v>
      </c>
      <c r="B124">
        <v>1944</v>
      </c>
      <c r="C124" t="b">
        <v>1</v>
      </c>
      <c r="D124">
        <v>8048</v>
      </c>
      <c r="E124">
        <v>8123</v>
      </c>
      <c r="F124">
        <v>8</v>
      </c>
      <c r="G124">
        <v>8.8000000000000007</v>
      </c>
      <c r="H124">
        <v>0.90909090000000004</v>
      </c>
      <c r="I124">
        <v>9.0909110000000001E-2</v>
      </c>
      <c r="J124">
        <v>0.52380954999999996</v>
      </c>
    </row>
    <row r="125" spans="1:10" x14ac:dyDescent="0.3">
      <c r="A125">
        <v>123</v>
      </c>
      <c r="B125">
        <v>1959</v>
      </c>
      <c r="C125" t="b">
        <v>1</v>
      </c>
      <c r="D125">
        <v>8048</v>
      </c>
      <c r="E125">
        <v>8123</v>
      </c>
      <c r="F125">
        <v>8</v>
      </c>
      <c r="G125">
        <v>8.4</v>
      </c>
      <c r="H125">
        <v>0.95238100000000003</v>
      </c>
      <c r="I125">
        <v>4.7619003999999999E-2</v>
      </c>
      <c r="J125">
        <v>0.51219510000000001</v>
      </c>
    </row>
    <row r="126" spans="1:10" x14ac:dyDescent="0.3">
      <c r="A126">
        <v>124</v>
      </c>
      <c r="B126">
        <v>1975</v>
      </c>
      <c r="C126" t="b">
        <v>1</v>
      </c>
      <c r="D126">
        <v>8048</v>
      </c>
      <c r="E126">
        <v>8123</v>
      </c>
      <c r="F126">
        <v>8</v>
      </c>
      <c r="G126">
        <v>8</v>
      </c>
      <c r="H126">
        <v>1</v>
      </c>
      <c r="I126">
        <v>0</v>
      </c>
      <c r="J126">
        <v>0.5</v>
      </c>
    </row>
    <row r="127" spans="1:10" x14ac:dyDescent="0.3">
      <c r="A127">
        <v>125</v>
      </c>
      <c r="B127">
        <v>1991</v>
      </c>
      <c r="C127" t="b">
        <v>1</v>
      </c>
      <c r="D127">
        <v>8042</v>
      </c>
      <c r="E127">
        <v>8123</v>
      </c>
      <c r="F127">
        <v>8</v>
      </c>
      <c r="G127">
        <v>8</v>
      </c>
      <c r="H127">
        <v>1</v>
      </c>
      <c r="I127">
        <v>0</v>
      </c>
      <c r="J127">
        <v>0.5</v>
      </c>
    </row>
    <row r="128" spans="1:10" x14ac:dyDescent="0.3">
      <c r="A128">
        <v>126</v>
      </c>
      <c r="B128">
        <v>2007</v>
      </c>
      <c r="C128" t="b">
        <v>1</v>
      </c>
      <c r="D128">
        <v>8048</v>
      </c>
      <c r="E128">
        <v>8123</v>
      </c>
      <c r="F128">
        <v>8</v>
      </c>
      <c r="G128">
        <v>8</v>
      </c>
      <c r="H128">
        <v>1</v>
      </c>
      <c r="I128">
        <v>0</v>
      </c>
      <c r="J128">
        <v>0.5</v>
      </c>
    </row>
    <row r="129" spans="1:10" x14ac:dyDescent="0.3">
      <c r="A129">
        <v>127</v>
      </c>
      <c r="B129">
        <v>2023</v>
      </c>
      <c r="C129" t="b">
        <v>1</v>
      </c>
      <c r="D129">
        <v>8048</v>
      </c>
      <c r="E129">
        <v>8117</v>
      </c>
      <c r="F129">
        <v>8</v>
      </c>
      <c r="G129">
        <v>8</v>
      </c>
      <c r="H129">
        <v>1</v>
      </c>
      <c r="I129">
        <v>0</v>
      </c>
      <c r="J129">
        <v>0.5</v>
      </c>
    </row>
    <row r="130" spans="1:10" x14ac:dyDescent="0.3">
      <c r="A130">
        <v>128</v>
      </c>
      <c r="B130">
        <v>2039</v>
      </c>
      <c r="C130" t="b">
        <v>1</v>
      </c>
      <c r="D130">
        <v>8048</v>
      </c>
      <c r="E130">
        <v>8117</v>
      </c>
      <c r="F130">
        <v>8</v>
      </c>
      <c r="G130">
        <v>8</v>
      </c>
      <c r="H130">
        <v>1</v>
      </c>
      <c r="I130">
        <v>0</v>
      </c>
      <c r="J130">
        <v>0.5</v>
      </c>
    </row>
    <row r="131" spans="1:10" x14ac:dyDescent="0.3">
      <c r="A131">
        <v>129</v>
      </c>
      <c r="B131">
        <v>2055</v>
      </c>
      <c r="C131" t="b">
        <v>1</v>
      </c>
      <c r="D131">
        <v>8048</v>
      </c>
      <c r="E131">
        <v>8123</v>
      </c>
      <c r="F131">
        <v>8</v>
      </c>
      <c r="G131">
        <v>8</v>
      </c>
      <c r="H131">
        <v>1</v>
      </c>
      <c r="I131">
        <v>0</v>
      </c>
      <c r="J131">
        <v>0.5</v>
      </c>
    </row>
    <row r="132" spans="1:10" x14ac:dyDescent="0.3">
      <c r="A132">
        <v>130</v>
      </c>
      <c r="B132">
        <v>2070</v>
      </c>
      <c r="C132" t="b">
        <v>1</v>
      </c>
      <c r="D132">
        <v>8048</v>
      </c>
      <c r="E132">
        <v>8117</v>
      </c>
      <c r="F132">
        <v>8</v>
      </c>
      <c r="G132">
        <v>7.6</v>
      </c>
      <c r="H132">
        <v>1.0526316</v>
      </c>
      <c r="I132">
        <v>-5.2631589999999999E-2</v>
      </c>
      <c r="J132">
        <v>0.48717946000000001</v>
      </c>
    </row>
    <row r="133" spans="1:10" x14ac:dyDescent="0.3">
      <c r="A133">
        <v>131</v>
      </c>
      <c r="B133">
        <v>2086</v>
      </c>
      <c r="C133" t="b">
        <v>1</v>
      </c>
      <c r="D133">
        <v>8042</v>
      </c>
      <c r="E133">
        <v>8117</v>
      </c>
      <c r="F133">
        <v>8</v>
      </c>
      <c r="G133">
        <v>7.2</v>
      </c>
      <c r="H133">
        <v>1.1111112000000001</v>
      </c>
      <c r="I133">
        <v>-0.11111114</v>
      </c>
      <c r="J133">
        <v>0.4736842</v>
      </c>
    </row>
    <row r="134" spans="1:10" x14ac:dyDescent="0.3">
      <c r="A134">
        <v>132</v>
      </c>
      <c r="B134">
        <v>2102</v>
      </c>
      <c r="C134" t="b">
        <v>1</v>
      </c>
      <c r="D134">
        <v>8048</v>
      </c>
      <c r="E134">
        <v>8123</v>
      </c>
      <c r="F134">
        <v>8</v>
      </c>
      <c r="G134">
        <v>6.8</v>
      </c>
      <c r="H134">
        <v>1.1764705</v>
      </c>
      <c r="I134">
        <v>-0.17647055</v>
      </c>
      <c r="J134">
        <v>0.45945944999999999</v>
      </c>
    </row>
    <row r="135" spans="1:10" x14ac:dyDescent="0.3">
      <c r="A135">
        <v>133</v>
      </c>
      <c r="B135">
        <v>2118</v>
      </c>
      <c r="C135" t="b">
        <v>1</v>
      </c>
      <c r="D135">
        <v>8042</v>
      </c>
      <c r="E135">
        <v>8123</v>
      </c>
      <c r="F135">
        <v>8</v>
      </c>
      <c r="G135">
        <v>6.8</v>
      </c>
      <c r="H135">
        <v>1.1764705</v>
      </c>
      <c r="I135">
        <v>-0.17647055</v>
      </c>
      <c r="J135">
        <v>0.45945944999999999</v>
      </c>
    </row>
    <row r="136" spans="1:10" x14ac:dyDescent="0.3">
      <c r="A136">
        <v>134</v>
      </c>
      <c r="B136">
        <v>2134</v>
      </c>
      <c r="C136" t="b">
        <v>1</v>
      </c>
      <c r="D136">
        <v>8042</v>
      </c>
      <c r="E136">
        <v>8123</v>
      </c>
      <c r="F136">
        <v>7.6</v>
      </c>
      <c r="G136">
        <v>6.8</v>
      </c>
      <c r="H136">
        <v>1.1176470000000001</v>
      </c>
      <c r="I136">
        <v>-0.11764701499999999</v>
      </c>
      <c r="J136">
        <v>0.47222224000000002</v>
      </c>
    </row>
    <row r="137" spans="1:10" x14ac:dyDescent="0.3">
      <c r="A137">
        <v>135</v>
      </c>
      <c r="B137">
        <v>2150</v>
      </c>
      <c r="C137" t="b">
        <v>1</v>
      </c>
      <c r="D137">
        <v>8054</v>
      </c>
      <c r="E137">
        <v>8123</v>
      </c>
      <c r="F137">
        <v>7.2</v>
      </c>
      <c r="G137">
        <v>6.8</v>
      </c>
      <c r="H137">
        <v>1.0588234999999999</v>
      </c>
      <c r="I137">
        <v>-5.8823470000000003E-2</v>
      </c>
      <c r="J137">
        <v>0.48571429999999999</v>
      </c>
    </row>
    <row r="138" spans="1:10" x14ac:dyDescent="0.3">
      <c r="A138">
        <v>136</v>
      </c>
      <c r="B138">
        <v>2166</v>
      </c>
      <c r="C138" t="b">
        <v>1</v>
      </c>
      <c r="D138">
        <v>8054</v>
      </c>
      <c r="E138">
        <v>8123</v>
      </c>
      <c r="F138">
        <v>7.2</v>
      </c>
      <c r="G138">
        <v>6.8</v>
      </c>
      <c r="H138">
        <v>1.0588234999999999</v>
      </c>
      <c r="I138">
        <v>-5.8823470000000003E-2</v>
      </c>
      <c r="J138">
        <v>0.48571429999999999</v>
      </c>
    </row>
    <row r="139" spans="1:10" x14ac:dyDescent="0.3">
      <c r="A139">
        <v>137</v>
      </c>
      <c r="B139">
        <v>2182</v>
      </c>
      <c r="C139" t="b">
        <v>1</v>
      </c>
      <c r="D139">
        <v>8054</v>
      </c>
      <c r="E139">
        <v>8123</v>
      </c>
      <c r="F139">
        <v>7.6</v>
      </c>
      <c r="G139">
        <v>6.8</v>
      </c>
      <c r="H139">
        <v>1.1176470000000001</v>
      </c>
      <c r="I139">
        <v>-0.11764701499999999</v>
      </c>
      <c r="J139">
        <v>0.47222224000000002</v>
      </c>
    </row>
    <row r="140" spans="1:10" x14ac:dyDescent="0.3">
      <c r="A140">
        <v>138</v>
      </c>
      <c r="B140">
        <v>2198</v>
      </c>
      <c r="C140" t="b">
        <v>1</v>
      </c>
      <c r="D140">
        <v>8054</v>
      </c>
      <c r="E140">
        <v>8123</v>
      </c>
      <c r="F140">
        <v>8</v>
      </c>
      <c r="G140">
        <v>6.8</v>
      </c>
      <c r="H140">
        <v>1.1764705</v>
      </c>
      <c r="I140">
        <v>-0.17647055</v>
      </c>
      <c r="J140">
        <v>0.45945944999999999</v>
      </c>
    </row>
    <row r="141" spans="1:10" x14ac:dyDescent="0.3">
      <c r="A141">
        <v>139</v>
      </c>
      <c r="B141">
        <v>2214</v>
      </c>
      <c r="C141" t="b">
        <v>1</v>
      </c>
      <c r="D141">
        <v>8054</v>
      </c>
      <c r="E141">
        <v>8123</v>
      </c>
      <c r="F141">
        <v>8.4</v>
      </c>
      <c r="G141">
        <v>6.8</v>
      </c>
      <c r="H141">
        <v>1.2352939999999999</v>
      </c>
      <c r="I141">
        <v>-0.23529402999999999</v>
      </c>
      <c r="J141">
        <v>0.44736843999999998</v>
      </c>
    </row>
    <row r="142" spans="1:10" x14ac:dyDescent="0.3">
      <c r="A142">
        <v>140</v>
      </c>
      <c r="B142">
        <v>2230</v>
      </c>
      <c r="C142" t="b">
        <v>1</v>
      </c>
      <c r="D142">
        <v>8054</v>
      </c>
      <c r="E142">
        <v>8123</v>
      </c>
      <c r="F142">
        <v>8.8000000000000007</v>
      </c>
      <c r="G142">
        <v>6.8</v>
      </c>
      <c r="H142">
        <v>1.2941176999999999</v>
      </c>
      <c r="I142">
        <v>-0.29411763000000002</v>
      </c>
      <c r="J142">
        <v>0.43589744000000002</v>
      </c>
    </row>
    <row r="143" spans="1:10" x14ac:dyDescent="0.3">
      <c r="A143">
        <v>141</v>
      </c>
      <c r="B143">
        <v>2246</v>
      </c>
      <c r="C143" t="b">
        <v>1</v>
      </c>
      <c r="D143">
        <v>8048</v>
      </c>
      <c r="E143">
        <v>8123</v>
      </c>
      <c r="F143">
        <v>9.1999999999999993</v>
      </c>
      <c r="G143">
        <v>6.8</v>
      </c>
      <c r="H143">
        <v>1.3529412000000001</v>
      </c>
      <c r="I143">
        <v>-0.35294110000000001</v>
      </c>
      <c r="J143">
        <v>0.42499999999999999</v>
      </c>
    </row>
    <row r="144" spans="1:10" x14ac:dyDescent="0.3">
      <c r="A144">
        <v>142</v>
      </c>
      <c r="B144">
        <v>2261</v>
      </c>
      <c r="C144" t="b">
        <v>1</v>
      </c>
      <c r="D144">
        <v>8048</v>
      </c>
      <c r="E144">
        <v>8123</v>
      </c>
      <c r="F144">
        <v>9.6</v>
      </c>
      <c r="G144">
        <v>6.8</v>
      </c>
      <c r="H144">
        <v>1.4117647</v>
      </c>
      <c r="I144">
        <v>-0.41176469999999998</v>
      </c>
      <c r="J144">
        <v>0.41463410000000001</v>
      </c>
    </row>
    <row r="145" spans="1:10" x14ac:dyDescent="0.3">
      <c r="A145">
        <v>143</v>
      </c>
      <c r="B145">
        <v>2277</v>
      </c>
      <c r="C145" t="b">
        <v>1</v>
      </c>
      <c r="D145">
        <v>8048</v>
      </c>
      <c r="E145">
        <v>8123</v>
      </c>
      <c r="F145">
        <v>9.6</v>
      </c>
      <c r="G145">
        <v>6.8</v>
      </c>
      <c r="H145">
        <v>1.4117647</v>
      </c>
      <c r="I145">
        <v>-0.41176469999999998</v>
      </c>
      <c r="J145">
        <v>0.41463410000000001</v>
      </c>
    </row>
    <row r="146" spans="1:10" x14ac:dyDescent="0.3">
      <c r="A146">
        <v>144</v>
      </c>
      <c r="B146">
        <v>2293</v>
      </c>
      <c r="C146" t="b">
        <v>1</v>
      </c>
      <c r="D146">
        <v>8048</v>
      </c>
      <c r="E146">
        <v>8123</v>
      </c>
      <c r="F146">
        <v>9.6</v>
      </c>
      <c r="G146">
        <v>6.8</v>
      </c>
      <c r="H146">
        <v>1.4117647</v>
      </c>
      <c r="I146">
        <v>-0.41176469999999998</v>
      </c>
      <c r="J146">
        <v>0.41463410000000001</v>
      </c>
    </row>
    <row r="147" spans="1:10" x14ac:dyDescent="0.3">
      <c r="A147">
        <v>145</v>
      </c>
      <c r="B147">
        <v>2309</v>
      </c>
      <c r="C147" t="b">
        <v>1</v>
      </c>
      <c r="D147">
        <v>8048</v>
      </c>
      <c r="E147">
        <v>8117</v>
      </c>
      <c r="F147">
        <v>9.6</v>
      </c>
      <c r="G147">
        <v>7.2</v>
      </c>
      <c r="H147">
        <v>1.3333333999999999</v>
      </c>
      <c r="I147">
        <v>-0.33333342999999999</v>
      </c>
      <c r="J147">
        <v>0.42857142999999998</v>
      </c>
    </row>
    <row r="148" spans="1:10" x14ac:dyDescent="0.3">
      <c r="A148">
        <v>146</v>
      </c>
      <c r="B148">
        <v>2325</v>
      </c>
      <c r="C148" t="b">
        <v>1</v>
      </c>
      <c r="D148">
        <v>8048</v>
      </c>
      <c r="E148">
        <v>8123</v>
      </c>
      <c r="F148">
        <v>9.6</v>
      </c>
      <c r="G148">
        <v>7.6</v>
      </c>
      <c r="H148">
        <v>1.263158</v>
      </c>
      <c r="I148">
        <v>-0.26315796000000002</v>
      </c>
      <c r="J148">
        <v>0.44186044000000002</v>
      </c>
    </row>
    <row r="149" spans="1:10" x14ac:dyDescent="0.3">
      <c r="A149">
        <v>147</v>
      </c>
      <c r="B149">
        <v>2341</v>
      </c>
      <c r="C149" t="b">
        <v>1</v>
      </c>
      <c r="D149">
        <v>8048</v>
      </c>
      <c r="E149">
        <v>8117</v>
      </c>
      <c r="F149">
        <v>9.6</v>
      </c>
      <c r="G149">
        <v>8</v>
      </c>
      <c r="H149">
        <v>1.2</v>
      </c>
      <c r="I149">
        <v>-0.20000005000000001</v>
      </c>
      <c r="J149">
        <v>0.45454544000000002</v>
      </c>
    </row>
    <row r="150" spans="1:10" x14ac:dyDescent="0.3">
      <c r="A150">
        <v>148</v>
      </c>
      <c r="B150">
        <v>2357</v>
      </c>
      <c r="C150" t="b">
        <v>1</v>
      </c>
      <c r="D150">
        <v>8048</v>
      </c>
      <c r="E150">
        <v>8123</v>
      </c>
      <c r="F150">
        <v>9.6</v>
      </c>
      <c r="G150">
        <v>8</v>
      </c>
      <c r="H150">
        <v>1.2</v>
      </c>
      <c r="I150">
        <v>-0.20000005000000001</v>
      </c>
      <c r="J150">
        <v>0.45454544000000002</v>
      </c>
    </row>
    <row r="151" spans="1:10" x14ac:dyDescent="0.3">
      <c r="A151">
        <v>149</v>
      </c>
      <c r="B151">
        <v>2373</v>
      </c>
      <c r="C151" t="b">
        <v>1</v>
      </c>
      <c r="D151">
        <v>8042</v>
      </c>
      <c r="E151">
        <v>8117</v>
      </c>
      <c r="F151">
        <v>10</v>
      </c>
      <c r="G151">
        <v>7.6</v>
      </c>
      <c r="H151">
        <v>1.3157894999999999</v>
      </c>
      <c r="I151">
        <v>-0.3157895</v>
      </c>
      <c r="J151">
        <v>0.43181816000000001</v>
      </c>
    </row>
    <row r="152" spans="1:10" x14ac:dyDescent="0.3">
      <c r="A152">
        <v>150</v>
      </c>
      <c r="B152">
        <v>2388</v>
      </c>
      <c r="C152" t="b">
        <v>1</v>
      </c>
      <c r="D152">
        <v>8048</v>
      </c>
      <c r="E152">
        <v>8123</v>
      </c>
      <c r="F152">
        <v>10.4</v>
      </c>
      <c r="G152">
        <v>7.6</v>
      </c>
      <c r="H152">
        <v>1.3684210999999999</v>
      </c>
      <c r="I152">
        <v>-0.36842101999999999</v>
      </c>
      <c r="J152">
        <v>0.42222222999999998</v>
      </c>
    </row>
    <row r="153" spans="1:10" x14ac:dyDescent="0.3">
      <c r="A153">
        <v>151</v>
      </c>
      <c r="B153">
        <v>2404</v>
      </c>
      <c r="C153" t="b">
        <v>1</v>
      </c>
      <c r="D153">
        <v>8048</v>
      </c>
      <c r="E153">
        <v>8117</v>
      </c>
      <c r="F153">
        <v>10.4</v>
      </c>
      <c r="G153">
        <v>7.2</v>
      </c>
      <c r="H153">
        <v>1.4444444000000001</v>
      </c>
      <c r="I153">
        <v>-0.44444442000000001</v>
      </c>
      <c r="J153">
        <v>0.40909094000000001</v>
      </c>
    </row>
    <row r="154" spans="1:10" x14ac:dyDescent="0.3">
      <c r="A154">
        <v>152</v>
      </c>
      <c r="B154">
        <v>2420</v>
      </c>
      <c r="C154" t="b">
        <v>1</v>
      </c>
      <c r="D154">
        <v>8048</v>
      </c>
      <c r="E154">
        <v>8117</v>
      </c>
      <c r="F154">
        <v>10</v>
      </c>
      <c r="G154">
        <v>6.8</v>
      </c>
      <c r="H154">
        <v>1.4705881999999999</v>
      </c>
      <c r="I154">
        <v>-0.47058820000000001</v>
      </c>
      <c r="J154">
        <v>0.40476193999999999</v>
      </c>
    </row>
    <row r="155" spans="1:10" x14ac:dyDescent="0.3">
      <c r="A155">
        <v>153</v>
      </c>
      <c r="B155">
        <v>2436</v>
      </c>
      <c r="C155" t="b">
        <v>1</v>
      </c>
      <c r="D155">
        <v>8048</v>
      </c>
      <c r="E155">
        <v>8117</v>
      </c>
      <c r="F155">
        <v>9.6</v>
      </c>
      <c r="G155">
        <v>6.4</v>
      </c>
      <c r="H155">
        <v>1.5</v>
      </c>
      <c r="I155">
        <v>-0.50000005999999997</v>
      </c>
      <c r="J155">
        <v>0.4</v>
      </c>
    </row>
    <row r="156" spans="1:10" x14ac:dyDescent="0.3">
      <c r="A156">
        <v>154</v>
      </c>
      <c r="B156">
        <v>2452</v>
      </c>
      <c r="C156" t="b">
        <v>1</v>
      </c>
      <c r="D156">
        <v>8054</v>
      </c>
      <c r="E156">
        <v>8117</v>
      </c>
      <c r="F156">
        <v>9.1999999999999993</v>
      </c>
      <c r="G156">
        <v>6</v>
      </c>
      <c r="H156">
        <v>1.5333333</v>
      </c>
      <c r="I156">
        <v>-0.53333330000000001</v>
      </c>
      <c r="J156">
        <v>0.39473686000000002</v>
      </c>
    </row>
    <row r="157" spans="1:10" x14ac:dyDescent="0.3">
      <c r="A157">
        <v>155</v>
      </c>
      <c r="B157">
        <v>2468</v>
      </c>
      <c r="C157" t="b">
        <v>1</v>
      </c>
      <c r="D157">
        <v>8054</v>
      </c>
      <c r="E157">
        <v>8117</v>
      </c>
      <c r="F157">
        <v>8.8000000000000007</v>
      </c>
      <c r="G157">
        <v>5.6</v>
      </c>
      <c r="H157">
        <v>1.5714287</v>
      </c>
      <c r="I157">
        <v>-0.57142866000000003</v>
      </c>
      <c r="J157">
        <v>0.38888889999999998</v>
      </c>
    </row>
    <row r="158" spans="1:10" x14ac:dyDescent="0.3">
      <c r="A158">
        <v>156</v>
      </c>
      <c r="B158">
        <v>2483</v>
      </c>
      <c r="C158" t="b">
        <v>1</v>
      </c>
      <c r="D158">
        <v>8060</v>
      </c>
      <c r="E158">
        <v>8117</v>
      </c>
      <c r="F158">
        <v>8.8000000000000007</v>
      </c>
      <c r="G158">
        <v>5.2</v>
      </c>
      <c r="H158">
        <v>1.6923078</v>
      </c>
      <c r="I158">
        <v>-0.69230780000000003</v>
      </c>
      <c r="J158">
        <v>0.37142855000000002</v>
      </c>
    </row>
    <row r="159" spans="1:10" x14ac:dyDescent="0.3">
      <c r="A159">
        <v>157</v>
      </c>
      <c r="B159">
        <v>2499</v>
      </c>
      <c r="C159" t="b">
        <v>1</v>
      </c>
      <c r="D159">
        <v>8054</v>
      </c>
      <c r="E159">
        <v>8123</v>
      </c>
      <c r="F159">
        <v>8.8000000000000007</v>
      </c>
      <c r="G159">
        <v>4.8</v>
      </c>
      <c r="H159">
        <v>1.8333333000000001</v>
      </c>
      <c r="I159">
        <v>-0.83333330000000005</v>
      </c>
      <c r="J159">
        <v>0.35294120000000001</v>
      </c>
    </row>
    <row r="160" spans="1:10" x14ac:dyDescent="0.3">
      <c r="A160">
        <v>158</v>
      </c>
      <c r="B160">
        <v>2515</v>
      </c>
      <c r="C160" t="b">
        <v>1</v>
      </c>
      <c r="D160">
        <v>8054</v>
      </c>
      <c r="E160">
        <v>8123</v>
      </c>
      <c r="F160">
        <v>9.1999999999999993</v>
      </c>
      <c r="G160">
        <v>4.4000000000000004</v>
      </c>
      <c r="H160">
        <v>2.0909089999999999</v>
      </c>
      <c r="I160">
        <v>-1.0909089999999999</v>
      </c>
      <c r="J160">
        <v>0.32352942000000001</v>
      </c>
    </row>
    <row r="161" spans="1:10" x14ac:dyDescent="0.3">
      <c r="A161">
        <v>159</v>
      </c>
      <c r="B161">
        <v>2531</v>
      </c>
      <c r="C161" t="b">
        <v>1</v>
      </c>
      <c r="D161">
        <v>8054</v>
      </c>
      <c r="E161">
        <v>8123</v>
      </c>
      <c r="F161">
        <v>9.6</v>
      </c>
      <c r="G161">
        <v>4.4000000000000004</v>
      </c>
      <c r="H161">
        <v>2.1818181999999999</v>
      </c>
      <c r="I161">
        <v>-1.1818181999999999</v>
      </c>
      <c r="J161">
        <v>0.31428572999999999</v>
      </c>
    </row>
    <row r="162" spans="1:10" x14ac:dyDescent="0.3">
      <c r="A162">
        <v>160</v>
      </c>
      <c r="B162">
        <v>2547</v>
      </c>
      <c r="C162" t="b">
        <v>1</v>
      </c>
      <c r="D162">
        <v>8048</v>
      </c>
      <c r="E162">
        <v>8129</v>
      </c>
      <c r="F162">
        <v>10</v>
      </c>
      <c r="G162">
        <v>4.4000000000000004</v>
      </c>
      <c r="H162">
        <v>2.2727273000000001</v>
      </c>
      <c r="I162">
        <v>-1.2727272999999999</v>
      </c>
      <c r="J162">
        <v>0.30555557999999999</v>
      </c>
    </row>
    <row r="163" spans="1:10" x14ac:dyDescent="0.3">
      <c r="A163">
        <v>161</v>
      </c>
      <c r="B163">
        <v>2563</v>
      </c>
      <c r="C163" t="b">
        <v>1</v>
      </c>
      <c r="D163">
        <v>8048</v>
      </c>
      <c r="E163">
        <v>8123</v>
      </c>
      <c r="F163">
        <v>10.4</v>
      </c>
      <c r="G163">
        <v>4.4000000000000004</v>
      </c>
      <c r="H163">
        <v>2.3636363</v>
      </c>
      <c r="I163">
        <v>-1.3636363</v>
      </c>
      <c r="J163">
        <v>0.29729733000000003</v>
      </c>
    </row>
    <row r="164" spans="1:10" x14ac:dyDescent="0.3">
      <c r="A164">
        <v>162</v>
      </c>
      <c r="B164">
        <v>2579</v>
      </c>
      <c r="C164" t="b">
        <v>1</v>
      </c>
      <c r="D164">
        <v>8042</v>
      </c>
      <c r="E164">
        <v>8123</v>
      </c>
      <c r="F164">
        <v>10.4</v>
      </c>
      <c r="G164">
        <v>4.4000000000000004</v>
      </c>
      <c r="H164">
        <v>2.3636363</v>
      </c>
      <c r="I164">
        <v>-1.3636363</v>
      </c>
      <c r="J164">
        <v>0.29729733000000003</v>
      </c>
    </row>
    <row r="165" spans="1:10" x14ac:dyDescent="0.3">
      <c r="A165">
        <v>163</v>
      </c>
      <c r="B165">
        <v>2595</v>
      </c>
      <c r="C165" t="b">
        <v>1</v>
      </c>
      <c r="D165">
        <v>8042</v>
      </c>
      <c r="E165">
        <v>8123</v>
      </c>
      <c r="F165">
        <v>10.4</v>
      </c>
      <c r="G165">
        <v>4.4000000000000004</v>
      </c>
      <c r="H165">
        <v>2.3636363</v>
      </c>
      <c r="I165">
        <v>-1.3636363</v>
      </c>
      <c r="J165">
        <v>0.29729733000000003</v>
      </c>
    </row>
    <row r="166" spans="1:10" x14ac:dyDescent="0.3">
      <c r="A166">
        <v>164</v>
      </c>
      <c r="B166">
        <v>2611</v>
      </c>
      <c r="C166" t="b">
        <v>1</v>
      </c>
      <c r="D166">
        <v>8048</v>
      </c>
      <c r="E166">
        <v>8123</v>
      </c>
      <c r="F166">
        <v>10.4</v>
      </c>
      <c r="G166">
        <v>4.8</v>
      </c>
      <c r="H166">
        <v>2.1666664999999998</v>
      </c>
      <c r="I166">
        <v>-1.1666665000000001</v>
      </c>
      <c r="J166">
        <v>0.3157895</v>
      </c>
    </row>
    <row r="167" spans="1:10" x14ac:dyDescent="0.3">
      <c r="A167">
        <v>165</v>
      </c>
      <c r="B167">
        <v>2627</v>
      </c>
      <c r="C167" t="b">
        <v>1</v>
      </c>
      <c r="D167">
        <v>8042</v>
      </c>
      <c r="E167">
        <v>8123</v>
      </c>
      <c r="F167">
        <v>10</v>
      </c>
      <c r="G167">
        <v>4.8</v>
      </c>
      <c r="H167">
        <v>2.0833333000000001</v>
      </c>
      <c r="I167">
        <v>-1.0833333000000001</v>
      </c>
      <c r="J167">
        <v>0.32432433999999999</v>
      </c>
    </row>
    <row r="168" spans="1:10" x14ac:dyDescent="0.3">
      <c r="A168">
        <v>166</v>
      </c>
      <c r="B168">
        <v>2643</v>
      </c>
      <c r="C168" t="b">
        <v>1</v>
      </c>
      <c r="D168">
        <v>8048</v>
      </c>
      <c r="E168">
        <v>8129</v>
      </c>
      <c r="F168">
        <v>9.6</v>
      </c>
      <c r="G168">
        <v>5.2</v>
      </c>
      <c r="H168">
        <v>1.8461540000000001</v>
      </c>
      <c r="I168">
        <v>-0.84615399999999996</v>
      </c>
      <c r="J168">
        <v>0.35135132000000002</v>
      </c>
    </row>
    <row r="169" spans="1:10" x14ac:dyDescent="0.3">
      <c r="A169">
        <v>167</v>
      </c>
      <c r="B169">
        <v>2659</v>
      </c>
      <c r="C169" t="b">
        <v>1</v>
      </c>
      <c r="D169">
        <v>8048</v>
      </c>
      <c r="E169">
        <v>8134</v>
      </c>
      <c r="F169">
        <v>9.6</v>
      </c>
      <c r="G169">
        <v>5.6</v>
      </c>
      <c r="H169">
        <v>1.7142858999999999</v>
      </c>
      <c r="I169">
        <v>-0.71428579999999997</v>
      </c>
      <c r="J169">
        <v>0.36842101999999999</v>
      </c>
    </row>
    <row r="170" spans="1:10" x14ac:dyDescent="0.3">
      <c r="A170">
        <v>168</v>
      </c>
      <c r="B170">
        <v>2674</v>
      </c>
      <c r="C170" t="b">
        <v>1</v>
      </c>
      <c r="D170">
        <v>8048</v>
      </c>
      <c r="E170">
        <v>8129</v>
      </c>
      <c r="F170">
        <v>9.6</v>
      </c>
      <c r="G170">
        <v>6.4</v>
      </c>
      <c r="H170">
        <v>1.5</v>
      </c>
      <c r="I170">
        <v>-0.50000005999999997</v>
      </c>
      <c r="J170">
        <v>0.4</v>
      </c>
    </row>
    <row r="171" spans="1:10" x14ac:dyDescent="0.3">
      <c r="A171">
        <v>169</v>
      </c>
      <c r="B171">
        <v>2690</v>
      </c>
      <c r="C171" t="b">
        <v>1</v>
      </c>
      <c r="D171">
        <v>8048</v>
      </c>
      <c r="E171">
        <v>8129</v>
      </c>
      <c r="F171">
        <v>9.6</v>
      </c>
      <c r="G171">
        <v>7.2</v>
      </c>
      <c r="H171">
        <v>1.3333333999999999</v>
      </c>
      <c r="I171">
        <v>-0.33333342999999999</v>
      </c>
      <c r="J171">
        <v>0.42857142999999998</v>
      </c>
    </row>
    <row r="172" spans="1:10" x14ac:dyDescent="0.3">
      <c r="A172">
        <v>170</v>
      </c>
      <c r="B172">
        <v>2707</v>
      </c>
      <c r="C172" t="b">
        <v>1</v>
      </c>
      <c r="D172">
        <v>8048</v>
      </c>
      <c r="E172">
        <v>8123</v>
      </c>
      <c r="F172">
        <v>9.6</v>
      </c>
      <c r="G172">
        <v>8</v>
      </c>
      <c r="H172">
        <v>1.2</v>
      </c>
      <c r="I172">
        <v>-0.20000005000000001</v>
      </c>
      <c r="J172">
        <v>0.45454544000000002</v>
      </c>
    </row>
    <row r="173" spans="1:10" x14ac:dyDescent="0.3">
      <c r="A173">
        <v>171</v>
      </c>
      <c r="B173">
        <v>2722</v>
      </c>
      <c r="C173" t="b">
        <v>1</v>
      </c>
      <c r="D173">
        <v>8048</v>
      </c>
      <c r="E173">
        <v>8129</v>
      </c>
      <c r="F173">
        <v>9.1999999999999993</v>
      </c>
      <c r="G173">
        <v>8.8000000000000007</v>
      </c>
      <c r="H173">
        <v>1.0454545</v>
      </c>
      <c r="I173">
        <v>-4.5454502000000001E-2</v>
      </c>
      <c r="J173">
        <v>0.48888890000000002</v>
      </c>
    </row>
    <row r="174" spans="1:10" x14ac:dyDescent="0.3">
      <c r="A174">
        <v>172</v>
      </c>
      <c r="B174">
        <v>2738</v>
      </c>
      <c r="C174" t="b">
        <v>1</v>
      </c>
      <c r="D174">
        <v>8048</v>
      </c>
      <c r="E174">
        <v>8129</v>
      </c>
      <c r="F174">
        <v>8.8000000000000007</v>
      </c>
      <c r="G174">
        <v>9.6</v>
      </c>
      <c r="H174">
        <v>0.9166666</v>
      </c>
      <c r="I174">
        <v>8.333335E-2</v>
      </c>
      <c r="J174">
        <v>0.52173910000000001</v>
      </c>
    </row>
    <row r="175" spans="1:10" x14ac:dyDescent="0.3">
      <c r="A175">
        <v>173</v>
      </c>
      <c r="B175">
        <v>2754</v>
      </c>
      <c r="C175" t="b">
        <v>1</v>
      </c>
      <c r="D175">
        <v>8042</v>
      </c>
      <c r="E175">
        <v>8123</v>
      </c>
      <c r="F175">
        <v>8.4</v>
      </c>
      <c r="G175">
        <v>10.4</v>
      </c>
      <c r="H175">
        <v>0.80769230000000003</v>
      </c>
      <c r="I175">
        <v>0.1923077</v>
      </c>
      <c r="J175">
        <v>0.55319149999999995</v>
      </c>
    </row>
    <row r="176" spans="1:10" x14ac:dyDescent="0.3">
      <c r="A176">
        <v>174</v>
      </c>
      <c r="B176">
        <v>2770</v>
      </c>
      <c r="C176" t="b">
        <v>1</v>
      </c>
      <c r="D176">
        <v>8048</v>
      </c>
      <c r="E176">
        <v>8129</v>
      </c>
      <c r="F176">
        <v>8</v>
      </c>
      <c r="G176">
        <v>10.8</v>
      </c>
      <c r="H176">
        <v>0.74074070000000003</v>
      </c>
      <c r="I176">
        <v>0.25925927999999998</v>
      </c>
      <c r="J176">
        <v>0.57446814000000002</v>
      </c>
    </row>
    <row r="177" spans="1:10" x14ac:dyDescent="0.3">
      <c r="A177">
        <v>175</v>
      </c>
      <c r="B177">
        <v>2786</v>
      </c>
      <c r="C177" t="b">
        <v>1</v>
      </c>
      <c r="D177">
        <v>8048</v>
      </c>
      <c r="E177">
        <v>8129</v>
      </c>
      <c r="F177">
        <v>7.6</v>
      </c>
      <c r="G177">
        <v>11.2</v>
      </c>
      <c r="H177">
        <v>0.67857140000000005</v>
      </c>
      <c r="I177">
        <v>0.32142857000000002</v>
      </c>
      <c r="J177">
        <v>0.59574466999999998</v>
      </c>
    </row>
    <row r="178" spans="1:10" x14ac:dyDescent="0.3">
      <c r="A178">
        <v>176</v>
      </c>
      <c r="B178">
        <v>2802</v>
      </c>
      <c r="C178" t="b">
        <v>1</v>
      </c>
      <c r="D178">
        <v>8048</v>
      </c>
      <c r="E178">
        <v>8129</v>
      </c>
      <c r="F178">
        <v>7.2</v>
      </c>
      <c r="G178">
        <v>11.6</v>
      </c>
      <c r="H178">
        <v>0.62068962999999999</v>
      </c>
      <c r="I178">
        <v>0.37931037000000001</v>
      </c>
      <c r="J178">
        <v>0.61702129999999999</v>
      </c>
    </row>
    <row r="179" spans="1:10" x14ac:dyDescent="0.3">
      <c r="A179">
        <v>177</v>
      </c>
      <c r="B179">
        <v>2818</v>
      </c>
      <c r="C179" t="b">
        <v>1</v>
      </c>
      <c r="D179">
        <v>8048</v>
      </c>
      <c r="E179">
        <v>8117</v>
      </c>
      <c r="F179">
        <v>7.2</v>
      </c>
      <c r="G179">
        <v>12</v>
      </c>
      <c r="H179">
        <v>0.59999996</v>
      </c>
      <c r="I179">
        <v>0.4</v>
      </c>
      <c r="J179">
        <v>0.625</v>
      </c>
    </row>
    <row r="180" spans="1:10" x14ac:dyDescent="0.3">
      <c r="A180">
        <v>178</v>
      </c>
      <c r="B180">
        <v>2834</v>
      </c>
      <c r="C180" t="b">
        <v>1</v>
      </c>
      <c r="D180">
        <v>8042</v>
      </c>
      <c r="E180">
        <v>8117</v>
      </c>
      <c r="F180">
        <v>7.2</v>
      </c>
      <c r="G180">
        <v>12.4</v>
      </c>
      <c r="H180">
        <v>0.58064514</v>
      </c>
      <c r="I180">
        <v>0.41935483000000001</v>
      </c>
      <c r="J180">
        <v>0.63265309999999997</v>
      </c>
    </row>
    <row r="181" spans="1:10" x14ac:dyDescent="0.3">
      <c r="A181">
        <v>179</v>
      </c>
      <c r="B181">
        <v>2850</v>
      </c>
      <c r="C181" t="b">
        <v>1</v>
      </c>
      <c r="D181">
        <v>8042</v>
      </c>
      <c r="E181">
        <v>8117</v>
      </c>
      <c r="F181">
        <v>7.2</v>
      </c>
      <c r="G181">
        <v>12</v>
      </c>
      <c r="H181">
        <v>0.59999996</v>
      </c>
      <c r="I181">
        <v>0.4</v>
      </c>
      <c r="J181">
        <v>0.625</v>
      </c>
    </row>
    <row r="182" spans="1:10" x14ac:dyDescent="0.3">
      <c r="A182">
        <v>180</v>
      </c>
      <c r="B182">
        <v>2866</v>
      </c>
      <c r="C182" t="b">
        <v>1</v>
      </c>
      <c r="D182">
        <v>8054</v>
      </c>
      <c r="E182">
        <v>8117</v>
      </c>
      <c r="F182">
        <v>7.6</v>
      </c>
      <c r="G182">
        <v>11.6</v>
      </c>
      <c r="H182">
        <v>0.65517239999999999</v>
      </c>
      <c r="I182">
        <v>0.34482762</v>
      </c>
      <c r="J182">
        <v>0.60416669999999995</v>
      </c>
    </row>
    <row r="183" spans="1:10" x14ac:dyDescent="0.3">
      <c r="A183">
        <v>181</v>
      </c>
      <c r="B183">
        <v>2882</v>
      </c>
      <c r="C183" t="b">
        <v>1</v>
      </c>
      <c r="D183">
        <v>8048</v>
      </c>
      <c r="E183">
        <v>8117</v>
      </c>
      <c r="F183">
        <v>8</v>
      </c>
      <c r="G183">
        <v>11.2</v>
      </c>
      <c r="H183">
        <v>0.71428572999999995</v>
      </c>
      <c r="I183">
        <v>0.28571426999999999</v>
      </c>
      <c r="J183">
        <v>0.58333330000000005</v>
      </c>
    </row>
    <row r="184" spans="1:10" x14ac:dyDescent="0.3">
      <c r="A184">
        <v>182</v>
      </c>
      <c r="B184">
        <v>2898</v>
      </c>
      <c r="C184" t="b">
        <v>1</v>
      </c>
      <c r="D184">
        <v>8048</v>
      </c>
      <c r="E184">
        <v>8129</v>
      </c>
      <c r="F184">
        <v>8</v>
      </c>
      <c r="G184">
        <v>10.8</v>
      </c>
      <c r="H184">
        <v>0.74074070000000003</v>
      </c>
      <c r="I184">
        <v>0.25925927999999998</v>
      </c>
      <c r="J184">
        <v>0.57446814000000002</v>
      </c>
    </row>
    <row r="185" spans="1:10" x14ac:dyDescent="0.3">
      <c r="A185">
        <v>183</v>
      </c>
      <c r="B185">
        <v>2914</v>
      </c>
      <c r="C185" t="b">
        <v>1</v>
      </c>
      <c r="D185">
        <v>8048</v>
      </c>
      <c r="E185">
        <v>8123</v>
      </c>
      <c r="F185">
        <v>8</v>
      </c>
      <c r="G185">
        <v>10</v>
      </c>
      <c r="H185">
        <v>0.8</v>
      </c>
      <c r="I185">
        <v>0.2</v>
      </c>
      <c r="J185">
        <v>0.55555560000000004</v>
      </c>
    </row>
    <row r="186" spans="1:10" x14ac:dyDescent="0.3">
      <c r="A186">
        <v>184</v>
      </c>
      <c r="B186">
        <v>2930</v>
      </c>
      <c r="C186" t="b">
        <v>1</v>
      </c>
      <c r="D186">
        <v>8042</v>
      </c>
      <c r="E186">
        <v>8123</v>
      </c>
      <c r="F186">
        <v>8</v>
      </c>
      <c r="G186">
        <v>9.6</v>
      </c>
      <c r="H186">
        <v>0.83333330000000005</v>
      </c>
      <c r="I186">
        <v>0.1666667</v>
      </c>
      <c r="J186">
        <v>0.54545456000000003</v>
      </c>
    </row>
    <row r="187" spans="1:10" x14ac:dyDescent="0.3">
      <c r="A187">
        <v>185</v>
      </c>
      <c r="B187">
        <v>2945</v>
      </c>
      <c r="C187" t="b">
        <v>1</v>
      </c>
      <c r="D187">
        <v>8048</v>
      </c>
      <c r="E187">
        <v>8123</v>
      </c>
      <c r="F187">
        <v>8</v>
      </c>
      <c r="G187">
        <v>9.1999999999999993</v>
      </c>
      <c r="H187">
        <v>0.86956524999999996</v>
      </c>
      <c r="I187">
        <v>0.13043477000000001</v>
      </c>
      <c r="J187">
        <v>0.53488369999999996</v>
      </c>
    </row>
    <row r="188" spans="1:10" x14ac:dyDescent="0.3">
      <c r="A188">
        <v>186</v>
      </c>
      <c r="B188">
        <v>2961</v>
      </c>
      <c r="C188" t="b">
        <v>1</v>
      </c>
      <c r="D188">
        <v>8048</v>
      </c>
      <c r="E188">
        <v>8123</v>
      </c>
      <c r="F188">
        <v>8</v>
      </c>
      <c r="G188">
        <v>8.8000000000000007</v>
      </c>
      <c r="H188">
        <v>0.90909090000000004</v>
      </c>
      <c r="I188">
        <v>9.0909110000000001E-2</v>
      </c>
      <c r="J188">
        <v>0.52380954999999996</v>
      </c>
    </row>
    <row r="189" spans="1:10" x14ac:dyDescent="0.3">
      <c r="A189">
        <v>187</v>
      </c>
      <c r="B189">
        <v>2977</v>
      </c>
      <c r="C189" t="b">
        <v>1</v>
      </c>
      <c r="D189">
        <v>8048</v>
      </c>
      <c r="E189">
        <v>8123</v>
      </c>
      <c r="F189">
        <v>8</v>
      </c>
      <c r="G189">
        <v>8.4</v>
      </c>
      <c r="H189">
        <v>0.95238100000000003</v>
      </c>
      <c r="I189">
        <v>4.7619003999999999E-2</v>
      </c>
      <c r="J189">
        <v>0.51219510000000001</v>
      </c>
    </row>
    <row r="190" spans="1:10" x14ac:dyDescent="0.3">
      <c r="A190">
        <v>188</v>
      </c>
      <c r="B190">
        <v>2993</v>
      </c>
      <c r="C190" t="b">
        <v>1</v>
      </c>
      <c r="D190">
        <v>8048</v>
      </c>
      <c r="E190">
        <v>8123</v>
      </c>
      <c r="F190">
        <v>8</v>
      </c>
      <c r="G190">
        <v>8</v>
      </c>
      <c r="H190">
        <v>1</v>
      </c>
      <c r="I190">
        <v>0</v>
      </c>
      <c r="J190">
        <v>0.5</v>
      </c>
    </row>
    <row r="191" spans="1:10" x14ac:dyDescent="0.3">
      <c r="A191">
        <v>189</v>
      </c>
      <c r="B191">
        <v>3009</v>
      </c>
      <c r="C191" t="b">
        <v>1</v>
      </c>
      <c r="D191">
        <v>8054</v>
      </c>
      <c r="E191">
        <v>8129</v>
      </c>
      <c r="F191">
        <v>8</v>
      </c>
      <c r="G191">
        <v>7.6</v>
      </c>
      <c r="H191">
        <v>1.0526316</v>
      </c>
      <c r="I191">
        <v>-5.2631589999999999E-2</v>
      </c>
      <c r="J191">
        <v>0.48717946000000001</v>
      </c>
    </row>
    <row r="192" spans="1:10" x14ac:dyDescent="0.3">
      <c r="A192">
        <v>190</v>
      </c>
      <c r="B192">
        <v>3024</v>
      </c>
      <c r="C192" t="b">
        <v>1</v>
      </c>
      <c r="D192">
        <v>8042</v>
      </c>
      <c r="E192">
        <v>8123</v>
      </c>
      <c r="F192">
        <v>8</v>
      </c>
      <c r="G192">
        <v>7.2</v>
      </c>
      <c r="H192">
        <v>1.1111112000000001</v>
      </c>
      <c r="I192">
        <v>-0.11111114</v>
      </c>
      <c r="J192">
        <v>0.4736842</v>
      </c>
    </row>
    <row r="193" spans="1:10" x14ac:dyDescent="0.3">
      <c r="A193">
        <v>191</v>
      </c>
      <c r="B193">
        <v>3041</v>
      </c>
      <c r="C193" t="b">
        <v>1</v>
      </c>
      <c r="D193">
        <v>8048</v>
      </c>
      <c r="E193">
        <v>8123</v>
      </c>
      <c r="F193">
        <v>8</v>
      </c>
      <c r="G193">
        <v>6.8</v>
      </c>
      <c r="H193">
        <v>1.1764705</v>
      </c>
      <c r="I193">
        <v>-0.17647055</v>
      </c>
      <c r="J193">
        <v>0.45945944999999999</v>
      </c>
    </row>
    <row r="194" spans="1:10" x14ac:dyDescent="0.3">
      <c r="A194">
        <v>192</v>
      </c>
      <c r="B194">
        <v>3056</v>
      </c>
      <c r="C194" t="b">
        <v>1</v>
      </c>
      <c r="D194">
        <v>8048</v>
      </c>
      <c r="E194">
        <v>8123</v>
      </c>
      <c r="F194">
        <v>8</v>
      </c>
      <c r="G194">
        <v>6.4</v>
      </c>
      <c r="H194">
        <v>1.25</v>
      </c>
      <c r="I194">
        <v>-0.24999999000000001</v>
      </c>
      <c r="J194">
        <v>0.44444447999999998</v>
      </c>
    </row>
    <row r="195" spans="1:10" x14ac:dyDescent="0.3">
      <c r="A195">
        <v>193</v>
      </c>
      <c r="B195">
        <v>3072</v>
      </c>
      <c r="C195" t="b">
        <v>1</v>
      </c>
      <c r="D195">
        <v>8048</v>
      </c>
      <c r="E195">
        <v>8123</v>
      </c>
      <c r="F195">
        <v>8</v>
      </c>
      <c r="G195">
        <v>6</v>
      </c>
      <c r="H195">
        <v>1.3333333999999999</v>
      </c>
      <c r="I195">
        <v>-0.33333333999999998</v>
      </c>
      <c r="J195">
        <v>0.42857142999999998</v>
      </c>
    </row>
    <row r="196" spans="1:10" x14ac:dyDescent="0.3">
      <c r="A196">
        <v>194</v>
      </c>
      <c r="B196">
        <v>3088</v>
      </c>
      <c r="C196" t="b">
        <v>1</v>
      </c>
      <c r="D196">
        <v>8048</v>
      </c>
      <c r="E196">
        <v>8123</v>
      </c>
      <c r="F196">
        <v>8</v>
      </c>
      <c r="G196">
        <v>6.4</v>
      </c>
      <c r="H196">
        <v>1.25</v>
      </c>
      <c r="I196">
        <v>-0.24999999000000001</v>
      </c>
      <c r="J196">
        <v>0.44444447999999998</v>
      </c>
    </row>
    <row r="197" spans="1:10" x14ac:dyDescent="0.3">
      <c r="A197">
        <v>195</v>
      </c>
      <c r="B197">
        <v>3104</v>
      </c>
      <c r="C197" t="b">
        <v>1</v>
      </c>
      <c r="D197">
        <v>8048</v>
      </c>
      <c r="E197">
        <v>8123</v>
      </c>
      <c r="F197">
        <v>8</v>
      </c>
      <c r="G197">
        <v>6.8</v>
      </c>
      <c r="H197">
        <v>1.1764705</v>
      </c>
      <c r="I197">
        <v>-0.17647055</v>
      </c>
      <c r="J197">
        <v>0.45945944999999999</v>
      </c>
    </row>
    <row r="198" spans="1:10" x14ac:dyDescent="0.3">
      <c r="A198">
        <v>196</v>
      </c>
      <c r="B198">
        <v>3119</v>
      </c>
      <c r="C198" t="b">
        <v>1</v>
      </c>
      <c r="D198">
        <v>8048</v>
      </c>
      <c r="E198">
        <v>8123</v>
      </c>
      <c r="F198">
        <v>8</v>
      </c>
      <c r="G198">
        <v>7.2</v>
      </c>
      <c r="H198">
        <v>1.1111112000000001</v>
      </c>
      <c r="I198">
        <v>-0.11111114</v>
      </c>
      <c r="J198">
        <v>0.4736842</v>
      </c>
    </row>
    <row r="199" spans="1:10" x14ac:dyDescent="0.3">
      <c r="A199">
        <v>197</v>
      </c>
      <c r="B199">
        <v>3136</v>
      </c>
      <c r="C199" t="b">
        <v>1</v>
      </c>
      <c r="D199">
        <v>8054</v>
      </c>
      <c r="E199">
        <v>8123</v>
      </c>
      <c r="F199">
        <v>8</v>
      </c>
      <c r="G199">
        <v>7.6</v>
      </c>
      <c r="H199">
        <v>1.0526316</v>
      </c>
      <c r="I199">
        <v>-5.2631589999999999E-2</v>
      </c>
      <c r="J199">
        <v>0.48717946000000001</v>
      </c>
    </row>
    <row r="200" spans="1:10" x14ac:dyDescent="0.3">
      <c r="A200">
        <v>198</v>
      </c>
      <c r="B200">
        <v>3152</v>
      </c>
      <c r="C200" t="b">
        <v>1</v>
      </c>
      <c r="D200">
        <v>8048</v>
      </c>
      <c r="E200">
        <v>8123</v>
      </c>
      <c r="F200">
        <v>8</v>
      </c>
      <c r="G200">
        <v>8</v>
      </c>
      <c r="H200">
        <v>1</v>
      </c>
      <c r="I200">
        <v>0</v>
      </c>
      <c r="J200">
        <v>0.5</v>
      </c>
    </row>
    <row r="201" spans="1:10" x14ac:dyDescent="0.3">
      <c r="A201">
        <v>199</v>
      </c>
      <c r="B201">
        <v>3167</v>
      </c>
      <c r="C201" t="b">
        <v>1</v>
      </c>
      <c r="D201">
        <v>8048</v>
      </c>
      <c r="E201">
        <v>8123</v>
      </c>
      <c r="F201">
        <v>8</v>
      </c>
      <c r="G201">
        <v>8</v>
      </c>
      <c r="H201">
        <v>1</v>
      </c>
      <c r="I201">
        <v>0</v>
      </c>
      <c r="J201">
        <v>0.5</v>
      </c>
    </row>
    <row r="202" spans="1:10" x14ac:dyDescent="0.3">
      <c r="A202">
        <v>200</v>
      </c>
      <c r="B202">
        <v>3183</v>
      </c>
      <c r="C202" t="b">
        <v>1</v>
      </c>
      <c r="D202">
        <v>8048</v>
      </c>
      <c r="E202">
        <v>8129</v>
      </c>
      <c r="F202">
        <v>8</v>
      </c>
      <c r="G202">
        <v>8</v>
      </c>
      <c r="H202">
        <v>1</v>
      </c>
      <c r="I202">
        <v>0</v>
      </c>
      <c r="J202">
        <v>0.5</v>
      </c>
    </row>
    <row r="203" spans="1:10" x14ac:dyDescent="0.3">
      <c r="A203">
        <v>201</v>
      </c>
      <c r="B203">
        <v>3199</v>
      </c>
      <c r="C203" t="b">
        <v>1</v>
      </c>
      <c r="D203">
        <v>8048</v>
      </c>
      <c r="E203">
        <v>8123</v>
      </c>
      <c r="F203">
        <v>8</v>
      </c>
      <c r="G203">
        <v>8</v>
      </c>
      <c r="H203">
        <v>1</v>
      </c>
      <c r="I203">
        <v>0</v>
      </c>
      <c r="J203">
        <v>0.5</v>
      </c>
    </row>
    <row r="204" spans="1:10" x14ac:dyDescent="0.3">
      <c r="A204">
        <v>202</v>
      </c>
      <c r="B204">
        <v>3215</v>
      </c>
      <c r="C204" t="b">
        <v>1</v>
      </c>
      <c r="D204">
        <v>8042</v>
      </c>
      <c r="E204">
        <v>8123</v>
      </c>
      <c r="F204">
        <v>8</v>
      </c>
      <c r="G204">
        <v>8</v>
      </c>
      <c r="H204">
        <v>1</v>
      </c>
      <c r="I204">
        <v>0</v>
      </c>
      <c r="J204">
        <v>0.5</v>
      </c>
    </row>
    <row r="205" spans="1:10" x14ac:dyDescent="0.3">
      <c r="A205">
        <v>203</v>
      </c>
      <c r="B205">
        <v>3231</v>
      </c>
      <c r="C205" t="b">
        <v>1</v>
      </c>
      <c r="D205">
        <v>8048</v>
      </c>
      <c r="E205">
        <v>8129</v>
      </c>
      <c r="F205">
        <v>8</v>
      </c>
      <c r="G205">
        <v>8</v>
      </c>
      <c r="H205">
        <v>1</v>
      </c>
      <c r="I205">
        <v>0</v>
      </c>
      <c r="J205">
        <v>0.5</v>
      </c>
    </row>
    <row r="206" spans="1:10" x14ac:dyDescent="0.3">
      <c r="A206">
        <v>204</v>
      </c>
      <c r="B206">
        <v>3247</v>
      </c>
      <c r="C206" t="b">
        <v>1</v>
      </c>
      <c r="D206">
        <v>8048</v>
      </c>
      <c r="E206">
        <v>8123</v>
      </c>
      <c r="F206">
        <v>8</v>
      </c>
      <c r="G206">
        <v>8</v>
      </c>
      <c r="H206">
        <v>1</v>
      </c>
      <c r="I206">
        <v>0</v>
      </c>
      <c r="J206">
        <v>0.5</v>
      </c>
    </row>
    <row r="207" spans="1:10" x14ac:dyDescent="0.3">
      <c r="A207">
        <v>205</v>
      </c>
      <c r="B207">
        <v>3263</v>
      </c>
      <c r="C207" t="b">
        <v>1</v>
      </c>
      <c r="D207">
        <v>8048</v>
      </c>
      <c r="E207">
        <v>8129</v>
      </c>
      <c r="F207">
        <v>8</v>
      </c>
      <c r="G207">
        <v>8</v>
      </c>
      <c r="H207">
        <v>1</v>
      </c>
      <c r="I207">
        <v>0</v>
      </c>
      <c r="J207">
        <v>0.5</v>
      </c>
    </row>
    <row r="208" spans="1:10" x14ac:dyDescent="0.3">
      <c r="A208">
        <v>206</v>
      </c>
      <c r="B208">
        <v>3279</v>
      </c>
      <c r="C208" t="b">
        <v>1</v>
      </c>
      <c r="D208">
        <v>8048</v>
      </c>
      <c r="E208">
        <v>8123</v>
      </c>
      <c r="F208">
        <v>8</v>
      </c>
      <c r="G208">
        <v>8</v>
      </c>
      <c r="H208">
        <v>1</v>
      </c>
      <c r="I208">
        <v>0</v>
      </c>
      <c r="J208">
        <v>0.5</v>
      </c>
    </row>
    <row r="209" spans="1:10" x14ac:dyDescent="0.3">
      <c r="A209">
        <v>207</v>
      </c>
      <c r="B209">
        <v>3295</v>
      </c>
      <c r="C209" t="b">
        <v>1</v>
      </c>
      <c r="D209">
        <v>8048</v>
      </c>
      <c r="E209">
        <v>8123</v>
      </c>
      <c r="F209">
        <v>8</v>
      </c>
      <c r="G209">
        <v>8</v>
      </c>
      <c r="H209">
        <v>1</v>
      </c>
      <c r="I209">
        <v>0</v>
      </c>
      <c r="J209">
        <v>0.5</v>
      </c>
    </row>
    <row r="210" spans="1:10" x14ac:dyDescent="0.3">
      <c r="A210">
        <v>208</v>
      </c>
      <c r="B210">
        <v>3311</v>
      </c>
      <c r="C210" t="b">
        <v>1</v>
      </c>
      <c r="D210">
        <v>8048</v>
      </c>
      <c r="E210">
        <v>8123</v>
      </c>
      <c r="F210">
        <v>8</v>
      </c>
      <c r="G210">
        <v>8</v>
      </c>
      <c r="H210">
        <v>1</v>
      </c>
      <c r="I210">
        <v>0</v>
      </c>
      <c r="J210">
        <v>0.5</v>
      </c>
    </row>
    <row r="211" spans="1:10" x14ac:dyDescent="0.3">
      <c r="A211">
        <v>209</v>
      </c>
      <c r="B211">
        <v>3327</v>
      </c>
      <c r="C211" t="b">
        <v>1</v>
      </c>
      <c r="D211">
        <v>8048</v>
      </c>
      <c r="E211">
        <v>8123</v>
      </c>
      <c r="F211">
        <v>8</v>
      </c>
      <c r="G211">
        <v>8</v>
      </c>
      <c r="H211">
        <v>1</v>
      </c>
      <c r="I211">
        <v>0</v>
      </c>
      <c r="J211">
        <v>0.5</v>
      </c>
    </row>
    <row r="212" spans="1:10" x14ac:dyDescent="0.3">
      <c r="A212">
        <v>210</v>
      </c>
      <c r="B212">
        <v>3343</v>
      </c>
      <c r="C212" t="b">
        <v>1</v>
      </c>
      <c r="D212">
        <v>8048</v>
      </c>
      <c r="E212">
        <v>8123</v>
      </c>
      <c r="F212">
        <v>8</v>
      </c>
      <c r="G212">
        <v>8</v>
      </c>
      <c r="H212">
        <v>1</v>
      </c>
      <c r="I212">
        <v>0</v>
      </c>
      <c r="J212">
        <v>0.5</v>
      </c>
    </row>
    <row r="213" spans="1:10" x14ac:dyDescent="0.3">
      <c r="A213">
        <v>211</v>
      </c>
      <c r="B213">
        <v>3358</v>
      </c>
      <c r="C213" t="b">
        <v>1</v>
      </c>
      <c r="D213">
        <v>8048</v>
      </c>
      <c r="E213">
        <v>8123</v>
      </c>
      <c r="F213">
        <v>8</v>
      </c>
      <c r="G213">
        <v>8</v>
      </c>
      <c r="H213">
        <v>1</v>
      </c>
      <c r="I213">
        <v>0</v>
      </c>
      <c r="J213">
        <v>0.5</v>
      </c>
    </row>
    <row r="214" spans="1:10" x14ac:dyDescent="0.3">
      <c r="A214">
        <v>212</v>
      </c>
      <c r="B214">
        <v>3374</v>
      </c>
      <c r="C214" t="b">
        <v>1</v>
      </c>
      <c r="D214">
        <v>8048</v>
      </c>
      <c r="E214">
        <v>8129</v>
      </c>
      <c r="F214">
        <v>8</v>
      </c>
      <c r="G214">
        <v>8</v>
      </c>
      <c r="H214">
        <v>1</v>
      </c>
      <c r="I214">
        <v>0</v>
      </c>
      <c r="J214">
        <v>0.5</v>
      </c>
    </row>
    <row r="215" spans="1:10" x14ac:dyDescent="0.3">
      <c r="A215">
        <v>213</v>
      </c>
      <c r="B215">
        <v>3390</v>
      </c>
      <c r="C215" t="b">
        <v>1</v>
      </c>
      <c r="D215">
        <v>8042</v>
      </c>
      <c r="E215">
        <v>8129</v>
      </c>
      <c r="F215">
        <v>8</v>
      </c>
      <c r="G215">
        <v>8</v>
      </c>
      <c r="H215">
        <v>1</v>
      </c>
      <c r="I215">
        <v>0</v>
      </c>
      <c r="J215">
        <v>0.5</v>
      </c>
    </row>
    <row r="216" spans="1:10" x14ac:dyDescent="0.3">
      <c r="A216">
        <v>214</v>
      </c>
      <c r="B216">
        <v>3406</v>
      </c>
      <c r="C216" t="b">
        <v>1</v>
      </c>
      <c r="D216">
        <v>8048</v>
      </c>
      <c r="E216">
        <v>8123</v>
      </c>
      <c r="F216">
        <v>8</v>
      </c>
      <c r="G216">
        <v>8</v>
      </c>
      <c r="H216">
        <v>1</v>
      </c>
      <c r="I216">
        <v>0</v>
      </c>
      <c r="J216">
        <v>0.5</v>
      </c>
    </row>
    <row r="217" spans="1:10" x14ac:dyDescent="0.3">
      <c r="A217">
        <v>215</v>
      </c>
      <c r="B217">
        <v>3421</v>
      </c>
      <c r="C217" t="b">
        <v>1</v>
      </c>
      <c r="D217">
        <v>8048</v>
      </c>
      <c r="E217">
        <v>8123</v>
      </c>
      <c r="F217">
        <v>8</v>
      </c>
      <c r="G217">
        <v>8</v>
      </c>
      <c r="H217">
        <v>1</v>
      </c>
      <c r="I217">
        <v>0</v>
      </c>
      <c r="J217">
        <v>0.5</v>
      </c>
    </row>
    <row r="218" spans="1:10" x14ac:dyDescent="0.3">
      <c r="A218">
        <v>216</v>
      </c>
      <c r="B218">
        <v>3437</v>
      </c>
      <c r="C218" t="b">
        <v>1</v>
      </c>
      <c r="D218">
        <v>8048</v>
      </c>
      <c r="E218">
        <v>8123</v>
      </c>
      <c r="F218">
        <v>8</v>
      </c>
      <c r="G218">
        <v>8</v>
      </c>
      <c r="H218">
        <v>1</v>
      </c>
      <c r="I218">
        <v>0</v>
      </c>
      <c r="J218">
        <v>0.5</v>
      </c>
    </row>
    <row r="219" spans="1:10" x14ac:dyDescent="0.3">
      <c r="A219">
        <v>217</v>
      </c>
      <c r="B219">
        <v>3453</v>
      </c>
      <c r="C219" t="b">
        <v>1</v>
      </c>
      <c r="D219">
        <v>8048</v>
      </c>
      <c r="E219">
        <v>8123</v>
      </c>
      <c r="F219">
        <v>8</v>
      </c>
      <c r="G219">
        <v>8</v>
      </c>
      <c r="H219">
        <v>1</v>
      </c>
      <c r="I219">
        <v>0</v>
      </c>
      <c r="J219">
        <v>0.5</v>
      </c>
    </row>
    <row r="220" spans="1:10" x14ac:dyDescent="0.3">
      <c r="A220">
        <v>218</v>
      </c>
      <c r="B220">
        <v>3469</v>
      </c>
      <c r="C220" t="b">
        <v>1</v>
      </c>
      <c r="D220">
        <v>8048</v>
      </c>
      <c r="E220">
        <v>8123</v>
      </c>
      <c r="F220">
        <v>8</v>
      </c>
      <c r="G220">
        <v>8</v>
      </c>
      <c r="H220">
        <v>1</v>
      </c>
      <c r="I220">
        <v>0</v>
      </c>
      <c r="J220">
        <v>0.5</v>
      </c>
    </row>
    <row r="221" spans="1:10" x14ac:dyDescent="0.3">
      <c r="A221">
        <v>219</v>
      </c>
      <c r="B221">
        <v>3485</v>
      </c>
      <c r="C221" t="b">
        <v>1</v>
      </c>
      <c r="D221">
        <v>8054</v>
      </c>
      <c r="E221">
        <v>8117</v>
      </c>
      <c r="F221">
        <v>8</v>
      </c>
      <c r="G221">
        <v>8</v>
      </c>
      <c r="H221">
        <v>1</v>
      </c>
      <c r="I221">
        <v>0</v>
      </c>
      <c r="J221">
        <v>0.5</v>
      </c>
    </row>
    <row r="222" spans="1:10" x14ac:dyDescent="0.3">
      <c r="A222">
        <v>220</v>
      </c>
      <c r="B222">
        <v>3501</v>
      </c>
      <c r="C222" t="b">
        <v>1</v>
      </c>
      <c r="D222">
        <v>8048</v>
      </c>
      <c r="E222">
        <v>8117</v>
      </c>
      <c r="F222">
        <v>8</v>
      </c>
      <c r="G222">
        <v>8</v>
      </c>
      <c r="H222">
        <v>1</v>
      </c>
      <c r="I222">
        <v>0</v>
      </c>
      <c r="J222">
        <v>0.5</v>
      </c>
    </row>
    <row r="223" spans="1:10" x14ac:dyDescent="0.3">
      <c r="A223">
        <v>221</v>
      </c>
      <c r="B223">
        <v>3517</v>
      </c>
      <c r="C223" t="b">
        <v>1</v>
      </c>
      <c r="D223">
        <v>8048</v>
      </c>
      <c r="E223">
        <v>8117</v>
      </c>
      <c r="F223">
        <v>8</v>
      </c>
      <c r="G223">
        <v>7.6</v>
      </c>
      <c r="H223">
        <v>1.0526316</v>
      </c>
      <c r="I223">
        <v>-5.2631589999999999E-2</v>
      </c>
      <c r="J223">
        <v>0.48717946000000001</v>
      </c>
    </row>
    <row r="224" spans="1:10" x14ac:dyDescent="0.3">
      <c r="A224">
        <v>222</v>
      </c>
      <c r="B224">
        <v>3533</v>
      </c>
      <c r="C224" t="b">
        <v>1</v>
      </c>
      <c r="D224">
        <v>8048</v>
      </c>
      <c r="E224">
        <v>8117</v>
      </c>
      <c r="F224">
        <v>8</v>
      </c>
      <c r="G224">
        <v>7.2</v>
      </c>
      <c r="H224">
        <v>1.1111112000000001</v>
      </c>
      <c r="I224">
        <v>-0.11111114</v>
      </c>
      <c r="J224">
        <v>0.4736842</v>
      </c>
    </row>
    <row r="225" spans="1:10" x14ac:dyDescent="0.3">
      <c r="A225">
        <v>223</v>
      </c>
      <c r="B225">
        <v>3549</v>
      </c>
      <c r="C225" t="b">
        <v>1</v>
      </c>
      <c r="D225">
        <v>8048</v>
      </c>
      <c r="E225">
        <v>8117</v>
      </c>
      <c r="F225">
        <v>8</v>
      </c>
      <c r="G225">
        <v>6.8</v>
      </c>
      <c r="H225">
        <v>1.1764705</v>
      </c>
      <c r="I225">
        <v>-0.17647055</v>
      </c>
      <c r="J225">
        <v>0.45945944999999999</v>
      </c>
    </row>
    <row r="226" spans="1:10" x14ac:dyDescent="0.3">
      <c r="A226">
        <v>224</v>
      </c>
      <c r="B226">
        <v>3565</v>
      </c>
      <c r="C226" t="b">
        <v>1</v>
      </c>
      <c r="D226">
        <v>8048</v>
      </c>
      <c r="E226">
        <v>8117</v>
      </c>
      <c r="F226">
        <v>8</v>
      </c>
      <c r="G226">
        <v>6.4</v>
      </c>
      <c r="H226">
        <v>1.25</v>
      </c>
      <c r="I226">
        <v>-0.24999999000000001</v>
      </c>
      <c r="J226">
        <v>0.44444447999999998</v>
      </c>
    </row>
    <row r="227" spans="1:10" x14ac:dyDescent="0.3">
      <c r="A227">
        <v>225</v>
      </c>
      <c r="B227">
        <v>3580</v>
      </c>
      <c r="C227" t="b">
        <v>1</v>
      </c>
      <c r="D227">
        <v>8042</v>
      </c>
      <c r="E227">
        <v>8117</v>
      </c>
      <c r="F227">
        <v>8</v>
      </c>
      <c r="G227">
        <v>6</v>
      </c>
      <c r="H227">
        <v>1.3333333999999999</v>
      </c>
      <c r="I227">
        <v>-0.33333333999999998</v>
      </c>
      <c r="J227">
        <v>0.42857142999999998</v>
      </c>
    </row>
    <row r="228" spans="1:10" x14ac:dyDescent="0.3">
      <c r="A228">
        <v>226</v>
      </c>
      <c r="B228">
        <v>3596</v>
      </c>
      <c r="C228" t="b">
        <v>1</v>
      </c>
      <c r="D228">
        <v>8048</v>
      </c>
      <c r="E228">
        <v>8117</v>
      </c>
      <c r="F228">
        <v>8</v>
      </c>
      <c r="G228">
        <v>5.6</v>
      </c>
      <c r="H228">
        <v>1.4285715000000001</v>
      </c>
      <c r="I228">
        <v>-0.42857146000000002</v>
      </c>
      <c r="J228">
        <v>0.41176467999999999</v>
      </c>
    </row>
    <row r="229" spans="1:10" x14ac:dyDescent="0.3">
      <c r="A229">
        <v>227</v>
      </c>
      <c r="B229">
        <v>3612</v>
      </c>
      <c r="C229" t="b">
        <v>1</v>
      </c>
      <c r="D229">
        <v>8048</v>
      </c>
      <c r="E229">
        <v>8117</v>
      </c>
      <c r="F229">
        <v>8</v>
      </c>
      <c r="G229">
        <v>5.2</v>
      </c>
      <c r="H229">
        <v>1.5384616</v>
      </c>
      <c r="I229">
        <v>-0.53846156999999994</v>
      </c>
      <c r="J229">
        <v>0.39393938000000001</v>
      </c>
    </row>
    <row r="230" spans="1:10" x14ac:dyDescent="0.3">
      <c r="A230">
        <v>228</v>
      </c>
      <c r="B230">
        <v>3628</v>
      </c>
      <c r="C230" t="b">
        <v>1</v>
      </c>
      <c r="D230">
        <v>8054</v>
      </c>
      <c r="E230">
        <v>8123</v>
      </c>
      <c r="F230">
        <v>8</v>
      </c>
      <c r="G230">
        <v>4.8</v>
      </c>
      <c r="H230">
        <v>1.6666666000000001</v>
      </c>
      <c r="I230">
        <v>-0.6666666</v>
      </c>
      <c r="J230">
        <v>0.375</v>
      </c>
    </row>
    <row r="231" spans="1:10" x14ac:dyDescent="0.3">
      <c r="A231">
        <v>229</v>
      </c>
      <c r="B231">
        <v>3644</v>
      </c>
      <c r="C231" t="b">
        <v>1</v>
      </c>
      <c r="D231">
        <v>8048</v>
      </c>
      <c r="E231">
        <v>8117</v>
      </c>
      <c r="F231">
        <v>8</v>
      </c>
      <c r="G231">
        <v>4.4000000000000004</v>
      </c>
      <c r="H231">
        <v>1.8181818000000001</v>
      </c>
      <c r="I231">
        <v>-0.81818175000000004</v>
      </c>
      <c r="J231">
        <v>0.35483872999999999</v>
      </c>
    </row>
    <row r="232" spans="1:10" x14ac:dyDescent="0.3">
      <c r="A232">
        <v>230</v>
      </c>
      <c r="B232">
        <v>3659</v>
      </c>
      <c r="C232" t="b">
        <v>1</v>
      </c>
      <c r="D232">
        <v>8054</v>
      </c>
      <c r="E232">
        <v>8123</v>
      </c>
      <c r="F232">
        <v>8</v>
      </c>
      <c r="G232">
        <v>4</v>
      </c>
      <c r="H232">
        <v>2</v>
      </c>
      <c r="I232">
        <v>-1</v>
      </c>
      <c r="J232">
        <v>0.33333333999999998</v>
      </c>
    </row>
    <row r="233" spans="1:10" x14ac:dyDescent="0.3">
      <c r="A233">
        <v>231</v>
      </c>
      <c r="B233">
        <v>3675</v>
      </c>
      <c r="C233" t="b">
        <v>1</v>
      </c>
      <c r="D233">
        <v>8048</v>
      </c>
      <c r="E233">
        <v>8117</v>
      </c>
      <c r="F233">
        <v>8</v>
      </c>
      <c r="G233">
        <v>3.6</v>
      </c>
      <c r="H233">
        <v>2.2222222999999999</v>
      </c>
      <c r="I233">
        <v>-1.2222223000000001</v>
      </c>
      <c r="J233">
        <v>0.31034482000000002</v>
      </c>
    </row>
    <row r="234" spans="1:10" x14ac:dyDescent="0.3">
      <c r="A234">
        <v>232</v>
      </c>
      <c r="B234">
        <v>3691</v>
      </c>
      <c r="C234" t="b">
        <v>1</v>
      </c>
      <c r="D234">
        <v>8048</v>
      </c>
      <c r="E234">
        <v>8123</v>
      </c>
      <c r="F234">
        <v>8</v>
      </c>
      <c r="G234">
        <v>3.6</v>
      </c>
      <c r="H234">
        <v>2.2222222999999999</v>
      </c>
      <c r="I234">
        <v>-1.2222223000000001</v>
      </c>
      <c r="J234">
        <v>0.31034482000000002</v>
      </c>
    </row>
    <row r="235" spans="1:10" x14ac:dyDescent="0.3">
      <c r="A235">
        <v>233</v>
      </c>
      <c r="B235">
        <v>3707</v>
      </c>
      <c r="C235" t="b">
        <v>1</v>
      </c>
      <c r="D235">
        <v>8048</v>
      </c>
      <c r="E235">
        <v>8123</v>
      </c>
      <c r="F235">
        <v>8</v>
      </c>
      <c r="G235">
        <v>3.6</v>
      </c>
      <c r="H235">
        <v>2.2222222999999999</v>
      </c>
      <c r="I235">
        <v>-1.2222223000000001</v>
      </c>
      <c r="J235">
        <v>0.31034482000000002</v>
      </c>
    </row>
    <row r="236" spans="1:10" x14ac:dyDescent="0.3">
      <c r="A236">
        <v>234</v>
      </c>
      <c r="B236">
        <v>3723</v>
      </c>
      <c r="C236" t="b">
        <v>1</v>
      </c>
      <c r="D236">
        <v>8048</v>
      </c>
      <c r="E236">
        <v>8123</v>
      </c>
      <c r="F236">
        <v>8</v>
      </c>
      <c r="G236">
        <v>3.6</v>
      </c>
      <c r="H236">
        <v>2.2222222999999999</v>
      </c>
      <c r="I236">
        <v>-1.2222223000000001</v>
      </c>
      <c r="J236">
        <v>0.31034482000000002</v>
      </c>
    </row>
    <row r="237" spans="1:10" x14ac:dyDescent="0.3">
      <c r="A237">
        <v>235</v>
      </c>
      <c r="B237">
        <v>3738</v>
      </c>
      <c r="C237" t="b">
        <v>1</v>
      </c>
      <c r="D237">
        <v>8054</v>
      </c>
      <c r="E237">
        <v>8123</v>
      </c>
      <c r="F237">
        <v>8</v>
      </c>
      <c r="G237">
        <v>3.6</v>
      </c>
      <c r="H237">
        <v>2.2222222999999999</v>
      </c>
      <c r="I237">
        <v>-1.2222223000000001</v>
      </c>
      <c r="J237">
        <v>0.31034482000000002</v>
      </c>
    </row>
    <row r="238" spans="1:10" x14ac:dyDescent="0.3">
      <c r="A238">
        <v>236</v>
      </c>
      <c r="B238">
        <v>3754</v>
      </c>
      <c r="C238" t="b">
        <v>1</v>
      </c>
      <c r="D238">
        <v>8048</v>
      </c>
      <c r="E238">
        <v>8123</v>
      </c>
      <c r="F238">
        <v>8</v>
      </c>
      <c r="G238">
        <v>4</v>
      </c>
      <c r="H238">
        <v>2</v>
      </c>
      <c r="I238">
        <v>-1</v>
      </c>
      <c r="J238">
        <v>0.33333333999999998</v>
      </c>
    </row>
    <row r="239" spans="1:10" x14ac:dyDescent="0.3">
      <c r="A239">
        <v>237</v>
      </c>
      <c r="B239">
        <v>3770</v>
      </c>
      <c r="C239" t="b">
        <v>1</v>
      </c>
      <c r="D239">
        <v>8048</v>
      </c>
      <c r="E239">
        <v>8123</v>
      </c>
      <c r="F239">
        <v>8</v>
      </c>
      <c r="G239">
        <v>4.4000000000000004</v>
      </c>
      <c r="H239">
        <v>1.8181818000000001</v>
      </c>
      <c r="I239">
        <v>-0.81818175000000004</v>
      </c>
      <c r="J239">
        <v>0.35483872999999999</v>
      </c>
    </row>
    <row r="240" spans="1:10" x14ac:dyDescent="0.3">
      <c r="A240">
        <v>238</v>
      </c>
      <c r="B240">
        <v>3786</v>
      </c>
      <c r="C240" t="b">
        <v>1</v>
      </c>
      <c r="D240">
        <v>8048</v>
      </c>
      <c r="E240">
        <v>8123</v>
      </c>
      <c r="F240">
        <v>8</v>
      </c>
      <c r="G240">
        <v>4.8</v>
      </c>
      <c r="H240">
        <v>1.6666666000000001</v>
      </c>
      <c r="I240">
        <v>-0.6666666</v>
      </c>
      <c r="J240">
        <v>0.375</v>
      </c>
    </row>
    <row r="241" spans="1:10" x14ac:dyDescent="0.3">
      <c r="A241">
        <v>239</v>
      </c>
      <c r="B241">
        <v>3802</v>
      </c>
      <c r="C241" t="b">
        <v>1</v>
      </c>
      <c r="D241">
        <v>8054</v>
      </c>
      <c r="E241">
        <v>8123</v>
      </c>
      <c r="F241">
        <v>8</v>
      </c>
      <c r="G241">
        <v>5.2</v>
      </c>
      <c r="H241">
        <v>1.5384616</v>
      </c>
      <c r="I241">
        <v>-0.53846156999999994</v>
      </c>
      <c r="J241">
        <v>0.39393938000000001</v>
      </c>
    </row>
    <row r="242" spans="1:10" x14ac:dyDescent="0.3">
      <c r="A242">
        <v>240</v>
      </c>
      <c r="B242">
        <v>3818</v>
      </c>
      <c r="C242" t="b">
        <v>1</v>
      </c>
      <c r="D242">
        <v>8048</v>
      </c>
      <c r="E242">
        <v>8123</v>
      </c>
      <c r="F242">
        <v>8</v>
      </c>
      <c r="G242">
        <v>5.6</v>
      </c>
      <c r="H242">
        <v>1.4285715000000001</v>
      </c>
      <c r="I242">
        <v>-0.42857146000000002</v>
      </c>
      <c r="J242">
        <v>0.41176467999999999</v>
      </c>
    </row>
    <row r="243" spans="1:10" x14ac:dyDescent="0.3">
      <c r="A243">
        <v>241</v>
      </c>
      <c r="B243">
        <v>3834</v>
      </c>
      <c r="C243" t="b">
        <v>1</v>
      </c>
      <c r="D243">
        <v>8048</v>
      </c>
      <c r="E243">
        <v>8123</v>
      </c>
      <c r="F243">
        <v>8</v>
      </c>
      <c r="G243">
        <v>6</v>
      </c>
      <c r="H243">
        <v>1.3333333999999999</v>
      </c>
      <c r="I243">
        <v>-0.33333333999999998</v>
      </c>
      <c r="J243">
        <v>0.42857142999999998</v>
      </c>
    </row>
    <row r="244" spans="1:10" x14ac:dyDescent="0.3">
      <c r="A244">
        <v>242</v>
      </c>
      <c r="B244">
        <v>3850</v>
      </c>
      <c r="C244" t="b">
        <v>1</v>
      </c>
      <c r="D244">
        <v>8048</v>
      </c>
      <c r="E244">
        <v>8123</v>
      </c>
      <c r="F244">
        <v>8</v>
      </c>
      <c r="G244">
        <v>6.4</v>
      </c>
      <c r="H244">
        <v>1.25</v>
      </c>
      <c r="I244">
        <v>-0.24999999000000001</v>
      </c>
      <c r="J244">
        <v>0.44444447999999998</v>
      </c>
    </row>
    <row r="245" spans="1:10" x14ac:dyDescent="0.3">
      <c r="A245">
        <v>243</v>
      </c>
      <c r="B245">
        <v>3866</v>
      </c>
      <c r="C245" t="b">
        <v>1</v>
      </c>
      <c r="D245">
        <v>8048</v>
      </c>
      <c r="E245">
        <v>8123</v>
      </c>
      <c r="F245">
        <v>8</v>
      </c>
      <c r="G245">
        <v>6.8</v>
      </c>
      <c r="H245">
        <v>1.1764705</v>
      </c>
      <c r="I245">
        <v>-0.17647055</v>
      </c>
      <c r="J245">
        <v>0.45945944999999999</v>
      </c>
    </row>
    <row r="246" spans="1:10" x14ac:dyDescent="0.3">
      <c r="A246">
        <v>244</v>
      </c>
      <c r="B246">
        <v>3882</v>
      </c>
      <c r="C246" t="b">
        <v>1</v>
      </c>
      <c r="D246">
        <v>8042</v>
      </c>
      <c r="E246">
        <v>8123</v>
      </c>
      <c r="F246">
        <v>8</v>
      </c>
      <c r="G246">
        <v>7.2</v>
      </c>
      <c r="H246">
        <v>1.1111112000000001</v>
      </c>
      <c r="I246">
        <v>-0.11111114</v>
      </c>
      <c r="J246">
        <v>0.4736842</v>
      </c>
    </row>
    <row r="247" spans="1:10" x14ac:dyDescent="0.3">
      <c r="A247">
        <v>245</v>
      </c>
      <c r="B247">
        <v>3897</v>
      </c>
      <c r="C247" t="b">
        <v>1</v>
      </c>
      <c r="D247">
        <v>8048</v>
      </c>
      <c r="E247">
        <v>8123</v>
      </c>
      <c r="F247">
        <v>8</v>
      </c>
      <c r="G247">
        <v>7.6</v>
      </c>
      <c r="H247">
        <v>1.0526316</v>
      </c>
      <c r="I247">
        <v>-5.2631589999999999E-2</v>
      </c>
      <c r="J247">
        <v>0.48717946000000001</v>
      </c>
    </row>
    <row r="248" spans="1:10" x14ac:dyDescent="0.3">
      <c r="A248">
        <v>246</v>
      </c>
      <c r="B248">
        <v>3913</v>
      </c>
      <c r="C248" t="b">
        <v>1</v>
      </c>
      <c r="D248">
        <v>8048</v>
      </c>
      <c r="E248">
        <v>8129</v>
      </c>
      <c r="F248">
        <v>8</v>
      </c>
      <c r="G248">
        <v>8</v>
      </c>
      <c r="H248">
        <v>1</v>
      </c>
      <c r="I248">
        <v>0</v>
      </c>
      <c r="J248">
        <v>0.5</v>
      </c>
    </row>
    <row r="249" spans="1:10" x14ac:dyDescent="0.3">
      <c r="A249">
        <v>247</v>
      </c>
      <c r="B249">
        <v>3929</v>
      </c>
      <c r="C249" t="b">
        <v>1</v>
      </c>
      <c r="D249">
        <v>8048</v>
      </c>
      <c r="E249">
        <v>8129</v>
      </c>
      <c r="F249">
        <v>8</v>
      </c>
      <c r="G249">
        <v>8</v>
      </c>
      <c r="H249">
        <v>1</v>
      </c>
      <c r="I249">
        <v>0</v>
      </c>
      <c r="J249">
        <v>0.5</v>
      </c>
    </row>
    <row r="250" spans="1:10" x14ac:dyDescent="0.3">
      <c r="A250">
        <v>248</v>
      </c>
      <c r="B250">
        <v>3945</v>
      </c>
      <c r="C250" t="b">
        <v>1</v>
      </c>
      <c r="D250">
        <v>8048</v>
      </c>
      <c r="E250">
        <v>8123</v>
      </c>
      <c r="F250">
        <v>8</v>
      </c>
      <c r="G250">
        <v>8</v>
      </c>
      <c r="H250">
        <v>1</v>
      </c>
      <c r="I250">
        <v>0</v>
      </c>
      <c r="J250">
        <v>0.5</v>
      </c>
    </row>
    <row r="251" spans="1:10" x14ac:dyDescent="0.3">
      <c r="A251">
        <v>249</v>
      </c>
      <c r="B251">
        <v>3961</v>
      </c>
      <c r="C251" t="b">
        <v>1</v>
      </c>
      <c r="D251">
        <v>8048</v>
      </c>
      <c r="E251">
        <v>8123</v>
      </c>
      <c r="F251">
        <v>8</v>
      </c>
      <c r="G251">
        <v>8</v>
      </c>
      <c r="H251">
        <v>1</v>
      </c>
      <c r="I251">
        <v>0</v>
      </c>
      <c r="J251">
        <v>0.5</v>
      </c>
    </row>
    <row r="252" spans="1:10" x14ac:dyDescent="0.3">
      <c r="A252">
        <v>250</v>
      </c>
      <c r="B252">
        <v>3977</v>
      </c>
      <c r="C252" t="b">
        <v>1</v>
      </c>
      <c r="D252">
        <v>8048</v>
      </c>
      <c r="E252">
        <v>8117</v>
      </c>
      <c r="F252">
        <v>8</v>
      </c>
      <c r="G252">
        <v>8</v>
      </c>
      <c r="H252">
        <v>1</v>
      </c>
      <c r="I252">
        <v>0</v>
      </c>
      <c r="J252">
        <v>0.5</v>
      </c>
    </row>
    <row r="253" spans="1:10" x14ac:dyDescent="0.3">
      <c r="A253">
        <v>251</v>
      </c>
      <c r="B253">
        <v>3992</v>
      </c>
      <c r="C253" t="b">
        <v>1</v>
      </c>
      <c r="D253">
        <v>8048</v>
      </c>
      <c r="E253">
        <v>8117</v>
      </c>
      <c r="F253">
        <v>8</v>
      </c>
      <c r="G253">
        <v>8</v>
      </c>
      <c r="H253">
        <v>1</v>
      </c>
      <c r="I253">
        <v>0</v>
      </c>
      <c r="J253">
        <v>0.5</v>
      </c>
    </row>
    <row r="254" spans="1:10" x14ac:dyDescent="0.3">
      <c r="A254">
        <v>252</v>
      </c>
      <c r="B254">
        <v>4008</v>
      </c>
      <c r="C254" t="b">
        <v>1</v>
      </c>
      <c r="D254">
        <v>8048</v>
      </c>
      <c r="E254">
        <v>8123</v>
      </c>
      <c r="F254">
        <v>8</v>
      </c>
      <c r="G254">
        <v>8</v>
      </c>
      <c r="H254">
        <v>1</v>
      </c>
      <c r="I254">
        <v>0</v>
      </c>
      <c r="J254">
        <v>0.5</v>
      </c>
    </row>
    <row r="255" spans="1:10" x14ac:dyDescent="0.3">
      <c r="A255">
        <v>253</v>
      </c>
      <c r="B255">
        <v>4024</v>
      </c>
      <c r="C255" t="b">
        <v>1</v>
      </c>
      <c r="D255">
        <v>8054</v>
      </c>
      <c r="E255">
        <v>8117</v>
      </c>
      <c r="F255">
        <v>8</v>
      </c>
      <c r="G255">
        <v>7.6</v>
      </c>
      <c r="H255">
        <v>1.0526316</v>
      </c>
      <c r="I255">
        <v>-5.2631589999999999E-2</v>
      </c>
      <c r="J255">
        <v>0.48717946000000001</v>
      </c>
    </row>
    <row r="256" spans="1:10" x14ac:dyDescent="0.3">
      <c r="A256">
        <v>254</v>
      </c>
      <c r="B256">
        <v>4040</v>
      </c>
      <c r="C256" t="b">
        <v>1</v>
      </c>
      <c r="D256">
        <v>8048</v>
      </c>
      <c r="E256">
        <v>8117</v>
      </c>
      <c r="F256">
        <v>8</v>
      </c>
      <c r="G256">
        <v>7.2</v>
      </c>
      <c r="H256">
        <v>1.1111112000000001</v>
      </c>
      <c r="I256">
        <v>-0.11111114</v>
      </c>
      <c r="J256">
        <v>0.4736842</v>
      </c>
    </row>
    <row r="257" spans="1:10" x14ac:dyDescent="0.3">
      <c r="A257">
        <v>255</v>
      </c>
      <c r="B257">
        <v>4056</v>
      </c>
      <c r="C257" t="b">
        <v>1</v>
      </c>
      <c r="D257">
        <v>8048</v>
      </c>
      <c r="E257">
        <v>8117</v>
      </c>
      <c r="F257">
        <v>8</v>
      </c>
      <c r="G257">
        <v>6.8</v>
      </c>
      <c r="H257">
        <v>1.1764705</v>
      </c>
      <c r="I257">
        <v>-0.17647055</v>
      </c>
      <c r="J257">
        <v>0.45945944999999999</v>
      </c>
    </row>
    <row r="258" spans="1:10" x14ac:dyDescent="0.3">
      <c r="A258">
        <v>256</v>
      </c>
      <c r="B258">
        <v>4071</v>
      </c>
      <c r="C258" t="b">
        <v>1</v>
      </c>
      <c r="D258">
        <v>8048</v>
      </c>
      <c r="E258">
        <v>8123</v>
      </c>
      <c r="F258">
        <v>8</v>
      </c>
      <c r="G258">
        <v>6.4</v>
      </c>
      <c r="H258">
        <v>1.25</v>
      </c>
      <c r="I258">
        <v>-0.24999999000000001</v>
      </c>
      <c r="J258">
        <v>0.44444447999999998</v>
      </c>
    </row>
    <row r="259" spans="1:10" x14ac:dyDescent="0.3">
      <c r="A259">
        <v>257</v>
      </c>
      <c r="B259">
        <v>4087</v>
      </c>
      <c r="C259" t="b">
        <v>1</v>
      </c>
      <c r="D259">
        <v>8042</v>
      </c>
      <c r="E259">
        <v>8123</v>
      </c>
      <c r="F259">
        <v>8</v>
      </c>
      <c r="G259">
        <v>6</v>
      </c>
      <c r="H259">
        <v>1.3333333999999999</v>
      </c>
      <c r="I259">
        <v>-0.33333333999999998</v>
      </c>
      <c r="J259">
        <v>0.42857142999999998</v>
      </c>
    </row>
    <row r="260" spans="1:10" x14ac:dyDescent="0.3">
      <c r="A260">
        <v>258</v>
      </c>
      <c r="B260">
        <v>4102</v>
      </c>
      <c r="C260" t="b">
        <v>1</v>
      </c>
      <c r="D260">
        <v>8048</v>
      </c>
      <c r="E260">
        <v>8123</v>
      </c>
      <c r="F260">
        <v>8</v>
      </c>
      <c r="G260">
        <v>6</v>
      </c>
      <c r="H260">
        <v>1.3333333999999999</v>
      </c>
      <c r="I260">
        <v>-0.33333333999999998</v>
      </c>
      <c r="J260">
        <v>0.42857142999999998</v>
      </c>
    </row>
    <row r="261" spans="1:10" x14ac:dyDescent="0.3">
      <c r="A261">
        <v>259</v>
      </c>
      <c r="B261">
        <v>4118</v>
      </c>
      <c r="C261" t="b">
        <v>1</v>
      </c>
      <c r="D261">
        <v>8048</v>
      </c>
      <c r="E261">
        <v>8129</v>
      </c>
      <c r="F261">
        <v>8</v>
      </c>
      <c r="G261">
        <v>6</v>
      </c>
      <c r="H261">
        <v>1.3333333999999999</v>
      </c>
      <c r="I261">
        <v>-0.33333333999999998</v>
      </c>
      <c r="J261">
        <v>0.42857142999999998</v>
      </c>
    </row>
    <row r="262" spans="1:10" x14ac:dyDescent="0.3">
      <c r="A262">
        <v>260</v>
      </c>
      <c r="B262">
        <v>4134</v>
      </c>
      <c r="C262" t="b">
        <v>1</v>
      </c>
      <c r="D262">
        <v>8048</v>
      </c>
      <c r="E262">
        <v>8123</v>
      </c>
      <c r="F262">
        <v>8</v>
      </c>
      <c r="G262">
        <v>6</v>
      </c>
      <c r="H262">
        <v>1.3333333999999999</v>
      </c>
      <c r="I262">
        <v>-0.33333333999999998</v>
      </c>
      <c r="J262">
        <v>0.42857142999999998</v>
      </c>
    </row>
    <row r="263" spans="1:10" x14ac:dyDescent="0.3">
      <c r="A263">
        <v>261</v>
      </c>
      <c r="B263">
        <v>4150</v>
      </c>
      <c r="C263" t="b">
        <v>1</v>
      </c>
      <c r="D263">
        <v>8054</v>
      </c>
      <c r="E263">
        <v>8123</v>
      </c>
      <c r="F263">
        <v>8</v>
      </c>
      <c r="G263">
        <v>6</v>
      </c>
      <c r="H263">
        <v>1.3333333999999999</v>
      </c>
      <c r="I263">
        <v>-0.33333333999999998</v>
      </c>
      <c r="J263">
        <v>0.42857142999999998</v>
      </c>
    </row>
    <row r="264" spans="1:10" x14ac:dyDescent="0.3">
      <c r="A264">
        <v>262</v>
      </c>
      <c r="B264">
        <v>4166</v>
      </c>
      <c r="C264" t="b">
        <v>1</v>
      </c>
      <c r="D264">
        <v>8042</v>
      </c>
      <c r="E264">
        <v>8129</v>
      </c>
      <c r="F264">
        <v>8</v>
      </c>
      <c r="G264">
        <v>6</v>
      </c>
      <c r="H264">
        <v>1.3333333999999999</v>
      </c>
      <c r="I264">
        <v>-0.33333333999999998</v>
      </c>
      <c r="J264">
        <v>0.42857142999999998</v>
      </c>
    </row>
    <row r="265" spans="1:10" x14ac:dyDescent="0.3">
      <c r="A265">
        <v>263</v>
      </c>
      <c r="B265">
        <v>4182</v>
      </c>
      <c r="C265" t="b">
        <v>1</v>
      </c>
      <c r="D265">
        <v>8042</v>
      </c>
      <c r="E265">
        <v>8117</v>
      </c>
      <c r="F265">
        <v>8</v>
      </c>
      <c r="G265">
        <v>6</v>
      </c>
      <c r="H265">
        <v>1.3333333999999999</v>
      </c>
      <c r="I265">
        <v>-0.33333333999999998</v>
      </c>
      <c r="J265">
        <v>0.42857142999999998</v>
      </c>
    </row>
    <row r="266" spans="1:10" x14ac:dyDescent="0.3">
      <c r="A266">
        <v>264</v>
      </c>
      <c r="B266">
        <v>4197</v>
      </c>
      <c r="C266" t="b">
        <v>1</v>
      </c>
      <c r="D266">
        <v>8042</v>
      </c>
      <c r="E266">
        <v>8117</v>
      </c>
      <c r="F266">
        <v>7.6</v>
      </c>
      <c r="G266">
        <v>6</v>
      </c>
      <c r="H266">
        <v>1.2666667</v>
      </c>
      <c r="I266">
        <v>-0.26666665000000001</v>
      </c>
      <c r="J266">
        <v>0.44117644</v>
      </c>
    </row>
    <row r="267" spans="1:10" x14ac:dyDescent="0.3">
      <c r="A267">
        <v>265</v>
      </c>
      <c r="B267">
        <v>4213</v>
      </c>
      <c r="C267" t="b">
        <v>1</v>
      </c>
      <c r="D267">
        <v>8048</v>
      </c>
      <c r="E267">
        <v>8117</v>
      </c>
      <c r="F267">
        <v>7.2</v>
      </c>
      <c r="G267">
        <v>5.6</v>
      </c>
      <c r="H267">
        <v>1.2857143</v>
      </c>
      <c r="I267">
        <v>-0.28571426999999999</v>
      </c>
      <c r="J267">
        <v>0.43750002999999998</v>
      </c>
    </row>
    <row r="268" spans="1:10" x14ac:dyDescent="0.3">
      <c r="A268">
        <v>266</v>
      </c>
      <c r="B268">
        <v>4229</v>
      </c>
      <c r="C268" t="b">
        <v>1</v>
      </c>
      <c r="D268">
        <v>8042</v>
      </c>
      <c r="E268">
        <v>8117</v>
      </c>
      <c r="F268">
        <v>6.8</v>
      </c>
      <c r="G268">
        <v>5.2</v>
      </c>
      <c r="H268">
        <v>1.3076924000000001</v>
      </c>
      <c r="I268">
        <v>-0.30769237999999999</v>
      </c>
      <c r="J268">
        <v>0.43333329999999998</v>
      </c>
    </row>
    <row r="269" spans="1:10" x14ac:dyDescent="0.3">
      <c r="A269">
        <v>267</v>
      </c>
      <c r="B269">
        <v>4245</v>
      </c>
      <c r="C269" t="b">
        <v>1</v>
      </c>
      <c r="D269">
        <v>8048</v>
      </c>
      <c r="E269">
        <v>8117</v>
      </c>
      <c r="F269">
        <v>6.4</v>
      </c>
      <c r="G269">
        <v>4.8</v>
      </c>
      <c r="H269">
        <v>1.3333333000000001</v>
      </c>
      <c r="I269">
        <v>-0.3333333</v>
      </c>
      <c r="J269">
        <v>0.42857139999999999</v>
      </c>
    </row>
    <row r="270" spans="1:10" x14ac:dyDescent="0.3">
      <c r="A270">
        <v>268</v>
      </c>
      <c r="B270">
        <v>4261</v>
      </c>
      <c r="C270" t="b">
        <v>1</v>
      </c>
      <c r="D270">
        <v>8048</v>
      </c>
      <c r="E270">
        <v>8117</v>
      </c>
      <c r="F270">
        <v>6.4</v>
      </c>
      <c r="G270">
        <v>4.8</v>
      </c>
      <c r="H270">
        <v>1.3333333000000001</v>
      </c>
      <c r="I270">
        <v>-0.3333333</v>
      </c>
      <c r="J270">
        <v>0.42857139999999999</v>
      </c>
    </row>
    <row r="271" spans="1:10" x14ac:dyDescent="0.3">
      <c r="A271">
        <v>269</v>
      </c>
      <c r="B271">
        <v>4277</v>
      </c>
      <c r="C271" t="b">
        <v>1</v>
      </c>
      <c r="D271">
        <v>8042</v>
      </c>
      <c r="E271">
        <v>8129</v>
      </c>
      <c r="F271">
        <v>6.4</v>
      </c>
      <c r="G271">
        <v>4.8</v>
      </c>
      <c r="H271">
        <v>1.3333333000000001</v>
      </c>
      <c r="I271">
        <v>-0.3333333</v>
      </c>
      <c r="J271">
        <v>0.42857139999999999</v>
      </c>
    </row>
    <row r="272" spans="1:10" x14ac:dyDescent="0.3">
      <c r="A272">
        <v>270</v>
      </c>
      <c r="B272">
        <v>4293</v>
      </c>
      <c r="C272" t="b">
        <v>1</v>
      </c>
      <c r="D272">
        <v>8042</v>
      </c>
      <c r="E272">
        <v>8123</v>
      </c>
      <c r="F272">
        <v>6</v>
      </c>
      <c r="G272">
        <v>4.8</v>
      </c>
      <c r="H272">
        <v>1.25</v>
      </c>
      <c r="I272">
        <v>-0.24999995999999999</v>
      </c>
      <c r="J272">
        <v>0.44444444999999999</v>
      </c>
    </row>
    <row r="273" spans="1:10" x14ac:dyDescent="0.3">
      <c r="A273">
        <v>271</v>
      </c>
      <c r="B273">
        <v>4309</v>
      </c>
      <c r="C273" t="b">
        <v>1</v>
      </c>
      <c r="D273">
        <v>8042</v>
      </c>
      <c r="E273">
        <v>8123</v>
      </c>
      <c r="F273">
        <v>5.6</v>
      </c>
      <c r="G273">
        <v>5.2</v>
      </c>
      <c r="H273">
        <v>1.0769230999999999</v>
      </c>
      <c r="I273">
        <v>-7.6923094999999997E-2</v>
      </c>
      <c r="J273">
        <v>0.48148150000000001</v>
      </c>
    </row>
    <row r="274" spans="1:10" x14ac:dyDescent="0.3">
      <c r="A274">
        <v>272</v>
      </c>
      <c r="B274">
        <v>4324</v>
      </c>
      <c r="C274" t="b">
        <v>1</v>
      </c>
      <c r="D274">
        <v>8042</v>
      </c>
      <c r="E274">
        <v>8123</v>
      </c>
      <c r="F274">
        <v>5.2</v>
      </c>
      <c r="G274">
        <v>5.6</v>
      </c>
      <c r="H274">
        <v>0.92857140000000005</v>
      </c>
      <c r="I274">
        <v>7.142859E-2</v>
      </c>
      <c r="J274">
        <v>0.51851857000000001</v>
      </c>
    </row>
    <row r="275" spans="1:10" x14ac:dyDescent="0.3">
      <c r="A275">
        <v>273</v>
      </c>
      <c r="B275">
        <v>4340</v>
      </c>
      <c r="C275" t="b">
        <v>1</v>
      </c>
      <c r="D275">
        <v>8042</v>
      </c>
      <c r="E275">
        <v>8123</v>
      </c>
      <c r="F275">
        <v>4.8</v>
      </c>
      <c r="G275">
        <v>5.6</v>
      </c>
      <c r="H275">
        <v>0.85714290000000004</v>
      </c>
      <c r="I275">
        <v>0.14285708999999999</v>
      </c>
      <c r="J275">
        <v>0.53846156999999994</v>
      </c>
    </row>
    <row r="276" spans="1:10" x14ac:dyDescent="0.3">
      <c r="A276">
        <v>274</v>
      </c>
      <c r="B276">
        <v>4356</v>
      </c>
      <c r="C276" t="b">
        <v>1</v>
      </c>
      <c r="D276">
        <v>8048</v>
      </c>
      <c r="E276">
        <v>8129</v>
      </c>
      <c r="F276">
        <v>4.4000000000000004</v>
      </c>
      <c r="G276">
        <v>5.6</v>
      </c>
      <c r="H276">
        <v>0.78571429999999998</v>
      </c>
      <c r="I276">
        <v>0.21428569</v>
      </c>
      <c r="J276">
        <v>0.56000000000000005</v>
      </c>
    </row>
    <row r="277" spans="1:10" x14ac:dyDescent="0.3">
      <c r="A277">
        <v>275</v>
      </c>
      <c r="B277">
        <v>4372</v>
      </c>
      <c r="C277" t="b">
        <v>1</v>
      </c>
      <c r="D277">
        <v>8054</v>
      </c>
      <c r="E277">
        <v>8123</v>
      </c>
      <c r="F277">
        <v>4</v>
      </c>
      <c r="G277">
        <v>5.6</v>
      </c>
      <c r="H277">
        <v>0.71428572999999995</v>
      </c>
      <c r="I277">
        <v>0.28571426999999999</v>
      </c>
      <c r="J277">
        <v>0.58333330000000005</v>
      </c>
    </row>
    <row r="278" spans="1:10" x14ac:dyDescent="0.3">
      <c r="A278">
        <v>276</v>
      </c>
      <c r="B278">
        <v>4388</v>
      </c>
      <c r="C278" t="b">
        <v>1</v>
      </c>
      <c r="D278">
        <v>8048</v>
      </c>
      <c r="E278">
        <v>8129</v>
      </c>
      <c r="F278">
        <v>4</v>
      </c>
      <c r="G278">
        <v>5.6</v>
      </c>
      <c r="H278">
        <v>0.71428572999999995</v>
      </c>
      <c r="I278">
        <v>0.28571426999999999</v>
      </c>
      <c r="J278">
        <v>0.58333330000000005</v>
      </c>
    </row>
    <row r="279" spans="1:10" x14ac:dyDescent="0.3">
      <c r="A279">
        <v>277</v>
      </c>
      <c r="B279">
        <v>4403</v>
      </c>
      <c r="C279" t="b">
        <v>1</v>
      </c>
      <c r="D279">
        <v>8048</v>
      </c>
      <c r="E279">
        <v>8123</v>
      </c>
      <c r="F279">
        <v>4</v>
      </c>
      <c r="G279">
        <v>5.6</v>
      </c>
      <c r="H279">
        <v>0.71428572999999995</v>
      </c>
      <c r="I279">
        <v>0.28571426999999999</v>
      </c>
      <c r="J279">
        <v>0.58333330000000005</v>
      </c>
    </row>
    <row r="280" spans="1:10" x14ac:dyDescent="0.3">
      <c r="A280">
        <v>278</v>
      </c>
      <c r="B280">
        <v>4419</v>
      </c>
      <c r="C280" t="b">
        <v>1</v>
      </c>
      <c r="D280">
        <v>8048</v>
      </c>
      <c r="E280">
        <v>8129</v>
      </c>
      <c r="F280">
        <v>4</v>
      </c>
      <c r="G280">
        <v>6</v>
      </c>
      <c r="H280">
        <v>0.66666669999999995</v>
      </c>
      <c r="I280">
        <v>0.33333333999999998</v>
      </c>
      <c r="J280">
        <v>0.6</v>
      </c>
    </row>
    <row r="281" spans="1:10" x14ac:dyDescent="0.3">
      <c r="A281">
        <v>279</v>
      </c>
      <c r="B281">
        <v>4435</v>
      </c>
      <c r="C281" t="b">
        <v>1</v>
      </c>
      <c r="D281">
        <v>8048</v>
      </c>
      <c r="E281">
        <v>8123</v>
      </c>
      <c r="F281">
        <v>4.4000000000000004</v>
      </c>
      <c r="G281">
        <v>6</v>
      </c>
      <c r="H281">
        <v>0.73333334999999999</v>
      </c>
      <c r="I281">
        <v>0.26666665000000001</v>
      </c>
      <c r="J281">
        <v>0.57692310000000002</v>
      </c>
    </row>
    <row r="282" spans="1:10" x14ac:dyDescent="0.3">
      <c r="A282">
        <v>280</v>
      </c>
      <c r="B282">
        <v>4451</v>
      </c>
      <c r="C282" t="b">
        <v>1</v>
      </c>
      <c r="D282">
        <v>8048</v>
      </c>
      <c r="E282">
        <v>8129</v>
      </c>
      <c r="F282">
        <v>4.8</v>
      </c>
      <c r="G282">
        <v>6.8</v>
      </c>
      <c r="H282">
        <v>0.70588240000000002</v>
      </c>
      <c r="I282">
        <v>0.29411763000000002</v>
      </c>
      <c r="J282">
        <v>0.58620689999999998</v>
      </c>
    </row>
    <row r="283" spans="1:10" x14ac:dyDescent="0.3">
      <c r="A283">
        <v>281</v>
      </c>
      <c r="B283">
        <v>4467</v>
      </c>
      <c r="C283" t="b">
        <v>1</v>
      </c>
      <c r="D283">
        <v>8048</v>
      </c>
      <c r="E283">
        <v>8123</v>
      </c>
      <c r="F283">
        <v>5.2</v>
      </c>
      <c r="G283">
        <v>7.2</v>
      </c>
      <c r="H283">
        <v>0.72222220000000004</v>
      </c>
      <c r="I283">
        <v>0.27777780000000002</v>
      </c>
      <c r="J283">
        <v>0.58064514</v>
      </c>
    </row>
    <row r="284" spans="1:10" x14ac:dyDescent="0.3">
      <c r="A284">
        <v>282</v>
      </c>
      <c r="B284">
        <v>4482</v>
      </c>
      <c r="C284" t="b">
        <v>1</v>
      </c>
      <c r="D284">
        <v>8048</v>
      </c>
      <c r="E284">
        <v>8123</v>
      </c>
      <c r="F284">
        <v>5.6</v>
      </c>
      <c r="G284">
        <v>7.6</v>
      </c>
      <c r="H284">
        <v>0.73684210000000006</v>
      </c>
      <c r="I284">
        <v>0.2631579</v>
      </c>
      <c r="J284">
        <v>0.57575756</v>
      </c>
    </row>
    <row r="285" spans="1:10" x14ac:dyDescent="0.3">
      <c r="A285">
        <v>283</v>
      </c>
      <c r="B285">
        <v>4498</v>
      </c>
      <c r="C285" t="b">
        <v>1</v>
      </c>
      <c r="D285">
        <v>8048</v>
      </c>
      <c r="E285">
        <v>8129</v>
      </c>
      <c r="F285">
        <v>5.6</v>
      </c>
      <c r="G285">
        <v>8</v>
      </c>
      <c r="H285">
        <v>0.7</v>
      </c>
      <c r="I285">
        <v>0.3</v>
      </c>
      <c r="J285">
        <v>0.58823526000000004</v>
      </c>
    </row>
    <row r="286" spans="1:10" x14ac:dyDescent="0.3">
      <c r="A286">
        <v>284</v>
      </c>
      <c r="B286">
        <v>4514</v>
      </c>
      <c r="C286" t="b">
        <v>1</v>
      </c>
      <c r="D286">
        <v>8048</v>
      </c>
      <c r="E286">
        <v>8123</v>
      </c>
      <c r="F286">
        <v>5.6</v>
      </c>
      <c r="G286">
        <v>8.4</v>
      </c>
      <c r="H286">
        <v>0.66666669999999995</v>
      </c>
      <c r="I286">
        <v>0.3333333</v>
      </c>
      <c r="J286">
        <v>0.59999996</v>
      </c>
    </row>
    <row r="287" spans="1:10" x14ac:dyDescent="0.3">
      <c r="A287">
        <v>285</v>
      </c>
      <c r="B287">
        <v>4530</v>
      </c>
      <c r="C287" t="b">
        <v>1</v>
      </c>
      <c r="D287">
        <v>8048</v>
      </c>
      <c r="E287">
        <v>8129</v>
      </c>
      <c r="F287">
        <v>6</v>
      </c>
      <c r="G287">
        <v>8.8000000000000007</v>
      </c>
      <c r="H287">
        <v>0.68181820000000004</v>
      </c>
      <c r="I287">
        <v>0.31818183999999999</v>
      </c>
      <c r="J287">
        <v>0.59459459999999997</v>
      </c>
    </row>
    <row r="288" spans="1:10" x14ac:dyDescent="0.3">
      <c r="A288">
        <v>286</v>
      </c>
      <c r="B288">
        <v>4546</v>
      </c>
      <c r="C288" t="b">
        <v>1</v>
      </c>
      <c r="D288">
        <v>8048</v>
      </c>
      <c r="E288">
        <v>8123</v>
      </c>
      <c r="F288">
        <v>6.4</v>
      </c>
      <c r="G288">
        <v>8.8000000000000007</v>
      </c>
      <c r="H288">
        <v>0.72727275000000002</v>
      </c>
      <c r="I288">
        <v>0.27272728000000002</v>
      </c>
      <c r="J288">
        <v>0.57894736999999996</v>
      </c>
    </row>
    <row r="289" spans="1:10" x14ac:dyDescent="0.3">
      <c r="A289">
        <v>287</v>
      </c>
      <c r="B289">
        <v>4562</v>
      </c>
      <c r="C289" t="b">
        <v>1</v>
      </c>
      <c r="D289">
        <v>8048</v>
      </c>
      <c r="E289">
        <v>8129</v>
      </c>
      <c r="F289">
        <v>6.8</v>
      </c>
      <c r="G289">
        <v>9.1999999999999993</v>
      </c>
      <c r="H289">
        <v>0.73913050000000002</v>
      </c>
      <c r="I289">
        <v>0.26086953000000002</v>
      </c>
      <c r="J289">
        <v>0.57499999999999996</v>
      </c>
    </row>
    <row r="290" spans="1:10" x14ac:dyDescent="0.3">
      <c r="A290">
        <v>288</v>
      </c>
      <c r="B290">
        <v>4578</v>
      </c>
      <c r="C290" t="b">
        <v>1</v>
      </c>
      <c r="D290">
        <v>8054</v>
      </c>
      <c r="E290">
        <v>8123</v>
      </c>
      <c r="F290">
        <v>7.2</v>
      </c>
      <c r="G290">
        <v>9.1999999999999993</v>
      </c>
      <c r="H290">
        <v>0.78260870000000005</v>
      </c>
      <c r="I290">
        <v>0.21739131</v>
      </c>
      <c r="J290">
        <v>0.56097560000000002</v>
      </c>
    </row>
    <row r="291" spans="1:10" x14ac:dyDescent="0.3">
      <c r="A291">
        <v>289</v>
      </c>
      <c r="B291">
        <v>4594</v>
      </c>
      <c r="C291" t="b">
        <v>1</v>
      </c>
      <c r="D291">
        <v>8048</v>
      </c>
      <c r="E291">
        <v>8123</v>
      </c>
      <c r="F291">
        <v>7.6</v>
      </c>
      <c r="G291">
        <v>9.1999999999999993</v>
      </c>
      <c r="H291">
        <v>0.82608694000000005</v>
      </c>
      <c r="I291">
        <v>0.17391303</v>
      </c>
      <c r="J291">
        <v>0.54761903999999995</v>
      </c>
    </row>
    <row r="292" spans="1:10" x14ac:dyDescent="0.3">
      <c r="A292">
        <v>290</v>
      </c>
      <c r="B292">
        <v>4610</v>
      </c>
      <c r="C292" t="b">
        <v>1</v>
      </c>
      <c r="D292">
        <v>8048</v>
      </c>
      <c r="E292">
        <v>8123</v>
      </c>
      <c r="F292">
        <v>8</v>
      </c>
      <c r="G292">
        <v>9.1999999999999993</v>
      </c>
      <c r="H292">
        <v>0.86956524999999996</v>
      </c>
      <c r="I292">
        <v>0.13043477000000001</v>
      </c>
      <c r="J292">
        <v>0.53488369999999996</v>
      </c>
    </row>
    <row r="293" spans="1:10" x14ac:dyDescent="0.3">
      <c r="A293">
        <v>291</v>
      </c>
      <c r="B293">
        <v>4625</v>
      </c>
      <c r="C293" t="b">
        <v>1</v>
      </c>
      <c r="D293">
        <v>8048</v>
      </c>
      <c r="E293">
        <v>8123</v>
      </c>
      <c r="F293">
        <v>8</v>
      </c>
      <c r="G293">
        <v>9.1999999999999993</v>
      </c>
      <c r="H293">
        <v>0.86956524999999996</v>
      </c>
      <c r="I293">
        <v>0.13043477000000001</v>
      </c>
      <c r="J293">
        <v>0.53488369999999996</v>
      </c>
    </row>
    <row r="294" spans="1:10" x14ac:dyDescent="0.3">
      <c r="A294">
        <v>292</v>
      </c>
      <c r="B294">
        <v>4641</v>
      </c>
      <c r="C294" t="b">
        <v>1</v>
      </c>
      <c r="D294">
        <v>8054</v>
      </c>
      <c r="E294">
        <v>8123</v>
      </c>
      <c r="F294">
        <v>8</v>
      </c>
      <c r="G294">
        <v>9.1999999999999993</v>
      </c>
      <c r="H294">
        <v>0.86956524999999996</v>
      </c>
      <c r="I294">
        <v>0.13043477000000001</v>
      </c>
      <c r="J294">
        <v>0.53488369999999996</v>
      </c>
    </row>
    <row r="295" spans="1:10" x14ac:dyDescent="0.3">
      <c r="A295">
        <v>293</v>
      </c>
      <c r="B295">
        <v>4657</v>
      </c>
      <c r="C295" t="b">
        <v>1</v>
      </c>
      <c r="D295">
        <v>8054</v>
      </c>
      <c r="E295">
        <v>8129</v>
      </c>
      <c r="F295">
        <v>8</v>
      </c>
      <c r="G295">
        <v>8.8000000000000007</v>
      </c>
      <c r="H295">
        <v>0.90909090000000004</v>
      </c>
      <c r="I295">
        <v>9.0909110000000001E-2</v>
      </c>
      <c r="J295">
        <v>0.52380954999999996</v>
      </c>
    </row>
    <row r="296" spans="1:10" x14ac:dyDescent="0.3">
      <c r="A296">
        <v>294</v>
      </c>
      <c r="B296">
        <v>4681</v>
      </c>
      <c r="C296" t="b">
        <v>1</v>
      </c>
      <c r="D296">
        <v>8048</v>
      </c>
      <c r="E296">
        <v>8117</v>
      </c>
      <c r="F296">
        <v>8</v>
      </c>
      <c r="G296">
        <v>8.8000000000000007</v>
      </c>
      <c r="H296">
        <v>0.90909090000000004</v>
      </c>
      <c r="I296">
        <v>9.0909110000000001E-2</v>
      </c>
      <c r="J296">
        <v>0.52380954999999996</v>
      </c>
    </row>
    <row r="297" spans="1:10" x14ac:dyDescent="0.3">
      <c r="A297">
        <v>295</v>
      </c>
      <c r="B297">
        <v>4696</v>
      </c>
      <c r="C297" t="b">
        <v>1</v>
      </c>
      <c r="D297">
        <v>8048</v>
      </c>
      <c r="E297">
        <v>8117</v>
      </c>
      <c r="F297">
        <v>8</v>
      </c>
      <c r="G297">
        <v>8.4</v>
      </c>
      <c r="H297">
        <v>0.95238100000000003</v>
      </c>
      <c r="I297">
        <v>4.7619003999999999E-2</v>
      </c>
      <c r="J297">
        <v>0.51219510000000001</v>
      </c>
    </row>
    <row r="298" spans="1:10" x14ac:dyDescent="0.3">
      <c r="A298">
        <v>296</v>
      </c>
      <c r="B298">
        <v>4712</v>
      </c>
      <c r="C298" t="b">
        <v>1</v>
      </c>
      <c r="D298">
        <v>8048</v>
      </c>
      <c r="E298">
        <v>8117</v>
      </c>
      <c r="F298">
        <v>8</v>
      </c>
      <c r="G298">
        <v>8</v>
      </c>
      <c r="H298">
        <v>1</v>
      </c>
      <c r="I298">
        <v>0</v>
      </c>
      <c r="J298">
        <v>0.5</v>
      </c>
    </row>
    <row r="299" spans="1:10" x14ac:dyDescent="0.3">
      <c r="A299">
        <v>297</v>
      </c>
      <c r="B299">
        <v>4728</v>
      </c>
      <c r="C299" t="b">
        <v>1</v>
      </c>
      <c r="D299">
        <v>8048</v>
      </c>
      <c r="E299">
        <v>8117</v>
      </c>
      <c r="F299">
        <v>8</v>
      </c>
      <c r="G299">
        <v>7.6</v>
      </c>
      <c r="H299">
        <v>1.0526316</v>
      </c>
      <c r="I299">
        <v>-5.2631589999999999E-2</v>
      </c>
      <c r="J299">
        <v>0.48717946000000001</v>
      </c>
    </row>
    <row r="300" spans="1:10" x14ac:dyDescent="0.3">
      <c r="A300">
        <v>298</v>
      </c>
      <c r="B300">
        <v>4744</v>
      </c>
      <c r="C300" t="b">
        <v>1</v>
      </c>
      <c r="D300">
        <v>8048</v>
      </c>
      <c r="E300">
        <v>8117</v>
      </c>
      <c r="F300">
        <v>8</v>
      </c>
      <c r="G300">
        <v>7.2</v>
      </c>
      <c r="H300">
        <v>1.1111112000000001</v>
      </c>
      <c r="I300">
        <v>-0.11111114</v>
      </c>
      <c r="J300">
        <v>0.4736842</v>
      </c>
    </row>
    <row r="301" spans="1:10" x14ac:dyDescent="0.3">
      <c r="A301">
        <v>299</v>
      </c>
      <c r="B301">
        <v>4760</v>
      </c>
      <c r="C301" t="b">
        <v>1</v>
      </c>
      <c r="D301">
        <v>8048</v>
      </c>
      <c r="E301">
        <v>8123</v>
      </c>
      <c r="F301">
        <v>8</v>
      </c>
      <c r="G301">
        <v>6.8</v>
      </c>
      <c r="H301">
        <v>1.1764705</v>
      </c>
      <c r="I301">
        <v>-0.17647055</v>
      </c>
      <c r="J301">
        <v>0.45945944999999999</v>
      </c>
    </row>
    <row r="302" spans="1:10" x14ac:dyDescent="0.3">
      <c r="A302">
        <v>300</v>
      </c>
      <c r="B302">
        <v>4776</v>
      </c>
      <c r="C302" t="b">
        <v>1</v>
      </c>
      <c r="D302">
        <v>8048</v>
      </c>
      <c r="E302">
        <v>8129</v>
      </c>
      <c r="F302">
        <v>8</v>
      </c>
      <c r="G302">
        <v>6.4</v>
      </c>
      <c r="H302">
        <v>1.25</v>
      </c>
      <c r="I302">
        <v>-0.24999999000000001</v>
      </c>
      <c r="J302">
        <v>0.44444447999999998</v>
      </c>
    </row>
    <row r="303" spans="1:10" x14ac:dyDescent="0.3">
      <c r="A303">
        <v>301</v>
      </c>
      <c r="B303">
        <v>4792</v>
      </c>
      <c r="C303" t="b">
        <v>1</v>
      </c>
      <c r="D303">
        <v>8048</v>
      </c>
      <c r="E303">
        <v>8129</v>
      </c>
      <c r="F303">
        <v>8</v>
      </c>
      <c r="G303">
        <v>6.4</v>
      </c>
      <c r="H303">
        <v>1.25</v>
      </c>
      <c r="I303">
        <v>-0.24999999000000001</v>
      </c>
      <c r="J303">
        <v>0.44444447999999998</v>
      </c>
    </row>
    <row r="304" spans="1:10" x14ac:dyDescent="0.3">
      <c r="A304">
        <v>302</v>
      </c>
      <c r="B304">
        <v>4807</v>
      </c>
      <c r="C304" t="b">
        <v>1</v>
      </c>
      <c r="D304">
        <v>8048</v>
      </c>
      <c r="E304">
        <v>8123</v>
      </c>
      <c r="F304">
        <v>8</v>
      </c>
      <c r="G304">
        <v>6</v>
      </c>
      <c r="H304">
        <v>1.3333333999999999</v>
      </c>
      <c r="I304">
        <v>-0.33333333999999998</v>
      </c>
      <c r="J304">
        <v>0.42857142999999998</v>
      </c>
    </row>
    <row r="305" spans="1:10" x14ac:dyDescent="0.3">
      <c r="A305">
        <v>303</v>
      </c>
      <c r="B305">
        <v>4824</v>
      </c>
      <c r="C305" t="b">
        <v>1</v>
      </c>
      <c r="D305">
        <v>8054</v>
      </c>
      <c r="E305">
        <v>8123</v>
      </c>
      <c r="F305">
        <v>8</v>
      </c>
      <c r="G305">
        <v>6</v>
      </c>
      <c r="H305">
        <v>1.3333333999999999</v>
      </c>
      <c r="I305">
        <v>-0.33333333999999998</v>
      </c>
      <c r="J305">
        <v>0.42857142999999998</v>
      </c>
    </row>
    <row r="306" spans="1:10" x14ac:dyDescent="0.3">
      <c r="A306">
        <v>304</v>
      </c>
      <c r="B306">
        <v>4839</v>
      </c>
      <c r="C306" t="b">
        <v>1</v>
      </c>
      <c r="D306">
        <v>8048</v>
      </c>
      <c r="E306">
        <v>8129</v>
      </c>
      <c r="F306">
        <v>8</v>
      </c>
      <c r="G306">
        <v>6.4</v>
      </c>
      <c r="H306">
        <v>1.25</v>
      </c>
      <c r="I306">
        <v>-0.24999999000000001</v>
      </c>
      <c r="J306">
        <v>0.44444447999999998</v>
      </c>
    </row>
    <row r="307" spans="1:10" x14ac:dyDescent="0.3">
      <c r="A307">
        <v>305</v>
      </c>
      <c r="B307">
        <v>4855</v>
      </c>
      <c r="C307" t="b">
        <v>1</v>
      </c>
      <c r="D307">
        <v>8048</v>
      </c>
      <c r="E307">
        <v>8123</v>
      </c>
      <c r="F307">
        <v>8</v>
      </c>
      <c r="G307">
        <v>6.4</v>
      </c>
      <c r="H307">
        <v>1.25</v>
      </c>
      <c r="I307">
        <v>-0.24999999000000001</v>
      </c>
      <c r="J307">
        <v>0.44444447999999998</v>
      </c>
    </row>
    <row r="308" spans="1:10" x14ac:dyDescent="0.3">
      <c r="A308">
        <v>306</v>
      </c>
      <c r="B308">
        <v>4871</v>
      </c>
      <c r="C308" t="b">
        <v>1</v>
      </c>
      <c r="D308">
        <v>8054</v>
      </c>
      <c r="E308">
        <v>8117</v>
      </c>
      <c r="F308">
        <v>8</v>
      </c>
      <c r="G308">
        <v>6.4</v>
      </c>
      <c r="H308">
        <v>1.25</v>
      </c>
      <c r="I308">
        <v>-0.24999999000000001</v>
      </c>
      <c r="J308">
        <v>0.44444447999999998</v>
      </c>
    </row>
    <row r="309" spans="1:10" x14ac:dyDescent="0.3">
      <c r="A309">
        <v>307</v>
      </c>
      <c r="B309">
        <v>4887</v>
      </c>
      <c r="C309" t="b">
        <v>1</v>
      </c>
      <c r="D309">
        <v>8042</v>
      </c>
      <c r="E309">
        <v>8117</v>
      </c>
      <c r="F309">
        <v>8</v>
      </c>
      <c r="G309">
        <v>6.4</v>
      </c>
      <c r="H309">
        <v>1.25</v>
      </c>
      <c r="I309">
        <v>-0.24999999000000001</v>
      </c>
      <c r="J309">
        <v>0.44444447999999998</v>
      </c>
    </row>
    <row r="310" spans="1:10" x14ac:dyDescent="0.3">
      <c r="A310">
        <v>308</v>
      </c>
      <c r="B310">
        <v>4903</v>
      </c>
      <c r="C310" t="b">
        <v>1</v>
      </c>
      <c r="D310">
        <v>8042</v>
      </c>
      <c r="E310">
        <v>8117</v>
      </c>
      <c r="F310">
        <v>8</v>
      </c>
      <c r="G310">
        <v>6</v>
      </c>
      <c r="H310">
        <v>1.3333333999999999</v>
      </c>
      <c r="I310">
        <v>-0.33333333999999998</v>
      </c>
      <c r="J310">
        <v>0.42857142999999998</v>
      </c>
    </row>
    <row r="311" spans="1:10" x14ac:dyDescent="0.3">
      <c r="A311">
        <v>309</v>
      </c>
      <c r="B311">
        <v>4919</v>
      </c>
      <c r="C311" t="b">
        <v>1</v>
      </c>
      <c r="D311">
        <v>8042</v>
      </c>
      <c r="E311">
        <v>8117</v>
      </c>
      <c r="F311">
        <v>7.6</v>
      </c>
      <c r="G311">
        <v>5.6</v>
      </c>
      <c r="H311">
        <v>1.3571428000000001</v>
      </c>
      <c r="I311">
        <v>-0.35714287</v>
      </c>
      <c r="J311">
        <v>0.42424244</v>
      </c>
    </row>
    <row r="312" spans="1:10" x14ac:dyDescent="0.3">
      <c r="A312">
        <v>310</v>
      </c>
      <c r="B312">
        <v>4935</v>
      </c>
      <c r="C312" t="b">
        <v>1</v>
      </c>
      <c r="D312">
        <v>8048</v>
      </c>
      <c r="E312">
        <v>8117</v>
      </c>
      <c r="F312">
        <v>7.2</v>
      </c>
      <c r="G312">
        <v>5.2</v>
      </c>
      <c r="H312">
        <v>1.3846153999999999</v>
      </c>
      <c r="I312">
        <v>-0.3846154</v>
      </c>
      <c r="J312">
        <v>0.41935483000000001</v>
      </c>
    </row>
    <row r="313" spans="1:10" x14ac:dyDescent="0.3">
      <c r="A313">
        <v>311</v>
      </c>
      <c r="B313">
        <v>4950</v>
      </c>
      <c r="C313" t="b">
        <v>1</v>
      </c>
      <c r="D313">
        <v>8042</v>
      </c>
      <c r="E313">
        <v>8117</v>
      </c>
      <c r="F313">
        <v>6.8</v>
      </c>
      <c r="G313">
        <v>5.2</v>
      </c>
      <c r="H313">
        <v>1.3076924000000001</v>
      </c>
      <c r="I313">
        <v>-0.30769237999999999</v>
      </c>
      <c r="J313">
        <v>0.43333329999999998</v>
      </c>
    </row>
    <row r="314" spans="1:10" x14ac:dyDescent="0.3">
      <c r="A314">
        <v>312</v>
      </c>
      <c r="B314">
        <v>4966</v>
      </c>
      <c r="C314" t="b">
        <v>1</v>
      </c>
      <c r="D314">
        <v>8042</v>
      </c>
      <c r="E314">
        <v>8123</v>
      </c>
      <c r="F314">
        <v>6.4</v>
      </c>
      <c r="G314">
        <v>5.2</v>
      </c>
      <c r="H314">
        <v>1.2307693</v>
      </c>
      <c r="I314">
        <v>-0.23076928999999999</v>
      </c>
      <c r="J314">
        <v>0.44827582999999999</v>
      </c>
    </row>
    <row r="315" spans="1:10" x14ac:dyDescent="0.3">
      <c r="A315">
        <v>313</v>
      </c>
      <c r="B315">
        <v>4982</v>
      </c>
      <c r="C315" t="b">
        <v>1</v>
      </c>
      <c r="D315">
        <v>8048</v>
      </c>
      <c r="E315">
        <v>8134</v>
      </c>
      <c r="F315">
        <v>6</v>
      </c>
      <c r="G315">
        <v>5.2</v>
      </c>
      <c r="H315">
        <v>1.1538461</v>
      </c>
      <c r="I315">
        <v>-0.15384618999999999</v>
      </c>
      <c r="J315">
        <v>0.46428570000000002</v>
      </c>
    </row>
    <row r="316" spans="1:10" x14ac:dyDescent="0.3">
      <c r="A316">
        <v>314</v>
      </c>
      <c r="B316">
        <v>4998</v>
      </c>
      <c r="C316" t="b">
        <v>1</v>
      </c>
      <c r="D316">
        <v>8054</v>
      </c>
      <c r="E316">
        <v>8123</v>
      </c>
      <c r="F316">
        <v>6</v>
      </c>
      <c r="G316">
        <v>5.6</v>
      </c>
      <c r="H316">
        <v>1.0714284999999999</v>
      </c>
      <c r="I316">
        <v>-7.142859E-2</v>
      </c>
      <c r="J316">
        <v>0.48275859999999998</v>
      </c>
    </row>
    <row r="317" spans="1:10" x14ac:dyDescent="0.3">
      <c r="A317">
        <v>315</v>
      </c>
      <c r="B317">
        <v>5014</v>
      </c>
      <c r="C317" t="b">
        <v>1</v>
      </c>
      <c r="D317">
        <v>8048</v>
      </c>
      <c r="E317">
        <v>8123</v>
      </c>
      <c r="F317">
        <v>6</v>
      </c>
      <c r="G317">
        <v>6</v>
      </c>
      <c r="H317">
        <v>1</v>
      </c>
      <c r="I317">
        <v>0</v>
      </c>
      <c r="J317">
        <v>0.5</v>
      </c>
    </row>
    <row r="318" spans="1:10" x14ac:dyDescent="0.3">
      <c r="A318">
        <v>316</v>
      </c>
      <c r="B318">
        <v>5030</v>
      </c>
      <c r="C318" t="b">
        <v>1</v>
      </c>
      <c r="D318">
        <v>8048</v>
      </c>
      <c r="E318">
        <v>8129</v>
      </c>
      <c r="F318">
        <v>6</v>
      </c>
      <c r="G318">
        <v>6</v>
      </c>
      <c r="H318">
        <v>1</v>
      </c>
      <c r="I318">
        <v>0</v>
      </c>
      <c r="J318">
        <v>0.5</v>
      </c>
    </row>
    <row r="319" spans="1:10" x14ac:dyDescent="0.3">
      <c r="A319">
        <v>317</v>
      </c>
      <c r="B319">
        <v>5046</v>
      </c>
      <c r="C319" t="b">
        <v>1</v>
      </c>
      <c r="D319">
        <v>8048</v>
      </c>
      <c r="E319">
        <v>8123</v>
      </c>
      <c r="F319">
        <v>6</v>
      </c>
      <c r="G319">
        <v>6</v>
      </c>
      <c r="H319">
        <v>1</v>
      </c>
      <c r="I319">
        <v>0</v>
      </c>
      <c r="J319">
        <v>0.5</v>
      </c>
    </row>
    <row r="320" spans="1:10" x14ac:dyDescent="0.3">
      <c r="A320">
        <v>318</v>
      </c>
      <c r="B320">
        <v>5062</v>
      </c>
      <c r="C320" t="b">
        <v>1</v>
      </c>
      <c r="D320">
        <v>8048</v>
      </c>
      <c r="E320">
        <v>8123</v>
      </c>
      <c r="F320">
        <v>6</v>
      </c>
      <c r="G320">
        <v>6</v>
      </c>
      <c r="H320">
        <v>1</v>
      </c>
      <c r="I320">
        <v>0</v>
      </c>
      <c r="J320">
        <v>0.5</v>
      </c>
    </row>
    <row r="321" spans="1:10" x14ac:dyDescent="0.3">
      <c r="A321">
        <v>319</v>
      </c>
      <c r="B321">
        <v>5078</v>
      </c>
      <c r="C321" t="b">
        <v>1</v>
      </c>
      <c r="D321">
        <v>8042</v>
      </c>
      <c r="E321">
        <v>8123</v>
      </c>
      <c r="F321">
        <v>6</v>
      </c>
      <c r="G321">
        <v>5.6</v>
      </c>
      <c r="H321">
        <v>1.0714284999999999</v>
      </c>
      <c r="I321">
        <v>-7.142859E-2</v>
      </c>
      <c r="J321">
        <v>0.48275859999999998</v>
      </c>
    </row>
    <row r="322" spans="1:10" x14ac:dyDescent="0.3">
      <c r="A322">
        <v>320</v>
      </c>
      <c r="B322">
        <v>5094</v>
      </c>
      <c r="C322" t="b">
        <v>1</v>
      </c>
      <c r="D322">
        <v>8048</v>
      </c>
      <c r="E322">
        <v>8123</v>
      </c>
      <c r="F322">
        <v>6</v>
      </c>
      <c r="G322">
        <v>5.6</v>
      </c>
      <c r="H322">
        <v>1.0714284999999999</v>
      </c>
      <c r="I322">
        <v>-7.142859E-2</v>
      </c>
      <c r="J322">
        <v>0.48275859999999998</v>
      </c>
    </row>
    <row r="323" spans="1:10" x14ac:dyDescent="0.3">
      <c r="A323">
        <v>321</v>
      </c>
      <c r="B323">
        <v>5110</v>
      </c>
      <c r="C323" t="b">
        <v>1</v>
      </c>
      <c r="D323">
        <v>8042</v>
      </c>
      <c r="E323">
        <v>8123</v>
      </c>
      <c r="F323">
        <v>6</v>
      </c>
      <c r="G323">
        <v>5.6</v>
      </c>
      <c r="H323">
        <v>1.0714284999999999</v>
      </c>
      <c r="I323">
        <v>-7.142859E-2</v>
      </c>
      <c r="J323">
        <v>0.48275859999999998</v>
      </c>
    </row>
    <row r="324" spans="1:10" x14ac:dyDescent="0.3">
      <c r="A324">
        <v>322</v>
      </c>
      <c r="B324">
        <v>5126</v>
      </c>
      <c r="C324" t="b">
        <v>1</v>
      </c>
      <c r="D324">
        <v>8042</v>
      </c>
      <c r="E324">
        <v>8123</v>
      </c>
      <c r="F324">
        <v>5.6</v>
      </c>
      <c r="G324">
        <v>5.6</v>
      </c>
      <c r="H324">
        <v>1</v>
      </c>
      <c r="I324">
        <v>0</v>
      </c>
      <c r="J324">
        <v>0.5</v>
      </c>
    </row>
    <row r="325" spans="1:10" x14ac:dyDescent="0.3">
      <c r="A325">
        <v>323</v>
      </c>
      <c r="B325">
        <v>5142</v>
      </c>
      <c r="C325" t="b">
        <v>1</v>
      </c>
      <c r="D325">
        <v>8042</v>
      </c>
      <c r="E325">
        <v>8129</v>
      </c>
      <c r="F325">
        <v>5.2</v>
      </c>
      <c r="G325">
        <v>6</v>
      </c>
      <c r="H325">
        <v>0.86666659999999995</v>
      </c>
      <c r="I325">
        <v>0.13333337000000001</v>
      </c>
      <c r="J325">
        <v>0.53571427000000005</v>
      </c>
    </row>
    <row r="326" spans="1:10" x14ac:dyDescent="0.3">
      <c r="A326">
        <v>324</v>
      </c>
      <c r="B326">
        <v>5158</v>
      </c>
      <c r="C326" t="b">
        <v>1</v>
      </c>
      <c r="D326">
        <v>8042</v>
      </c>
      <c r="E326">
        <v>8123</v>
      </c>
      <c r="F326">
        <v>5.2</v>
      </c>
      <c r="G326">
        <v>6.4</v>
      </c>
      <c r="H326">
        <v>0.81249994000000003</v>
      </c>
      <c r="I326">
        <v>0.18750004000000001</v>
      </c>
      <c r="J326">
        <v>0.55172414000000003</v>
      </c>
    </row>
    <row r="327" spans="1:10" x14ac:dyDescent="0.3">
      <c r="A327">
        <v>325</v>
      </c>
      <c r="B327">
        <v>5174</v>
      </c>
      <c r="C327" t="b">
        <v>1</v>
      </c>
      <c r="D327">
        <v>8037</v>
      </c>
      <c r="E327">
        <v>8129</v>
      </c>
      <c r="F327">
        <v>5.2</v>
      </c>
      <c r="G327">
        <v>6.8</v>
      </c>
      <c r="H327">
        <v>0.76470583999999997</v>
      </c>
      <c r="I327">
        <v>0.23529416</v>
      </c>
      <c r="J327">
        <v>0.56666665999999999</v>
      </c>
    </row>
    <row r="328" spans="1:10" x14ac:dyDescent="0.3">
      <c r="A328">
        <v>326</v>
      </c>
      <c r="B328">
        <v>5189</v>
      </c>
      <c r="C328" t="b">
        <v>1</v>
      </c>
      <c r="D328">
        <v>8048</v>
      </c>
      <c r="E328">
        <v>8123</v>
      </c>
      <c r="F328">
        <v>5.2</v>
      </c>
      <c r="G328">
        <v>7.2</v>
      </c>
      <c r="H328">
        <v>0.72222220000000004</v>
      </c>
      <c r="I328">
        <v>0.27777780000000002</v>
      </c>
      <c r="J328">
        <v>0.58064514</v>
      </c>
    </row>
    <row r="329" spans="1:10" x14ac:dyDescent="0.3">
      <c r="A329">
        <v>327</v>
      </c>
      <c r="B329">
        <v>5205</v>
      </c>
      <c r="C329" t="b">
        <v>1</v>
      </c>
      <c r="D329">
        <v>8048</v>
      </c>
      <c r="E329">
        <v>8123</v>
      </c>
      <c r="F329">
        <v>5.2</v>
      </c>
      <c r="G329">
        <v>7.6</v>
      </c>
      <c r="H329">
        <v>0.68421054000000003</v>
      </c>
      <c r="I329">
        <v>0.3157895</v>
      </c>
      <c r="J329">
        <v>0.59375</v>
      </c>
    </row>
    <row r="330" spans="1:10" x14ac:dyDescent="0.3">
      <c r="A330">
        <v>328</v>
      </c>
      <c r="B330">
        <v>5221</v>
      </c>
      <c r="C330" t="b">
        <v>1</v>
      </c>
      <c r="D330">
        <v>8048</v>
      </c>
      <c r="E330">
        <v>8123</v>
      </c>
      <c r="F330">
        <v>5.6</v>
      </c>
      <c r="G330">
        <v>8</v>
      </c>
      <c r="H330">
        <v>0.7</v>
      </c>
      <c r="I330">
        <v>0.3</v>
      </c>
      <c r="J330">
        <v>0.58823526000000004</v>
      </c>
    </row>
    <row r="331" spans="1:10" x14ac:dyDescent="0.3">
      <c r="A331">
        <v>329</v>
      </c>
      <c r="B331">
        <v>5237</v>
      </c>
      <c r="C331" t="b">
        <v>1</v>
      </c>
      <c r="D331">
        <v>8054</v>
      </c>
      <c r="E331">
        <v>8129</v>
      </c>
      <c r="F331">
        <v>5.6</v>
      </c>
      <c r="G331">
        <v>8</v>
      </c>
      <c r="H331">
        <v>0.7</v>
      </c>
      <c r="I331">
        <v>0.3</v>
      </c>
      <c r="J331">
        <v>0.58823526000000004</v>
      </c>
    </row>
    <row r="332" spans="1:10" x14ac:dyDescent="0.3">
      <c r="A332">
        <v>330</v>
      </c>
      <c r="B332">
        <v>5253</v>
      </c>
      <c r="C332" t="b">
        <v>1</v>
      </c>
      <c r="D332">
        <v>8054</v>
      </c>
      <c r="E332">
        <v>8117</v>
      </c>
      <c r="F332">
        <v>5.6</v>
      </c>
      <c r="G332">
        <v>8</v>
      </c>
      <c r="H332">
        <v>0.7</v>
      </c>
      <c r="I332">
        <v>0.3</v>
      </c>
      <c r="J332">
        <v>0.58823526000000004</v>
      </c>
    </row>
    <row r="333" spans="1:10" x14ac:dyDescent="0.3">
      <c r="A333">
        <v>331</v>
      </c>
      <c r="B333">
        <v>5269</v>
      </c>
      <c r="C333" t="b">
        <v>1</v>
      </c>
      <c r="D333">
        <v>8048</v>
      </c>
      <c r="E333">
        <v>8117</v>
      </c>
      <c r="F333">
        <v>5.6</v>
      </c>
      <c r="G333">
        <v>8</v>
      </c>
      <c r="H333">
        <v>0.7</v>
      </c>
      <c r="I333">
        <v>0.3</v>
      </c>
      <c r="J333">
        <v>0.58823526000000004</v>
      </c>
    </row>
    <row r="334" spans="1:10" x14ac:dyDescent="0.3">
      <c r="A334">
        <v>332</v>
      </c>
      <c r="B334">
        <v>5285</v>
      </c>
      <c r="C334" t="b">
        <v>1</v>
      </c>
      <c r="D334">
        <v>8048</v>
      </c>
      <c r="E334">
        <v>8129</v>
      </c>
      <c r="F334">
        <v>5.6</v>
      </c>
      <c r="G334">
        <v>8</v>
      </c>
      <c r="H334">
        <v>0.7</v>
      </c>
      <c r="I334">
        <v>0.3</v>
      </c>
      <c r="J334">
        <v>0.58823526000000004</v>
      </c>
    </row>
    <row r="335" spans="1:10" x14ac:dyDescent="0.3">
      <c r="A335">
        <v>333</v>
      </c>
      <c r="B335">
        <v>5301</v>
      </c>
      <c r="C335" t="b">
        <v>1</v>
      </c>
      <c r="D335">
        <v>8048</v>
      </c>
      <c r="E335">
        <v>8123</v>
      </c>
      <c r="F335">
        <v>5.6</v>
      </c>
      <c r="G335">
        <v>8</v>
      </c>
      <c r="H335">
        <v>0.7</v>
      </c>
      <c r="I335">
        <v>0.3</v>
      </c>
      <c r="J335">
        <v>0.58823526000000004</v>
      </c>
    </row>
    <row r="336" spans="1:10" x14ac:dyDescent="0.3">
      <c r="A336">
        <v>334</v>
      </c>
      <c r="B336">
        <v>5317</v>
      </c>
      <c r="C336" t="b">
        <v>1</v>
      </c>
      <c r="D336">
        <v>8048</v>
      </c>
      <c r="E336">
        <v>8123</v>
      </c>
      <c r="F336">
        <v>5.6</v>
      </c>
      <c r="G336">
        <v>8</v>
      </c>
      <c r="H336">
        <v>0.7</v>
      </c>
      <c r="I336">
        <v>0.3</v>
      </c>
      <c r="J336">
        <v>0.58823526000000004</v>
      </c>
    </row>
    <row r="337" spans="1:10" x14ac:dyDescent="0.3">
      <c r="A337">
        <v>335</v>
      </c>
      <c r="B337">
        <v>5333</v>
      </c>
      <c r="C337" t="b">
        <v>1</v>
      </c>
      <c r="D337">
        <v>8048</v>
      </c>
      <c r="E337">
        <v>8123</v>
      </c>
      <c r="F337">
        <v>5.6</v>
      </c>
      <c r="G337">
        <v>8</v>
      </c>
      <c r="H337">
        <v>0.7</v>
      </c>
      <c r="I337">
        <v>0.3</v>
      </c>
      <c r="J337">
        <v>0.58823526000000004</v>
      </c>
    </row>
    <row r="338" spans="1:10" x14ac:dyDescent="0.3">
      <c r="A338">
        <v>336</v>
      </c>
      <c r="B338">
        <v>5349</v>
      </c>
      <c r="C338" t="b">
        <v>1</v>
      </c>
      <c r="D338">
        <v>8048</v>
      </c>
      <c r="E338">
        <v>8117</v>
      </c>
      <c r="F338">
        <v>5.6</v>
      </c>
      <c r="G338">
        <v>8</v>
      </c>
      <c r="H338">
        <v>0.7</v>
      </c>
      <c r="I338">
        <v>0.3</v>
      </c>
      <c r="J338">
        <v>0.58823526000000004</v>
      </c>
    </row>
    <row r="339" spans="1:10" x14ac:dyDescent="0.3">
      <c r="A339">
        <v>337</v>
      </c>
      <c r="B339">
        <v>5364</v>
      </c>
      <c r="C339" t="b">
        <v>1</v>
      </c>
      <c r="D339">
        <v>8048</v>
      </c>
      <c r="E339">
        <v>8123</v>
      </c>
      <c r="F339">
        <v>6</v>
      </c>
      <c r="G339">
        <v>8</v>
      </c>
      <c r="H339">
        <v>0.75</v>
      </c>
      <c r="I339">
        <v>0.25</v>
      </c>
      <c r="J339">
        <v>0.57142859999999995</v>
      </c>
    </row>
    <row r="340" spans="1:10" x14ac:dyDescent="0.3">
      <c r="A340">
        <v>338</v>
      </c>
      <c r="B340">
        <v>5381</v>
      </c>
      <c r="C340" t="b">
        <v>1</v>
      </c>
      <c r="D340">
        <v>8048</v>
      </c>
      <c r="E340">
        <v>8123</v>
      </c>
      <c r="F340">
        <v>6.4</v>
      </c>
      <c r="G340">
        <v>8</v>
      </c>
      <c r="H340">
        <v>0.8</v>
      </c>
      <c r="I340">
        <v>0.19999998999999999</v>
      </c>
      <c r="J340">
        <v>0.55555560000000004</v>
      </c>
    </row>
    <row r="341" spans="1:10" x14ac:dyDescent="0.3">
      <c r="A341">
        <v>339</v>
      </c>
      <c r="B341">
        <v>5396</v>
      </c>
      <c r="C341" t="b">
        <v>1</v>
      </c>
      <c r="D341">
        <v>8048</v>
      </c>
      <c r="E341">
        <v>8129</v>
      </c>
      <c r="F341">
        <v>6.8</v>
      </c>
      <c r="G341">
        <v>8</v>
      </c>
      <c r="H341">
        <v>0.85</v>
      </c>
      <c r="I341">
        <v>0.14999998</v>
      </c>
      <c r="J341">
        <v>0.54054049999999998</v>
      </c>
    </row>
    <row r="342" spans="1:10" x14ac:dyDescent="0.3">
      <c r="A342">
        <v>340</v>
      </c>
      <c r="B342">
        <v>5412</v>
      </c>
      <c r="C342" t="b">
        <v>1</v>
      </c>
      <c r="D342">
        <v>8054</v>
      </c>
      <c r="E342">
        <v>8129</v>
      </c>
      <c r="F342">
        <v>7.2</v>
      </c>
      <c r="G342">
        <v>8</v>
      </c>
      <c r="H342">
        <v>0.9</v>
      </c>
      <c r="I342">
        <v>0.10000002400000001</v>
      </c>
      <c r="J342">
        <v>0.5263158</v>
      </c>
    </row>
    <row r="343" spans="1:10" x14ac:dyDescent="0.3">
      <c r="A343">
        <v>341</v>
      </c>
      <c r="B343">
        <v>5428</v>
      </c>
      <c r="C343" t="b">
        <v>1</v>
      </c>
      <c r="D343">
        <v>8048</v>
      </c>
      <c r="E343">
        <v>8123</v>
      </c>
      <c r="F343">
        <v>7.6</v>
      </c>
      <c r="G343">
        <v>8</v>
      </c>
      <c r="H343">
        <v>0.95</v>
      </c>
      <c r="I343">
        <v>5.0000012000000003E-2</v>
      </c>
      <c r="J343">
        <v>0.51282050000000001</v>
      </c>
    </row>
    <row r="344" spans="1:10" x14ac:dyDescent="0.3">
      <c r="A344">
        <v>342</v>
      </c>
      <c r="B344">
        <v>5444</v>
      </c>
      <c r="C344" t="b">
        <v>1</v>
      </c>
      <c r="D344">
        <v>8048</v>
      </c>
      <c r="E344">
        <v>8123</v>
      </c>
      <c r="F344">
        <v>8</v>
      </c>
      <c r="G344">
        <v>8</v>
      </c>
      <c r="H344">
        <v>1</v>
      </c>
      <c r="I344">
        <v>0</v>
      </c>
      <c r="J344">
        <v>0.5</v>
      </c>
    </row>
    <row r="345" spans="1:10" x14ac:dyDescent="0.3">
      <c r="A345">
        <v>343</v>
      </c>
      <c r="B345">
        <v>5460</v>
      </c>
      <c r="C345" t="b">
        <v>1</v>
      </c>
      <c r="D345">
        <v>8048</v>
      </c>
      <c r="E345">
        <v>8123</v>
      </c>
      <c r="F345">
        <v>8</v>
      </c>
      <c r="G345">
        <v>8</v>
      </c>
      <c r="H345">
        <v>1</v>
      </c>
      <c r="I345">
        <v>0</v>
      </c>
      <c r="J345">
        <v>0.5</v>
      </c>
    </row>
    <row r="346" spans="1:10" x14ac:dyDescent="0.3">
      <c r="A346">
        <v>344</v>
      </c>
      <c r="B346">
        <v>5475</v>
      </c>
      <c r="C346" t="b">
        <v>1</v>
      </c>
      <c r="D346">
        <v>8048</v>
      </c>
      <c r="E346">
        <v>8123</v>
      </c>
      <c r="F346">
        <v>8</v>
      </c>
      <c r="G346">
        <v>8</v>
      </c>
      <c r="H346">
        <v>1</v>
      </c>
      <c r="I346">
        <v>0</v>
      </c>
      <c r="J346">
        <v>0.5</v>
      </c>
    </row>
    <row r="347" spans="1:10" x14ac:dyDescent="0.3">
      <c r="A347">
        <v>345</v>
      </c>
      <c r="B347">
        <v>5491</v>
      </c>
      <c r="C347" t="b">
        <v>1</v>
      </c>
      <c r="D347">
        <v>8048</v>
      </c>
      <c r="E347">
        <v>8129</v>
      </c>
      <c r="F347">
        <v>8</v>
      </c>
      <c r="G347">
        <v>8</v>
      </c>
      <c r="H347">
        <v>1</v>
      </c>
      <c r="I347">
        <v>0</v>
      </c>
      <c r="J347">
        <v>0.5</v>
      </c>
    </row>
    <row r="348" spans="1:10" x14ac:dyDescent="0.3">
      <c r="A348">
        <v>346</v>
      </c>
      <c r="B348">
        <v>5507</v>
      </c>
      <c r="C348" t="b">
        <v>1</v>
      </c>
      <c r="D348">
        <v>8048</v>
      </c>
      <c r="E348">
        <v>8129</v>
      </c>
      <c r="F348">
        <v>8</v>
      </c>
      <c r="G348">
        <v>8</v>
      </c>
      <c r="H348">
        <v>1</v>
      </c>
      <c r="I348">
        <v>0</v>
      </c>
      <c r="J348">
        <v>0.5</v>
      </c>
    </row>
    <row r="349" spans="1:10" x14ac:dyDescent="0.3">
      <c r="A349">
        <v>347</v>
      </c>
      <c r="B349">
        <v>5523</v>
      </c>
      <c r="C349" t="b">
        <v>1</v>
      </c>
      <c r="D349">
        <v>8048</v>
      </c>
      <c r="E349">
        <v>8129</v>
      </c>
      <c r="F349">
        <v>8</v>
      </c>
      <c r="G349">
        <v>8.4</v>
      </c>
      <c r="H349">
        <v>0.95238100000000003</v>
      </c>
      <c r="I349">
        <v>4.7619003999999999E-2</v>
      </c>
      <c r="J349">
        <v>0.51219510000000001</v>
      </c>
    </row>
    <row r="350" spans="1:10" x14ac:dyDescent="0.3">
      <c r="A350">
        <v>348</v>
      </c>
      <c r="B350">
        <v>5539</v>
      </c>
      <c r="C350" t="b">
        <v>1</v>
      </c>
      <c r="D350">
        <v>8048</v>
      </c>
      <c r="E350">
        <v>8123</v>
      </c>
      <c r="F350">
        <v>8</v>
      </c>
      <c r="G350">
        <v>8.8000000000000007</v>
      </c>
      <c r="H350">
        <v>0.90909090000000004</v>
      </c>
      <c r="I350">
        <v>9.0909110000000001E-2</v>
      </c>
      <c r="J350">
        <v>0.52380954999999996</v>
      </c>
    </row>
    <row r="351" spans="1:10" x14ac:dyDescent="0.3">
      <c r="A351">
        <v>349</v>
      </c>
      <c r="B351">
        <v>5555</v>
      </c>
      <c r="C351" t="b">
        <v>1</v>
      </c>
      <c r="D351">
        <v>8048</v>
      </c>
      <c r="E351">
        <v>8129</v>
      </c>
      <c r="F351">
        <v>8</v>
      </c>
      <c r="G351">
        <v>9.1999999999999993</v>
      </c>
      <c r="H351">
        <v>0.86956524999999996</v>
      </c>
      <c r="I351">
        <v>0.13043477000000001</v>
      </c>
      <c r="J351">
        <v>0.53488369999999996</v>
      </c>
    </row>
    <row r="352" spans="1:10" x14ac:dyDescent="0.3">
      <c r="A352">
        <v>350</v>
      </c>
      <c r="B352">
        <v>5571</v>
      </c>
      <c r="C352" t="b">
        <v>1</v>
      </c>
      <c r="D352">
        <v>8048</v>
      </c>
      <c r="E352">
        <v>8129</v>
      </c>
      <c r="F352">
        <v>8</v>
      </c>
      <c r="G352">
        <v>9.6</v>
      </c>
      <c r="H352">
        <v>0.83333330000000005</v>
      </c>
      <c r="I352">
        <v>0.1666667</v>
      </c>
      <c r="J352">
        <v>0.54545456000000003</v>
      </c>
    </row>
    <row r="353" spans="1:10" x14ac:dyDescent="0.3">
      <c r="A353">
        <v>351</v>
      </c>
      <c r="B353">
        <v>5586</v>
      </c>
      <c r="C353" t="b">
        <v>1</v>
      </c>
      <c r="D353">
        <v>8048</v>
      </c>
      <c r="E353">
        <v>8129</v>
      </c>
      <c r="F353">
        <v>8</v>
      </c>
      <c r="G353">
        <v>10</v>
      </c>
      <c r="H353">
        <v>0.8</v>
      </c>
      <c r="I353">
        <v>0.2</v>
      </c>
      <c r="J353">
        <v>0.55555560000000004</v>
      </c>
    </row>
    <row r="354" spans="1:10" x14ac:dyDescent="0.3">
      <c r="A354">
        <v>352</v>
      </c>
      <c r="B354">
        <v>5602</v>
      </c>
      <c r="C354" t="b">
        <v>1</v>
      </c>
      <c r="D354">
        <v>8042</v>
      </c>
      <c r="E354">
        <v>8134</v>
      </c>
      <c r="F354">
        <v>8</v>
      </c>
      <c r="G354">
        <v>10.4</v>
      </c>
      <c r="H354">
        <v>0.76923079999999999</v>
      </c>
      <c r="I354">
        <v>0.23076920000000001</v>
      </c>
      <c r="J354">
        <v>0.56521739999999998</v>
      </c>
    </row>
    <row r="355" spans="1:10" x14ac:dyDescent="0.3">
      <c r="A355">
        <v>353</v>
      </c>
      <c r="B355">
        <v>5618</v>
      </c>
      <c r="C355" t="b">
        <v>1</v>
      </c>
      <c r="D355">
        <v>8048</v>
      </c>
      <c r="E355">
        <v>8129</v>
      </c>
      <c r="F355">
        <v>8</v>
      </c>
      <c r="G355">
        <v>10.8</v>
      </c>
      <c r="H355">
        <v>0.74074070000000003</v>
      </c>
      <c r="I355">
        <v>0.25925927999999998</v>
      </c>
      <c r="J355">
        <v>0.57446814000000002</v>
      </c>
    </row>
    <row r="356" spans="1:10" x14ac:dyDescent="0.3">
      <c r="A356">
        <v>354</v>
      </c>
      <c r="B356">
        <v>5635</v>
      </c>
      <c r="C356" t="b">
        <v>1</v>
      </c>
      <c r="D356">
        <v>8048</v>
      </c>
      <c r="E356">
        <v>8123</v>
      </c>
      <c r="F356">
        <v>8</v>
      </c>
      <c r="G356">
        <v>11.2</v>
      </c>
      <c r="H356">
        <v>0.71428572999999995</v>
      </c>
      <c r="I356">
        <v>0.28571426999999999</v>
      </c>
      <c r="J356">
        <v>0.58333330000000005</v>
      </c>
    </row>
    <row r="357" spans="1:10" x14ac:dyDescent="0.3">
      <c r="A357">
        <v>355</v>
      </c>
      <c r="B357">
        <v>5651</v>
      </c>
      <c r="C357" t="b">
        <v>1</v>
      </c>
      <c r="D357">
        <v>8048</v>
      </c>
      <c r="E357">
        <v>8117</v>
      </c>
      <c r="F357">
        <v>8</v>
      </c>
      <c r="G357">
        <v>11.6</v>
      </c>
      <c r="H357">
        <v>0.68965509999999997</v>
      </c>
      <c r="I357">
        <v>0.31034485000000001</v>
      </c>
      <c r="J357">
        <v>0.59183675000000002</v>
      </c>
    </row>
    <row r="358" spans="1:10" x14ac:dyDescent="0.3">
      <c r="A358">
        <v>356</v>
      </c>
      <c r="B358">
        <v>5666</v>
      </c>
      <c r="C358" t="b">
        <v>1</v>
      </c>
      <c r="D358">
        <v>8048</v>
      </c>
      <c r="E358">
        <v>8123</v>
      </c>
      <c r="F358">
        <v>8</v>
      </c>
      <c r="G358">
        <v>11.6</v>
      </c>
      <c r="H358">
        <v>0.68965509999999997</v>
      </c>
      <c r="I358">
        <v>0.31034485000000001</v>
      </c>
      <c r="J358">
        <v>0.59183675000000002</v>
      </c>
    </row>
    <row r="359" spans="1:10" x14ac:dyDescent="0.3">
      <c r="A359">
        <v>357</v>
      </c>
      <c r="B359">
        <v>5683</v>
      </c>
      <c r="C359" t="b">
        <v>1</v>
      </c>
      <c r="D359">
        <v>8048</v>
      </c>
      <c r="E359">
        <v>8123</v>
      </c>
      <c r="F359">
        <v>8</v>
      </c>
      <c r="G359">
        <v>11.6</v>
      </c>
      <c r="H359">
        <v>0.68965509999999997</v>
      </c>
      <c r="I359">
        <v>0.31034485000000001</v>
      </c>
      <c r="J359">
        <v>0.59183675000000002</v>
      </c>
    </row>
    <row r="360" spans="1:10" x14ac:dyDescent="0.3">
      <c r="A360">
        <v>358</v>
      </c>
      <c r="B360">
        <v>5698</v>
      </c>
      <c r="C360" t="b">
        <v>1</v>
      </c>
      <c r="D360">
        <v>8048</v>
      </c>
      <c r="E360">
        <v>8123</v>
      </c>
      <c r="F360">
        <v>8</v>
      </c>
      <c r="G360">
        <v>11.6</v>
      </c>
      <c r="H360">
        <v>0.68965509999999997</v>
      </c>
      <c r="I360">
        <v>0.31034485000000001</v>
      </c>
      <c r="J360">
        <v>0.59183675000000002</v>
      </c>
    </row>
    <row r="361" spans="1:10" x14ac:dyDescent="0.3">
      <c r="A361">
        <v>359</v>
      </c>
      <c r="B361">
        <v>5714</v>
      </c>
      <c r="C361" t="b">
        <v>1</v>
      </c>
      <c r="D361">
        <v>8048</v>
      </c>
      <c r="E361">
        <v>8123</v>
      </c>
      <c r="F361">
        <v>8</v>
      </c>
      <c r="G361">
        <v>11.6</v>
      </c>
      <c r="H361">
        <v>0.68965509999999997</v>
      </c>
      <c r="I361">
        <v>0.31034485000000001</v>
      </c>
      <c r="J361">
        <v>0.59183675000000002</v>
      </c>
    </row>
    <row r="362" spans="1:10" x14ac:dyDescent="0.3">
      <c r="A362">
        <v>360</v>
      </c>
      <c r="B362">
        <v>5730</v>
      </c>
      <c r="C362" t="b">
        <v>1</v>
      </c>
      <c r="D362">
        <v>8048</v>
      </c>
      <c r="E362">
        <v>8123</v>
      </c>
      <c r="F362">
        <v>8</v>
      </c>
      <c r="G362">
        <v>11.6</v>
      </c>
      <c r="H362">
        <v>0.68965509999999997</v>
      </c>
      <c r="I362">
        <v>0.31034485000000001</v>
      </c>
      <c r="J362">
        <v>0.59183675000000002</v>
      </c>
    </row>
    <row r="363" spans="1:10" x14ac:dyDescent="0.3">
      <c r="A363">
        <v>361</v>
      </c>
      <c r="B363">
        <v>5746</v>
      </c>
      <c r="C363" t="b">
        <v>1</v>
      </c>
      <c r="D363">
        <v>8048</v>
      </c>
      <c r="E363">
        <v>8134</v>
      </c>
      <c r="F363">
        <v>8</v>
      </c>
      <c r="G363">
        <v>11.6</v>
      </c>
      <c r="H363">
        <v>0.68965509999999997</v>
      </c>
      <c r="I363">
        <v>0.31034485000000001</v>
      </c>
      <c r="J363">
        <v>0.59183675000000002</v>
      </c>
    </row>
    <row r="364" spans="1:10" x14ac:dyDescent="0.3">
      <c r="A364">
        <v>362</v>
      </c>
      <c r="B364">
        <v>5762</v>
      </c>
      <c r="C364" t="b">
        <v>1</v>
      </c>
      <c r="D364">
        <v>8048</v>
      </c>
      <c r="E364">
        <v>8129</v>
      </c>
      <c r="F364">
        <v>8</v>
      </c>
      <c r="G364">
        <v>11.2</v>
      </c>
      <c r="H364">
        <v>0.71428572999999995</v>
      </c>
      <c r="I364">
        <v>0.28571426999999999</v>
      </c>
      <c r="J364">
        <v>0.58333330000000005</v>
      </c>
    </row>
    <row r="365" spans="1:10" x14ac:dyDescent="0.3">
      <c r="A365">
        <v>363</v>
      </c>
      <c r="B365">
        <v>5777</v>
      </c>
      <c r="C365" t="b">
        <v>1</v>
      </c>
      <c r="D365">
        <v>8042</v>
      </c>
      <c r="E365">
        <v>8129</v>
      </c>
      <c r="F365">
        <v>8</v>
      </c>
      <c r="G365">
        <v>11.2</v>
      </c>
      <c r="H365">
        <v>0.71428572999999995</v>
      </c>
      <c r="I365">
        <v>0.28571426999999999</v>
      </c>
      <c r="J365">
        <v>0.58333330000000005</v>
      </c>
    </row>
    <row r="366" spans="1:10" x14ac:dyDescent="0.3">
      <c r="A366">
        <v>364</v>
      </c>
      <c r="B366">
        <v>5793</v>
      </c>
      <c r="C366" t="b">
        <v>1</v>
      </c>
      <c r="D366">
        <v>8054</v>
      </c>
      <c r="E366">
        <v>8129</v>
      </c>
      <c r="F366">
        <v>8</v>
      </c>
      <c r="G366">
        <v>11.2</v>
      </c>
      <c r="H366">
        <v>0.71428572999999995</v>
      </c>
      <c r="I366">
        <v>0.28571426999999999</v>
      </c>
      <c r="J366">
        <v>0.58333330000000005</v>
      </c>
    </row>
    <row r="367" spans="1:10" x14ac:dyDescent="0.3">
      <c r="A367">
        <v>365</v>
      </c>
      <c r="B367">
        <v>5809</v>
      </c>
      <c r="C367" t="b">
        <v>1</v>
      </c>
      <c r="D367">
        <v>8054</v>
      </c>
      <c r="E367">
        <v>8129</v>
      </c>
      <c r="F367">
        <v>8</v>
      </c>
      <c r="G367">
        <v>11.2</v>
      </c>
      <c r="H367">
        <v>0.71428572999999995</v>
      </c>
      <c r="I367">
        <v>0.28571426999999999</v>
      </c>
      <c r="J367">
        <v>0.58333330000000005</v>
      </c>
    </row>
    <row r="368" spans="1:10" x14ac:dyDescent="0.3">
      <c r="A368">
        <v>366</v>
      </c>
      <c r="B368">
        <v>5825</v>
      </c>
      <c r="C368" t="b">
        <v>1</v>
      </c>
      <c r="D368">
        <v>8054</v>
      </c>
      <c r="E368">
        <v>8134</v>
      </c>
      <c r="F368">
        <v>8.4</v>
      </c>
      <c r="G368">
        <v>11.2</v>
      </c>
      <c r="H368">
        <v>0.75</v>
      </c>
      <c r="I368">
        <v>0.25000002999999998</v>
      </c>
      <c r="J368">
        <v>0.57142859999999995</v>
      </c>
    </row>
    <row r="369" spans="1:10" x14ac:dyDescent="0.3">
      <c r="A369">
        <v>367</v>
      </c>
      <c r="B369">
        <v>5841</v>
      </c>
      <c r="C369" t="b">
        <v>1</v>
      </c>
      <c r="D369">
        <v>8054</v>
      </c>
      <c r="E369">
        <v>8134</v>
      </c>
      <c r="F369">
        <v>8.8000000000000007</v>
      </c>
      <c r="G369">
        <v>11.2</v>
      </c>
      <c r="H369">
        <v>0.78571429999999998</v>
      </c>
      <c r="I369">
        <v>0.21428569</v>
      </c>
      <c r="J369">
        <v>0.56000000000000005</v>
      </c>
    </row>
    <row r="370" spans="1:10" x14ac:dyDescent="0.3">
      <c r="A370">
        <v>368</v>
      </c>
      <c r="B370">
        <v>5857</v>
      </c>
      <c r="C370" t="b">
        <v>1</v>
      </c>
      <c r="D370">
        <v>8054</v>
      </c>
      <c r="E370">
        <v>8123</v>
      </c>
      <c r="F370">
        <v>9.1999999999999993</v>
      </c>
      <c r="G370">
        <v>11.2</v>
      </c>
      <c r="H370">
        <v>0.82142859999999995</v>
      </c>
      <c r="I370">
        <v>0.17857143</v>
      </c>
      <c r="J370">
        <v>0.54901962999999998</v>
      </c>
    </row>
    <row r="371" spans="1:10" x14ac:dyDescent="0.3">
      <c r="A371">
        <v>369</v>
      </c>
      <c r="B371">
        <v>5872</v>
      </c>
      <c r="C371" t="b">
        <v>1</v>
      </c>
      <c r="D371">
        <v>8054</v>
      </c>
      <c r="E371">
        <v>8129</v>
      </c>
      <c r="F371">
        <v>9.6</v>
      </c>
      <c r="G371">
        <v>11.2</v>
      </c>
      <c r="H371">
        <v>0.85714290000000004</v>
      </c>
      <c r="I371">
        <v>0.14285708999999999</v>
      </c>
      <c r="J371">
        <v>0.53846156999999994</v>
      </c>
    </row>
    <row r="372" spans="1:10" x14ac:dyDescent="0.3">
      <c r="A372">
        <v>370</v>
      </c>
      <c r="B372">
        <v>5889</v>
      </c>
      <c r="C372" t="b">
        <v>1</v>
      </c>
      <c r="D372">
        <v>8048</v>
      </c>
      <c r="E372">
        <v>8123</v>
      </c>
      <c r="F372">
        <v>10</v>
      </c>
      <c r="G372">
        <v>11.2</v>
      </c>
      <c r="H372">
        <v>0.89285713</v>
      </c>
      <c r="I372">
        <v>0.10714284</v>
      </c>
      <c r="J372">
        <v>0.52830184000000002</v>
      </c>
    </row>
    <row r="373" spans="1:10" x14ac:dyDescent="0.3">
      <c r="A373">
        <v>371</v>
      </c>
      <c r="B373">
        <v>5904</v>
      </c>
      <c r="C373" t="b">
        <v>1</v>
      </c>
      <c r="D373">
        <v>8048</v>
      </c>
      <c r="E373">
        <v>8123</v>
      </c>
      <c r="F373">
        <v>10.4</v>
      </c>
      <c r="G373">
        <v>11.2</v>
      </c>
      <c r="H373">
        <v>0.92857140000000005</v>
      </c>
      <c r="I373">
        <v>7.142859E-2</v>
      </c>
      <c r="J373">
        <v>0.51851857000000001</v>
      </c>
    </row>
    <row r="374" spans="1:10" x14ac:dyDescent="0.3">
      <c r="A374">
        <v>372</v>
      </c>
      <c r="B374">
        <v>5920</v>
      </c>
      <c r="C374" t="b">
        <v>1</v>
      </c>
      <c r="D374">
        <v>8048</v>
      </c>
      <c r="E374">
        <v>8129</v>
      </c>
      <c r="F374">
        <v>10.4</v>
      </c>
      <c r="G374">
        <v>11.2</v>
      </c>
      <c r="H374">
        <v>0.92857140000000005</v>
      </c>
      <c r="I374">
        <v>7.142859E-2</v>
      </c>
      <c r="J374">
        <v>0.51851857000000001</v>
      </c>
    </row>
    <row r="375" spans="1:10" x14ac:dyDescent="0.3">
      <c r="A375">
        <v>373</v>
      </c>
      <c r="B375">
        <v>5936</v>
      </c>
      <c r="C375" t="b">
        <v>1</v>
      </c>
      <c r="D375">
        <v>8048</v>
      </c>
      <c r="E375">
        <v>8123</v>
      </c>
      <c r="F375">
        <v>10.4</v>
      </c>
      <c r="G375">
        <v>11.2</v>
      </c>
      <c r="H375">
        <v>0.92857140000000005</v>
      </c>
      <c r="I375">
        <v>7.142859E-2</v>
      </c>
      <c r="J375">
        <v>0.51851857000000001</v>
      </c>
    </row>
    <row r="376" spans="1:10" x14ac:dyDescent="0.3">
      <c r="A376">
        <v>374</v>
      </c>
      <c r="B376">
        <v>5952</v>
      </c>
      <c r="C376" t="b">
        <v>1</v>
      </c>
      <c r="D376">
        <v>8048</v>
      </c>
      <c r="E376">
        <v>8117</v>
      </c>
      <c r="F376">
        <v>10.4</v>
      </c>
      <c r="G376">
        <v>11.2</v>
      </c>
      <c r="H376">
        <v>0.92857140000000005</v>
      </c>
      <c r="I376">
        <v>7.142859E-2</v>
      </c>
      <c r="J376">
        <v>0.51851857000000001</v>
      </c>
    </row>
    <row r="377" spans="1:10" x14ac:dyDescent="0.3">
      <c r="A377">
        <v>375</v>
      </c>
      <c r="B377">
        <v>5968</v>
      </c>
      <c r="C377" t="b">
        <v>1</v>
      </c>
      <c r="D377">
        <v>8048</v>
      </c>
      <c r="E377">
        <v>8123</v>
      </c>
      <c r="F377">
        <v>10.4</v>
      </c>
      <c r="G377">
        <v>11.2</v>
      </c>
      <c r="H377">
        <v>0.92857140000000005</v>
      </c>
      <c r="I377">
        <v>7.142859E-2</v>
      </c>
      <c r="J377">
        <v>0.51851857000000001</v>
      </c>
    </row>
    <row r="378" spans="1:10" x14ac:dyDescent="0.3">
      <c r="A378">
        <v>376</v>
      </c>
      <c r="B378">
        <v>5984</v>
      </c>
      <c r="C378" t="b">
        <v>1</v>
      </c>
      <c r="D378">
        <v>8048</v>
      </c>
      <c r="E378">
        <v>8129</v>
      </c>
      <c r="F378">
        <v>10.4</v>
      </c>
      <c r="G378">
        <v>11.2</v>
      </c>
      <c r="H378">
        <v>0.92857140000000005</v>
      </c>
      <c r="I378">
        <v>7.142859E-2</v>
      </c>
      <c r="J378">
        <v>0.51851857000000001</v>
      </c>
    </row>
    <row r="379" spans="1:10" x14ac:dyDescent="0.3">
      <c r="A379">
        <v>377</v>
      </c>
      <c r="B379">
        <v>6000</v>
      </c>
      <c r="C379" t="b">
        <v>1</v>
      </c>
      <c r="D379">
        <v>8048</v>
      </c>
      <c r="E379">
        <v>8123</v>
      </c>
      <c r="F379">
        <v>10.4</v>
      </c>
      <c r="G379">
        <v>11.2</v>
      </c>
      <c r="H379">
        <v>0.92857140000000005</v>
      </c>
      <c r="I379">
        <v>7.142859E-2</v>
      </c>
      <c r="J379">
        <v>0.51851857000000001</v>
      </c>
    </row>
    <row r="380" spans="1:10" x14ac:dyDescent="0.3">
      <c r="A380">
        <v>378</v>
      </c>
      <c r="B380">
        <v>6016</v>
      </c>
      <c r="C380" t="b">
        <v>1</v>
      </c>
      <c r="D380">
        <v>8048</v>
      </c>
      <c r="E380">
        <v>8117</v>
      </c>
      <c r="F380">
        <v>10.4</v>
      </c>
      <c r="G380">
        <v>10.8</v>
      </c>
      <c r="H380">
        <v>0.96296289999999996</v>
      </c>
      <c r="I380">
        <v>3.7037090000000002E-2</v>
      </c>
      <c r="J380">
        <v>0.5094339</v>
      </c>
    </row>
    <row r="381" spans="1:10" x14ac:dyDescent="0.3">
      <c r="A381">
        <v>379</v>
      </c>
      <c r="B381">
        <v>6032</v>
      </c>
      <c r="C381" t="b">
        <v>1</v>
      </c>
      <c r="D381">
        <v>8042</v>
      </c>
      <c r="E381">
        <v>8129</v>
      </c>
      <c r="F381">
        <v>10.4</v>
      </c>
      <c r="G381">
        <v>10.4</v>
      </c>
      <c r="H381">
        <v>1</v>
      </c>
      <c r="I381">
        <v>0</v>
      </c>
      <c r="J381">
        <v>0.5</v>
      </c>
    </row>
    <row r="382" spans="1:10" x14ac:dyDescent="0.3">
      <c r="A382">
        <v>380</v>
      </c>
      <c r="B382">
        <v>6048</v>
      </c>
      <c r="C382" t="b">
        <v>1</v>
      </c>
      <c r="D382">
        <v>8048</v>
      </c>
      <c r="E382">
        <v>8123</v>
      </c>
      <c r="F382">
        <v>10.4</v>
      </c>
      <c r="G382">
        <v>10</v>
      </c>
      <c r="H382">
        <v>1.04</v>
      </c>
      <c r="I382">
        <v>-3.9999960000000001E-2</v>
      </c>
      <c r="J382">
        <v>0.49019607999999998</v>
      </c>
    </row>
    <row r="383" spans="1:10" x14ac:dyDescent="0.3">
      <c r="A383">
        <v>381</v>
      </c>
      <c r="B383">
        <v>6064</v>
      </c>
      <c r="C383" t="b">
        <v>1</v>
      </c>
      <c r="D383">
        <v>8048</v>
      </c>
      <c r="E383">
        <v>8134</v>
      </c>
      <c r="F383">
        <v>10</v>
      </c>
      <c r="G383">
        <v>9.6</v>
      </c>
      <c r="H383">
        <v>1.0416666000000001</v>
      </c>
      <c r="I383">
        <v>-4.1666626999999998E-2</v>
      </c>
      <c r="J383">
        <v>0.48979592</v>
      </c>
    </row>
    <row r="384" spans="1:10" x14ac:dyDescent="0.3">
      <c r="A384">
        <v>382</v>
      </c>
      <c r="B384">
        <v>6079</v>
      </c>
      <c r="C384" t="b">
        <v>1</v>
      </c>
      <c r="D384">
        <v>8048</v>
      </c>
      <c r="E384">
        <v>8123</v>
      </c>
      <c r="F384">
        <v>9.6</v>
      </c>
      <c r="G384">
        <v>9.1999999999999993</v>
      </c>
      <c r="H384">
        <v>1.0434783999999999</v>
      </c>
      <c r="I384">
        <v>-4.3478324999999998E-2</v>
      </c>
      <c r="J384">
        <v>0.48936170000000001</v>
      </c>
    </row>
    <row r="385" spans="1:10" x14ac:dyDescent="0.3">
      <c r="A385">
        <v>383</v>
      </c>
      <c r="B385">
        <v>6095</v>
      </c>
      <c r="C385" t="b">
        <v>1</v>
      </c>
      <c r="D385">
        <v>8048</v>
      </c>
      <c r="E385">
        <v>8123</v>
      </c>
      <c r="F385">
        <v>9.1999999999999993</v>
      </c>
      <c r="G385">
        <v>8.8000000000000007</v>
      </c>
      <c r="H385">
        <v>1.0454545</v>
      </c>
      <c r="I385">
        <v>-4.5454502000000001E-2</v>
      </c>
      <c r="J385">
        <v>0.48888890000000002</v>
      </c>
    </row>
    <row r="386" spans="1:10" x14ac:dyDescent="0.3">
      <c r="A386">
        <v>384</v>
      </c>
      <c r="B386">
        <v>6111</v>
      </c>
      <c r="C386" t="b">
        <v>1</v>
      </c>
      <c r="D386">
        <v>8042</v>
      </c>
      <c r="E386">
        <v>8129</v>
      </c>
      <c r="F386">
        <v>8.8000000000000007</v>
      </c>
      <c r="G386">
        <v>8.4</v>
      </c>
      <c r="H386">
        <v>1.0476190999999999</v>
      </c>
      <c r="I386">
        <v>-4.7619120000000001E-2</v>
      </c>
      <c r="J386">
        <v>0.48837206</v>
      </c>
    </row>
    <row r="387" spans="1:10" x14ac:dyDescent="0.3">
      <c r="A387">
        <v>385</v>
      </c>
      <c r="B387">
        <v>6127</v>
      </c>
      <c r="C387" t="b">
        <v>1</v>
      </c>
      <c r="D387">
        <v>8042</v>
      </c>
      <c r="E387">
        <v>8129</v>
      </c>
      <c r="F387">
        <v>8.4</v>
      </c>
      <c r="G387">
        <v>8.4</v>
      </c>
      <c r="H387">
        <v>1</v>
      </c>
      <c r="I387">
        <v>0</v>
      </c>
      <c r="J387">
        <v>0.5</v>
      </c>
    </row>
    <row r="388" spans="1:10" x14ac:dyDescent="0.3">
      <c r="A388">
        <v>386</v>
      </c>
      <c r="B388">
        <v>6143</v>
      </c>
      <c r="C388" t="b">
        <v>1</v>
      </c>
      <c r="D388">
        <v>8048</v>
      </c>
      <c r="E388">
        <v>8129</v>
      </c>
      <c r="F388">
        <v>8</v>
      </c>
      <c r="G388">
        <v>8.8000000000000007</v>
      </c>
      <c r="H388">
        <v>0.90909090000000004</v>
      </c>
      <c r="I388">
        <v>9.0909110000000001E-2</v>
      </c>
      <c r="J388">
        <v>0.52380954999999996</v>
      </c>
    </row>
    <row r="389" spans="1:10" x14ac:dyDescent="0.3">
      <c r="A389">
        <v>387</v>
      </c>
      <c r="B389">
        <v>6158</v>
      </c>
      <c r="C389" t="b">
        <v>1</v>
      </c>
      <c r="D389">
        <v>8048</v>
      </c>
      <c r="E389">
        <v>8117</v>
      </c>
      <c r="F389">
        <v>8</v>
      </c>
      <c r="G389">
        <v>9.1999999999999993</v>
      </c>
      <c r="H389">
        <v>0.86956524999999996</v>
      </c>
      <c r="I389">
        <v>0.13043477000000001</v>
      </c>
      <c r="J389">
        <v>0.53488369999999996</v>
      </c>
    </row>
    <row r="390" spans="1:10" x14ac:dyDescent="0.3">
      <c r="A390">
        <v>388</v>
      </c>
      <c r="B390">
        <v>6174</v>
      </c>
      <c r="C390" t="b">
        <v>1</v>
      </c>
      <c r="D390">
        <v>8048</v>
      </c>
      <c r="E390">
        <v>8123</v>
      </c>
      <c r="F390">
        <v>8</v>
      </c>
      <c r="G390">
        <v>9.6</v>
      </c>
      <c r="H390">
        <v>0.83333330000000005</v>
      </c>
      <c r="I390">
        <v>0.1666667</v>
      </c>
      <c r="J390">
        <v>0.54545456000000003</v>
      </c>
    </row>
    <row r="391" spans="1:10" x14ac:dyDescent="0.3">
      <c r="A391">
        <v>389</v>
      </c>
      <c r="B391">
        <v>6190</v>
      </c>
      <c r="C391" t="b">
        <v>1</v>
      </c>
      <c r="D391">
        <v>8048</v>
      </c>
      <c r="E391">
        <v>8117</v>
      </c>
      <c r="F391">
        <v>8</v>
      </c>
      <c r="G391">
        <v>9.6</v>
      </c>
      <c r="H391">
        <v>0.83333330000000005</v>
      </c>
      <c r="I391">
        <v>0.1666667</v>
      </c>
      <c r="J391">
        <v>0.54545456000000003</v>
      </c>
    </row>
    <row r="392" spans="1:10" x14ac:dyDescent="0.3">
      <c r="A392">
        <v>390</v>
      </c>
      <c r="B392">
        <v>6205</v>
      </c>
      <c r="C392" t="b">
        <v>1</v>
      </c>
      <c r="D392">
        <v>8048</v>
      </c>
      <c r="E392">
        <v>8117</v>
      </c>
      <c r="F392">
        <v>8</v>
      </c>
      <c r="G392">
        <v>9.1999999999999993</v>
      </c>
      <c r="H392">
        <v>0.86956524999999996</v>
      </c>
      <c r="I392">
        <v>0.13043477000000001</v>
      </c>
      <c r="J392">
        <v>0.53488369999999996</v>
      </c>
    </row>
    <row r="393" spans="1:10" x14ac:dyDescent="0.3">
      <c r="A393">
        <v>391</v>
      </c>
      <c r="B393">
        <v>6221</v>
      </c>
      <c r="C393" t="b">
        <v>1</v>
      </c>
      <c r="D393">
        <v>8042</v>
      </c>
      <c r="E393">
        <v>8123</v>
      </c>
      <c r="F393">
        <v>8</v>
      </c>
      <c r="G393">
        <v>8.8000000000000007</v>
      </c>
      <c r="H393">
        <v>0.90909090000000004</v>
      </c>
      <c r="I393">
        <v>9.0909110000000001E-2</v>
      </c>
      <c r="J393">
        <v>0.52380954999999996</v>
      </c>
    </row>
    <row r="394" spans="1:10" x14ac:dyDescent="0.3">
      <c r="A394">
        <v>392</v>
      </c>
      <c r="B394">
        <v>6237</v>
      </c>
      <c r="C394" t="b">
        <v>1</v>
      </c>
      <c r="D394">
        <v>8048</v>
      </c>
      <c r="E394">
        <v>8134</v>
      </c>
      <c r="F394">
        <v>8</v>
      </c>
      <c r="G394">
        <v>8.8000000000000007</v>
      </c>
      <c r="H394">
        <v>0.90909090000000004</v>
      </c>
      <c r="I394">
        <v>9.0909110000000001E-2</v>
      </c>
      <c r="J394">
        <v>0.52380954999999996</v>
      </c>
    </row>
    <row r="395" spans="1:10" x14ac:dyDescent="0.3">
      <c r="A395">
        <v>393</v>
      </c>
      <c r="B395">
        <v>6252</v>
      </c>
      <c r="C395" t="b">
        <v>1</v>
      </c>
      <c r="D395">
        <v>8048</v>
      </c>
      <c r="E395">
        <v>8129</v>
      </c>
      <c r="F395">
        <v>8</v>
      </c>
      <c r="G395">
        <v>8.8000000000000007</v>
      </c>
      <c r="H395">
        <v>0.90909090000000004</v>
      </c>
      <c r="I395">
        <v>9.0909110000000001E-2</v>
      </c>
      <c r="J395">
        <v>0.52380954999999996</v>
      </c>
    </row>
    <row r="396" spans="1:10" x14ac:dyDescent="0.3">
      <c r="A396">
        <v>394</v>
      </c>
      <c r="B396">
        <v>6268</v>
      </c>
      <c r="C396" t="b">
        <v>1</v>
      </c>
      <c r="D396">
        <v>8042</v>
      </c>
      <c r="E396">
        <v>8134</v>
      </c>
      <c r="F396">
        <v>8</v>
      </c>
      <c r="G396">
        <v>9.1999999999999993</v>
      </c>
      <c r="H396">
        <v>0.86956524999999996</v>
      </c>
      <c r="I396">
        <v>0.13043477000000001</v>
      </c>
      <c r="J396">
        <v>0.53488369999999996</v>
      </c>
    </row>
    <row r="397" spans="1:10" x14ac:dyDescent="0.3">
      <c r="A397">
        <v>395</v>
      </c>
      <c r="B397">
        <v>6284</v>
      </c>
      <c r="C397" t="b">
        <v>1</v>
      </c>
      <c r="D397">
        <v>8048</v>
      </c>
      <c r="E397">
        <v>8129</v>
      </c>
      <c r="F397">
        <v>8</v>
      </c>
      <c r="G397">
        <v>9.6</v>
      </c>
      <c r="H397">
        <v>0.83333330000000005</v>
      </c>
      <c r="I397">
        <v>0.1666667</v>
      </c>
      <c r="J397">
        <v>0.54545456000000003</v>
      </c>
    </row>
    <row r="398" spans="1:10" x14ac:dyDescent="0.3">
      <c r="A398">
        <v>396</v>
      </c>
      <c r="B398">
        <v>6300</v>
      </c>
      <c r="C398" t="b">
        <v>1</v>
      </c>
      <c r="D398">
        <v>8048</v>
      </c>
      <c r="E398">
        <v>8123</v>
      </c>
      <c r="F398">
        <v>8</v>
      </c>
      <c r="G398">
        <v>10</v>
      </c>
      <c r="H398">
        <v>0.8</v>
      </c>
      <c r="I398">
        <v>0.2</v>
      </c>
      <c r="J398">
        <v>0.55555560000000004</v>
      </c>
    </row>
    <row r="399" spans="1:10" x14ac:dyDescent="0.3">
      <c r="A399">
        <v>397</v>
      </c>
      <c r="B399">
        <v>6316</v>
      </c>
      <c r="C399" t="b">
        <v>1</v>
      </c>
      <c r="D399">
        <v>8048</v>
      </c>
      <c r="E399">
        <v>8123</v>
      </c>
      <c r="F399">
        <v>8</v>
      </c>
      <c r="G399">
        <v>10.4</v>
      </c>
      <c r="H399">
        <v>0.76923079999999999</v>
      </c>
      <c r="I399">
        <v>0.23076920000000001</v>
      </c>
      <c r="J399">
        <v>0.56521739999999998</v>
      </c>
    </row>
    <row r="400" spans="1:10" x14ac:dyDescent="0.3">
      <c r="A400">
        <v>398</v>
      </c>
      <c r="B400">
        <v>6333</v>
      </c>
      <c r="C400" t="b">
        <v>1</v>
      </c>
      <c r="D400">
        <v>8054</v>
      </c>
      <c r="E400">
        <v>8129</v>
      </c>
      <c r="F400">
        <v>8</v>
      </c>
      <c r="G400">
        <v>10.8</v>
      </c>
      <c r="H400">
        <v>0.74074070000000003</v>
      </c>
      <c r="I400">
        <v>0.25925927999999998</v>
      </c>
      <c r="J400">
        <v>0.57446814000000002</v>
      </c>
    </row>
    <row r="401" spans="1:10" x14ac:dyDescent="0.3">
      <c r="A401">
        <v>399</v>
      </c>
      <c r="B401">
        <v>6349</v>
      </c>
      <c r="C401" t="b">
        <v>1</v>
      </c>
      <c r="D401">
        <v>8048</v>
      </c>
      <c r="E401">
        <v>8123</v>
      </c>
      <c r="F401">
        <v>8</v>
      </c>
      <c r="G401">
        <v>10.8</v>
      </c>
      <c r="H401">
        <v>0.74074070000000003</v>
      </c>
      <c r="I401">
        <v>0.25925927999999998</v>
      </c>
      <c r="J401">
        <v>0.57446814000000002</v>
      </c>
    </row>
    <row r="402" spans="1:10" x14ac:dyDescent="0.3">
      <c r="A402">
        <v>400</v>
      </c>
      <c r="B402">
        <v>6364</v>
      </c>
      <c r="C402" t="b">
        <v>1</v>
      </c>
      <c r="D402">
        <v>8048</v>
      </c>
      <c r="E402">
        <v>8123</v>
      </c>
      <c r="F402">
        <v>8</v>
      </c>
      <c r="G402">
        <v>10.4</v>
      </c>
      <c r="H402">
        <v>0.76923079999999999</v>
      </c>
      <c r="I402">
        <v>0.23076920000000001</v>
      </c>
      <c r="J402">
        <v>0.56521739999999998</v>
      </c>
    </row>
    <row r="403" spans="1:10" x14ac:dyDescent="0.3">
      <c r="A403">
        <v>401</v>
      </c>
      <c r="B403">
        <v>6380</v>
      </c>
      <c r="C403" t="b">
        <v>1</v>
      </c>
      <c r="D403">
        <v>8048</v>
      </c>
      <c r="E403">
        <v>8129</v>
      </c>
      <c r="F403">
        <v>8</v>
      </c>
      <c r="G403">
        <v>10</v>
      </c>
      <c r="H403">
        <v>0.8</v>
      </c>
      <c r="I403">
        <v>0.2</v>
      </c>
      <c r="J403">
        <v>0.55555560000000004</v>
      </c>
    </row>
    <row r="404" spans="1:10" x14ac:dyDescent="0.3">
      <c r="A404">
        <v>402</v>
      </c>
      <c r="B404">
        <v>6396</v>
      </c>
      <c r="C404" t="b">
        <v>1</v>
      </c>
      <c r="D404">
        <v>8048</v>
      </c>
      <c r="E404">
        <v>8123</v>
      </c>
      <c r="F404">
        <v>8</v>
      </c>
      <c r="G404">
        <v>9.6</v>
      </c>
      <c r="H404">
        <v>0.83333330000000005</v>
      </c>
      <c r="I404">
        <v>0.1666667</v>
      </c>
      <c r="J404">
        <v>0.54545456000000003</v>
      </c>
    </row>
    <row r="405" spans="1:10" x14ac:dyDescent="0.3">
      <c r="A405">
        <v>403</v>
      </c>
      <c r="B405">
        <v>6412</v>
      </c>
      <c r="C405" t="b">
        <v>1</v>
      </c>
      <c r="D405">
        <v>8048</v>
      </c>
      <c r="E405">
        <v>8129</v>
      </c>
      <c r="F405">
        <v>8</v>
      </c>
      <c r="G405">
        <v>9.1999999999999993</v>
      </c>
      <c r="H405">
        <v>0.86956524999999996</v>
      </c>
      <c r="I405">
        <v>0.13043477000000001</v>
      </c>
      <c r="J405">
        <v>0.53488369999999996</v>
      </c>
    </row>
    <row r="406" spans="1:10" x14ac:dyDescent="0.3">
      <c r="A406">
        <v>404</v>
      </c>
      <c r="B406">
        <v>6428</v>
      </c>
      <c r="C406" t="b">
        <v>1</v>
      </c>
      <c r="D406">
        <v>8048</v>
      </c>
      <c r="E406">
        <v>8123</v>
      </c>
      <c r="F406">
        <v>8</v>
      </c>
      <c r="G406">
        <v>9.1999999999999993</v>
      </c>
      <c r="H406">
        <v>0.86956524999999996</v>
      </c>
      <c r="I406">
        <v>0.13043477000000001</v>
      </c>
      <c r="J406">
        <v>0.53488369999999996</v>
      </c>
    </row>
    <row r="407" spans="1:10" x14ac:dyDescent="0.3">
      <c r="A407">
        <v>405</v>
      </c>
      <c r="B407">
        <v>6444</v>
      </c>
      <c r="C407" t="b">
        <v>1</v>
      </c>
      <c r="D407">
        <v>8042</v>
      </c>
      <c r="E407">
        <v>8117</v>
      </c>
      <c r="F407">
        <v>8</v>
      </c>
      <c r="G407">
        <v>9.6</v>
      </c>
      <c r="H407">
        <v>0.83333330000000005</v>
      </c>
      <c r="I407">
        <v>0.1666667</v>
      </c>
      <c r="J407">
        <v>0.54545456000000003</v>
      </c>
    </row>
    <row r="408" spans="1:10" x14ac:dyDescent="0.3">
      <c r="A408">
        <v>406</v>
      </c>
      <c r="B408">
        <v>6460</v>
      </c>
      <c r="C408" t="b">
        <v>1</v>
      </c>
      <c r="D408">
        <v>8042</v>
      </c>
      <c r="E408">
        <v>8123</v>
      </c>
      <c r="F408">
        <v>8</v>
      </c>
      <c r="G408">
        <v>10</v>
      </c>
      <c r="H408">
        <v>0.8</v>
      </c>
      <c r="I408">
        <v>0.2</v>
      </c>
      <c r="J408">
        <v>0.55555560000000004</v>
      </c>
    </row>
    <row r="409" spans="1:10" x14ac:dyDescent="0.3">
      <c r="A409">
        <v>407</v>
      </c>
      <c r="B409">
        <v>6475</v>
      </c>
      <c r="C409" t="b">
        <v>1</v>
      </c>
      <c r="D409">
        <v>8048</v>
      </c>
      <c r="E409">
        <v>8117</v>
      </c>
      <c r="F409">
        <v>8</v>
      </c>
      <c r="G409">
        <v>10</v>
      </c>
      <c r="H409">
        <v>0.8</v>
      </c>
      <c r="I409">
        <v>0.2</v>
      </c>
      <c r="J409">
        <v>0.55555560000000004</v>
      </c>
    </row>
    <row r="410" spans="1:10" x14ac:dyDescent="0.3">
      <c r="A410">
        <v>408</v>
      </c>
      <c r="B410">
        <v>6491</v>
      </c>
      <c r="C410" t="b">
        <v>1</v>
      </c>
      <c r="D410">
        <v>8048</v>
      </c>
      <c r="E410">
        <v>8117</v>
      </c>
      <c r="F410">
        <v>8</v>
      </c>
      <c r="G410">
        <v>9.6</v>
      </c>
      <c r="H410">
        <v>0.83333330000000005</v>
      </c>
      <c r="I410">
        <v>0.1666667</v>
      </c>
      <c r="J410">
        <v>0.54545456000000003</v>
      </c>
    </row>
    <row r="411" spans="1:10" x14ac:dyDescent="0.3">
      <c r="A411">
        <v>409</v>
      </c>
      <c r="B411">
        <v>6507</v>
      </c>
      <c r="C411" t="b">
        <v>1</v>
      </c>
      <c r="D411">
        <v>8048</v>
      </c>
      <c r="E411">
        <v>8123</v>
      </c>
      <c r="F411">
        <v>8</v>
      </c>
      <c r="G411">
        <v>8.8000000000000007</v>
      </c>
      <c r="H411">
        <v>0.90909090000000004</v>
      </c>
      <c r="I411">
        <v>9.0909110000000001E-2</v>
      </c>
      <c r="J411">
        <v>0.52380954999999996</v>
      </c>
    </row>
    <row r="412" spans="1:10" x14ac:dyDescent="0.3">
      <c r="A412">
        <v>410</v>
      </c>
      <c r="B412">
        <v>6523</v>
      </c>
      <c r="C412" t="b">
        <v>1</v>
      </c>
      <c r="D412">
        <v>8048</v>
      </c>
      <c r="E412">
        <v>8123</v>
      </c>
      <c r="F412">
        <v>8</v>
      </c>
      <c r="G412">
        <v>8.4</v>
      </c>
      <c r="H412">
        <v>0.95238100000000003</v>
      </c>
      <c r="I412">
        <v>4.7619003999999999E-2</v>
      </c>
      <c r="J412">
        <v>0.51219510000000001</v>
      </c>
    </row>
    <row r="413" spans="1:10" x14ac:dyDescent="0.3">
      <c r="A413">
        <v>411</v>
      </c>
      <c r="B413">
        <v>6539</v>
      </c>
      <c r="C413" t="b">
        <v>1</v>
      </c>
      <c r="D413">
        <v>8048</v>
      </c>
      <c r="E413">
        <v>8117</v>
      </c>
      <c r="F413">
        <v>8</v>
      </c>
      <c r="G413">
        <v>7.6</v>
      </c>
      <c r="H413">
        <v>1.0526316</v>
      </c>
      <c r="I413">
        <v>-5.2631589999999999E-2</v>
      </c>
      <c r="J413">
        <v>0.48717946000000001</v>
      </c>
    </row>
    <row r="414" spans="1:10" x14ac:dyDescent="0.3">
      <c r="A414">
        <v>412</v>
      </c>
      <c r="B414">
        <v>6555</v>
      </c>
      <c r="C414" t="b">
        <v>1</v>
      </c>
      <c r="D414">
        <v>8048</v>
      </c>
      <c r="E414">
        <v>8123</v>
      </c>
      <c r="F414">
        <v>8</v>
      </c>
      <c r="G414">
        <v>7.2</v>
      </c>
      <c r="H414">
        <v>1.1111112000000001</v>
      </c>
      <c r="I414">
        <v>-0.11111114</v>
      </c>
      <c r="J414">
        <v>0.4736842</v>
      </c>
    </row>
    <row r="415" spans="1:10" x14ac:dyDescent="0.3">
      <c r="A415">
        <v>413</v>
      </c>
      <c r="B415">
        <v>6571</v>
      </c>
      <c r="C415" t="b">
        <v>1</v>
      </c>
      <c r="D415">
        <v>8048</v>
      </c>
      <c r="E415">
        <v>8117</v>
      </c>
      <c r="F415">
        <v>8</v>
      </c>
      <c r="G415">
        <v>6.8</v>
      </c>
      <c r="H415">
        <v>1.1764705</v>
      </c>
      <c r="I415">
        <v>-0.17647055</v>
      </c>
      <c r="J415">
        <v>0.45945944999999999</v>
      </c>
    </row>
    <row r="416" spans="1:10" x14ac:dyDescent="0.3">
      <c r="A416">
        <v>414</v>
      </c>
      <c r="B416">
        <v>6587</v>
      </c>
      <c r="C416" t="b">
        <v>1</v>
      </c>
      <c r="D416">
        <v>8048</v>
      </c>
      <c r="E416">
        <v>8123</v>
      </c>
      <c r="F416">
        <v>8</v>
      </c>
      <c r="G416">
        <v>6.8</v>
      </c>
      <c r="H416">
        <v>1.1764705</v>
      </c>
      <c r="I416">
        <v>-0.17647055</v>
      </c>
      <c r="J416">
        <v>0.45945944999999999</v>
      </c>
    </row>
    <row r="417" spans="1:10" x14ac:dyDescent="0.3">
      <c r="A417">
        <v>415</v>
      </c>
      <c r="B417">
        <v>6603</v>
      </c>
      <c r="C417" t="b">
        <v>1</v>
      </c>
      <c r="D417">
        <v>8048</v>
      </c>
      <c r="E417">
        <v>8117</v>
      </c>
      <c r="F417">
        <v>8</v>
      </c>
      <c r="G417">
        <v>6.4</v>
      </c>
      <c r="H417">
        <v>1.25</v>
      </c>
      <c r="I417">
        <v>-0.24999999000000001</v>
      </c>
      <c r="J417">
        <v>0.44444447999999998</v>
      </c>
    </row>
    <row r="418" spans="1:10" x14ac:dyDescent="0.3">
      <c r="A418">
        <v>416</v>
      </c>
      <c r="B418">
        <v>6619</v>
      </c>
      <c r="C418" t="b">
        <v>1</v>
      </c>
      <c r="D418">
        <v>8048</v>
      </c>
      <c r="E418">
        <v>8123</v>
      </c>
      <c r="F418">
        <v>8</v>
      </c>
      <c r="G418">
        <v>6.4</v>
      </c>
      <c r="H418">
        <v>1.25</v>
      </c>
      <c r="I418">
        <v>-0.24999999000000001</v>
      </c>
      <c r="J418">
        <v>0.44444447999999998</v>
      </c>
    </row>
    <row r="419" spans="1:10" x14ac:dyDescent="0.3">
      <c r="A419">
        <v>417</v>
      </c>
      <c r="B419">
        <v>6635</v>
      </c>
      <c r="C419" t="b">
        <v>1</v>
      </c>
      <c r="D419">
        <v>8048</v>
      </c>
      <c r="E419">
        <v>8117</v>
      </c>
      <c r="F419">
        <v>8</v>
      </c>
      <c r="G419">
        <v>6</v>
      </c>
      <c r="H419">
        <v>1.3333333999999999</v>
      </c>
      <c r="I419">
        <v>-0.33333333999999998</v>
      </c>
      <c r="J419">
        <v>0.42857142999999998</v>
      </c>
    </row>
    <row r="420" spans="1:10" x14ac:dyDescent="0.3">
      <c r="A420">
        <v>418</v>
      </c>
      <c r="B420">
        <v>6651</v>
      </c>
      <c r="C420" t="b">
        <v>1</v>
      </c>
      <c r="D420">
        <v>8042</v>
      </c>
      <c r="E420">
        <v>8117</v>
      </c>
      <c r="F420">
        <v>8</v>
      </c>
      <c r="G420">
        <v>5.6</v>
      </c>
      <c r="H420">
        <v>1.4285715000000001</v>
      </c>
      <c r="I420">
        <v>-0.42857146000000002</v>
      </c>
      <c r="J420">
        <v>0.41176467999999999</v>
      </c>
    </row>
    <row r="421" spans="1:10" x14ac:dyDescent="0.3">
      <c r="A421">
        <v>419</v>
      </c>
      <c r="B421">
        <v>6667</v>
      </c>
      <c r="C421" t="b">
        <v>1</v>
      </c>
      <c r="D421">
        <v>8048</v>
      </c>
      <c r="E421">
        <v>8123</v>
      </c>
      <c r="F421">
        <v>8</v>
      </c>
      <c r="G421">
        <v>5.2</v>
      </c>
      <c r="H421">
        <v>1.5384616</v>
      </c>
      <c r="I421">
        <v>-0.53846156999999994</v>
      </c>
      <c r="J421">
        <v>0.39393938000000001</v>
      </c>
    </row>
    <row r="422" spans="1:10" x14ac:dyDescent="0.3">
      <c r="A422">
        <v>420</v>
      </c>
      <c r="B422">
        <v>6682</v>
      </c>
      <c r="C422" t="b">
        <v>1</v>
      </c>
      <c r="D422">
        <v>8048</v>
      </c>
      <c r="E422">
        <v>8129</v>
      </c>
      <c r="F422">
        <v>8</v>
      </c>
      <c r="G422">
        <v>5.2</v>
      </c>
      <c r="H422">
        <v>1.5384616</v>
      </c>
      <c r="I422">
        <v>-0.53846156999999994</v>
      </c>
      <c r="J422">
        <v>0.39393938000000001</v>
      </c>
    </row>
    <row r="423" spans="1:10" x14ac:dyDescent="0.3">
      <c r="A423">
        <v>421</v>
      </c>
      <c r="B423">
        <v>6698</v>
      </c>
      <c r="C423" t="b">
        <v>1</v>
      </c>
      <c r="D423">
        <v>8042</v>
      </c>
      <c r="E423">
        <v>8123</v>
      </c>
      <c r="F423">
        <v>8</v>
      </c>
      <c r="G423">
        <v>5.2</v>
      </c>
      <c r="H423">
        <v>1.5384616</v>
      </c>
      <c r="I423">
        <v>-0.53846156999999994</v>
      </c>
      <c r="J423">
        <v>0.39393938000000001</v>
      </c>
    </row>
    <row r="424" spans="1:10" x14ac:dyDescent="0.3">
      <c r="A424">
        <v>422</v>
      </c>
      <c r="B424">
        <v>6714</v>
      </c>
      <c r="C424" t="b">
        <v>1</v>
      </c>
      <c r="D424">
        <v>8048</v>
      </c>
      <c r="E424">
        <v>8123</v>
      </c>
      <c r="F424">
        <v>8</v>
      </c>
      <c r="G424">
        <v>5.2</v>
      </c>
      <c r="H424">
        <v>1.5384616</v>
      </c>
      <c r="I424">
        <v>-0.53846156999999994</v>
      </c>
      <c r="J424">
        <v>0.39393938000000001</v>
      </c>
    </row>
    <row r="425" spans="1:10" x14ac:dyDescent="0.3">
      <c r="A425">
        <v>423</v>
      </c>
      <c r="B425">
        <v>6730</v>
      </c>
      <c r="C425" t="b">
        <v>1</v>
      </c>
      <c r="D425">
        <v>8048</v>
      </c>
      <c r="E425">
        <v>8117</v>
      </c>
      <c r="F425">
        <v>8</v>
      </c>
      <c r="G425">
        <v>5.6</v>
      </c>
      <c r="H425">
        <v>1.4285715000000001</v>
      </c>
      <c r="I425">
        <v>-0.42857146000000002</v>
      </c>
      <c r="J425">
        <v>0.41176467999999999</v>
      </c>
    </row>
    <row r="426" spans="1:10" x14ac:dyDescent="0.3">
      <c r="A426">
        <v>424</v>
      </c>
      <c r="B426">
        <v>6746</v>
      </c>
      <c r="C426" t="b">
        <v>1</v>
      </c>
      <c r="D426">
        <v>8048</v>
      </c>
      <c r="E426">
        <v>8123</v>
      </c>
      <c r="F426">
        <v>8</v>
      </c>
      <c r="G426">
        <v>6</v>
      </c>
      <c r="H426">
        <v>1.3333333999999999</v>
      </c>
      <c r="I426">
        <v>-0.33333333999999998</v>
      </c>
      <c r="J426">
        <v>0.42857142999999998</v>
      </c>
    </row>
    <row r="427" spans="1:10" x14ac:dyDescent="0.3">
      <c r="A427">
        <v>425</v>
      </c>
      <c r="B427">
        <v>6761</v>
      </c>
      <c r="C427" t="b">
        <v>1</v>
      </c>
      <c r="D427">
        <v>8048</v>
      </c>
      <c r="E427">
        <v>8123</v>
      </c>
      <c r="F427">
        <v>8</v>
      </c>
      <c r="G427">
        <v>6</v>
      </c>
      <c r="H427">
        <v>1.3333333999999999</v>
      </c>
      <c r="I427">
        <v>-0.33333333999999998</v>
      </c>
      <c r="J427">
        <v>0.42857142999999998</v>
      </c>
    </row>
    <row r="428" spans="1:10" x14ac:dyDescent="0.3">
      <c r="A428">
        <v>426</v>
      </c>
      <c r="B428">
        <v>6777</v>
      </c>
      <c r="C428" t="b">
        <v>1</v>
      </c>
      <c r="D428">
        <v>8048</v>
      </c>
      <c r="E428">
        <v>8117</v>
      </c>
      <c r="F428">
        <v>8</v>
      </c>
      <c r="G428">
        <v>6.4</v>
      </c>
      <c r="H428">
        <v>1.25</v>
      </c>
      <c r="I428">
        <v>-0.24999999000000001</v>
      </c>
      <c r="J428">
        <v>0.44444447999999998</v>
      </c>
    </row>
    <row r="429" spans="1:10" x14ac:dyDescent="0.3">
      <c r="A429">
        <v>427</v>
      </c>
      <c r="B429">
        <v>6793</v>
      </c>
      <c r="C429" t="b">
        <v>1</v>
      </c>
      <c r="D429">
        <v>8048</v>
      </c>
      <c r="E429">
        <v>8117</v>
      </c>
      <c r="F429">
        <v>8</v>
      </c>
      <c r="G429">
        <v>6</v>
      </c>
      <c r="H429">
        <v>1.3333333999999999</v>
      </c>
      <c r="I429">
        <v>-0.33333333999999998</v>
      </c>
      <c r="J429">
        <v>0.42857142999999998</v>
      </c>
    </row>
    <row r="430" spans="1:10" x14ac:dyDescent="0.3">
      <c r="A430">
        <v>428</v>
      </c>
      <c r="B430">
        <v>6809</v>
      </c>
      <c r="C430" t="b">
        <v>1</v>
      </c>
      <c r="D430">
        <v>8048</v>
      </c>
      <c r="E430">
        <v>8117</v>
      </c>
      <c r="F430">
        <v>8</v>
      </c>
      <c r="G430">
        <v>5.6</v>
      </c>
      <c r="H430">
        <v>1.4285715000000001</v>
      </c>
      <c r="I430">
        <v>-0.42857146000000002</v>
      </c>
      <c r="J430">
        <v>0.41176467999999999</v>
      </c>
    </row>
    <row r="431" spans="1:10" x14ac:dyDescent="0.3">
      <c r="A431">
        <v>429</v>
      </c>
      <c r="B431">
        <v>6824</v>
      </c>
      <c r="C431" t="b">
        <v>1</v>
      </c>
      <c r="D431">
        <v>8054</v>
      </c>
      <c r="E431">
        <v>8123</v>
      </c>
      <c r="F431">
        <v>8</v>
      </c>
      <c r="G431">
        <v>5.2</v>
      </c>
      <c r="H431">
        <v>1.5384616</v>
      </c>
      <c r="I431">
        <v>-0.53846156999999994</v>
      </c>
      <c r="J431">
        <v>0.39393938000000001</v>
      </c>
    </row>
    <row r="432" spans="1:10" x14ac:dyDescent="0.3">
      <c r="A432">
        <v>430</v>
      </c>
      <c r="B432">
        <v>6840</v>
      </c>
      <c r="C432" t="b">
        <v>1</v>
      </c>
      <c r="D432">
        <v>8048</v>
      </c>
      <c r="E432">
        <v>8123</v>
      </c>
      <c r="F432">
        <v>8</v>
      </c>
      <c r="G432">
        <v>5.2</v>
      </c>
      <c r="H432">
        <v>1.5384616</v>
      </c>
      <c r="I432">
        <v>-0.53846156999999994</v>
      </c>
      <c r="J432">
        <v>0.39393938000000001</v>
      </c>
    </row>
    <row r="433" spans="1:10" x14ac:dyDescent="0.3">
      <c r="A433">
        <v>431</v>
      </c>
      <c r="B433">
        <v>6856</v>
      </c>
      <c r="C433" t="b">
        <v>1</v>
      </c>
      <c r="D433">
        <v>8048</v>
      </c>
      <c r="E433">
        <v>8123</v>
      </c>
      <c r="F433">
        <v>8</v>
      </c>
      <c r="G433">
        <v>5.2</v>
      </c>
      <c r="H433">
        <v>1.5384616</v>
      </c>
      <c r="I433">
        <v>-0.53846156999999994</v>
      </c>
      <c r="J433">
        <v>0.39393938000000001</v>
      </c>
    </row>
    <row r="434" spans="1:10" x14ac:dyDescent="0.3">
      <c r="A434">
        <v>432</v>
      </c>
      <c r="B434">
        <v>6872</v>
      </c>
      <c r="C434" t="b">
        <v>1</v>
      </c>
      <c r="D434">
        <v>8048</v>
      </c>
      <c r="E434">
        <v>8123</v>
      </c>
      <c r="F434">
        <v>8</v>
      </c>
      <c r="G434">
        <v>5.6</v>
      </c>
      <c r="H434">
        <v>1.4285715000000001</v>
      </c>
      <c r="I434">
        <v>-0.42857146000000002</v>
      </c>
      <c r="J434">
        <v>0.41176467999999999</v>
      </c>
    </row>
    <row r="435" spans="1:10" x14ac:dyDescent="0.3">
      <c r="A435">
        <v>433</v>
      </c>
      <c r="B435">
        <v>6888</v>
      </c>
      <c r="C435" t="b">
        <v>1</v>
      </c>
      <c r="D435">
        <v>8048</v>
      </c>
      <c r="E435">
        <v>8123</v>
      </c>
      <c r="F435">
        <v>8</v>
      </c>
      <c r="G435">
        <v>6</v>
      </c>
      <c r="H435">
        <v>1.3333333999999999</v>
      </c>
      <c r="I435">
        <v>-0.33333333999999998</v>
      </c>
      <c r="J435">
        <v>0.42857142999999998</v>
      </c>
    </row>
    <row r="436" spans="1:10" x14ac:dyDescent="0.3">
      <c r="A436">
        <v>434</v>
      </c>
      <c r="B436">
        <v>6903</v>
      </c>
      <c r="C436" t="b">
        <v>1</v>
      </c>
      <c r="D436">
        <v>8048</v>
      </c>
      <c r="E436">
        <v>8134</v>
      </c>
      <c r="F436">
        <v>8</v>
      </c>
      <c r="G436">
        <v>6.4</v>
      </c>
      <c r="H436">
        <v>1.25</v>
      </c>
      <c r="I436">
        <v>-0.24999999000000001</v>
      </c>
      <c r="J436">
        <v>0.44444447999999998</v>
      </c>
    </row>
    <row r="437" spans="1:10" x14ac:dyDescent="0.3">
      <c r="A437">
        <v>435</v>
      </c>
      <c r="B437">
        <v>6919</v>
      </c>
      <c r="C437" t="b">
        <v>1</v>
      </c>
      <c r="D437">
        <v>8048</v>
      </c>
      <c r="E437">
        <v>8123</v>
      </c>
      <c r="F437">
        <v>8</v>
      </c>
      <c r="G437">
        <v>6.4</v>
      </c>
      <c r="H437">
        <v>1.25</v>
      </c>
      <c r="I437">
        <v>-0.24999999000000001</v>
      </c>
      <c r="J437">
        <v>0.44444447999999998</v>
      </c>
    </row>
    <row r="438" spans="1:10" x14ac:dyDescent="0.3">
      <c r="A438">
        <v>436</v>
      </c>
      <c r="B438">
        <v>6935</v>
      </c>
      <c r="C438" t="b">
        <v>1</v>
      </c>
      <c r="D438">
        <v>8048</v>
      </c>
      <c r="E438">
        <v>8117</v>
      </c>
      <c r="F438">
        <v>8</v>
      </c>
      <c r="G438">
        <v>6.4</v>
      </c>
      <c r="H438">
        <v>1.25</v>
      </c>
      <c r="I438">
        <v>-0.24999999000000001</v>
      </c>
      <c r="J438">
        <v>0.44444447999999998</v>
      </c>
    </row>
    <row r="439" spans="1:10" x14ac:dyDescent="0.3">
      <c r="A439">
        <v>437</v>
      </c>
      <c r="B439">
        <v>6951</v>
      </c>
      <c r="C439" t="b">
        <v>1</v>
      </c>
      <c r="D439">
        <v>8048</v>
      </c>
      <c r="E439">
        <v>8129</v>
      </c>
      <c r="F439">
        <v>8</v>
      </c>
      <c r="G439">
        <v>6.4</v>
      </c>
      <c r="H439">
        <v>1.25</v>
      </c>
      <c r="I439">
        <v>-0.24999999000000001</v>
      </c>
      <c r="J439">
        <v>0.44444447999999998</v>
      </c>
    </row>
    <row r="440" spans="1:10" x14ac:dyDescent="0.3">
      <c r="A440">
        <v>438</v>
      </c>
      <c r="B440">
        <v>6967</v>
      </c>
      <c r="C440" t="b">
        <v>1</v>
      </c>
      <c r="D440">
        <v>8048</v>
      </c>
      <c r="E440">
        <v>8117</v>
      </c>
      <c r="F440">
        <v>8</v>
      </c>
      <c r="G440">
        <v>6.4</v>
      </c>
      <c r="H440">
        <v>1.25</v>
      </c>
      <c r="I440">
        <v>-0.24999999000000001</v>
      </c>
      <c r="J440">
        <v>0.44444447999999998</v>
      </c>
    </row>
    <row r="441" spans="1:10" x14ac:dyDescent="0.3">
      <c r="A441">
        <v>439</v>
      </c>
      <c r="B441">
        <v>6983</v>
      </c>
      <c r="C441" t="b">
        <v>1</v>
      </c>
      <c r="D441">
        <v>8054</v>
      </c>
      <c r="E441">
        <v>8117</v>
      </c>
      <c r="F441">
        <v>8</v>
      </c>
      <c r="G441">
        <v>6</v>
      </c>
      <c r="H441">
        <v>1.3333333999999999</v>
      </c>
      <c r="I441">
        <v>-0.33333333999999998</v>
      </c>
      <c r="J441">
        <v>0.42857142999999998</v>
      </c>
    </row>
    <row r="442" spans="1:10" x14ac:dyDescent="0.3">
      <c r="A442">
        <v>440</v>
      </c>
      <c r="B442">
        <v>6999</v>
      </c>
      <c r="C442" t="b">
        <v>1</v>
      </c>
      <c r="D442">
        <v>8048</v>
      </c>
      <c r="E442">
        <v>8117</v>
      </c>
      <c r="F442">
        <v>8</v>
      </c>
      <c r="G442">
        <v>5.6</v>
      </c>
      <c r="H442">
        <v>1.4285715000000001</v>
      </c>
      <c r="I442">
        <v>-0.42857146000000002</v>
      </c>
      <c r="J442">
        <v>0.41176467999999999</v>
      </c>
    </row>
    <row r="443" spans="1:10" x14ac:dyDescent="0.3">
      <c r="A443">
        <v>441</v>
      </c>
      <c r="B443">
        <v>7015</v>
      </c>
      <c r="C443" t="b">
        <v>1</v>
      </c>
      <c r="D443">
        <v>8042</v>
      </c>
      <c r="E443">
        <v>8117</v>
      </c>
      <c r="F443">
        <v>8</v>
      </c>
      <c r="G443">
        <v>5.2</v>
      </c>
      <c r="H443">
        <v>1.5384616</v>
      </c>
      <c r="I443">
        <v>-0.53846156999999994</v>
      </c>
      <c r="J443">
        <v>0.39393938000000001</v>
      </c>
    </row>
    <row r="444" spans="1:10" x14ac:dyDescent="0.3">
      <c r="A444">
        <v>442</v>
      </c>
      <c r="B444">
        <v>7031</v>
      </c>
      <c r="C444" t="b">
        <v>1</v>
      </c>
      <c r="D444">
        <v>8048</v>
      </c>
      <c r="E444">
        <v>8129</v>
      </c>
      <c r="F444">
        <v>8</v>
      </c>
      <c r="G444">
        <v>5.2</v>
      </c>
      <c r="H444">
        <v>1.5384616</v>
      </c>
      <c r="I444">
        <v>-0.53846156999999994</v>
      </c>
      <c r="J444">
        <v>0.39393938000000001</v>
      </c>
    </row>
    <row r="445" spans="1:10" x14ac:dyDescent="0.3">
      <c r="A445">
        <v>443</v>
      </c>
      <c r="B445">
        <v>7046</v>
      </c>
      <c r="C445" t="b">
        <v>1</v>
      </c>
      <c r="D445">
        <v>8042</v>
      </c>
      <c r="E445">
        <v>8123</v>
      </c>
      <c r="F445">
        <v>8</v>
      </c>
      <c r="G445">
        <v>5.2</v>
      </c>
      <c r="H445">
        <v>1.5384616</v>
      </c>
      <c r="I445">
        <v>-0.53846156999999994</v>
      </c>
      <c r="J445">
        <v>0.39393938000000001</v>
      </c>
    </row>
    <row r="446" spans="1:10" x14ac:dyDescent="0.3">
      <c r="A446">
        <v>444</v>
      </c>
      <c r="B446">
        <v>7062</v>
      </c>
      <c r="C446" t="b">
        <v>1</v>
      </c>
      <c r="D446">
        <v>8048</v>
      </c>
      <c r="E446">
        <v>8129</v>
      </c>
      <c r="F446">
        <v>8</v>
      </c>
      <c r="G446">
        <v>5.6</v>
      </c>
      <c r="H446">
        <v>1.4285715000000001</v>
      </c>
      <c r="I446">
        <v>-0.42857146000000002</v>
      </c>
      <c r="J446">
        <v>0.41176467999999999</v>
      </c>
    </row>
    <row r="447" spans="1:10" x14ac:dyDescent="0.3">
      <c r="A447">
        <v>445</v>
      </c>
      <c r="B447">
        <v>7078</v>
      </c>
      <c r="C447" t="b">
        <v>1</v>
      </c>
      <c r="D447">
        <v>8048</v>
      </c>
      <c r="E447">
        <v>8123</v>
      </c>
      <c r="F447">
        <v>8</v>
      </c>
      <c r="G447">
        <v>6</v>
      </c>
      <c r="H447">
        <v>1.3333333999999999</v>
      </c>
      <c r="I447">
        <v>-0.33333333999999998</v>
      </c>
      <c r="J447">
        <v>0.42857142999999998</v>
      </c>
    </row>
    <row r="448" spans="1:10" x14ac:dyDescent="0.3">
      <c r="A448">
        <v>446</v>
      </c>
      <c r="B448">
        <v>7094</v>
      </c>
      <c r="C448" t="b">
        <v>1</v>
      </c>
      <c r="D448">
        <v>8048</v>
      </c>
      <c r="E448">
        <v>8123</v>
      </c>
      <c r="F448">
        <v>8</v>
      </c>
      <c r="G448">
        <v>6</v>
      </c>
      <c r="H448">
        <v>1.3333333999999999</v>
      </c>
      <c r="I448">
        <v>-0.33333333999999998</v>
      </c>
      <c r="J448">
        <v>0.42857142999999998</v>
      </c>
    </row>
    <row r="449" spans="1:10" x14ac:dyDescent="0.3">
      <c r="A449">
        <v>447</v>
      </c>
      <c r="B449">
        <v>7110</v>
      </c>
      <c r="C449" t="b">
        <v>1</v>
      </c>
      <c r="D449">
        <v>8048</v>
      </c>
      <c r="E449">
        <v>8123</v>
      </c>
      <c r="F449">
        <v>8</v>
      </c>
      <c r="G449">
        <v>6</v>
      </c>
      <c r="H449">
        <v>1.3333333999999999</v>
      </c>
      <c r="I449">
        <v>-0.33333333999999998</v>
      </c>
      <c r="J449">
        <v>0.42857142999999998</v>
      </c>
    </row>
    <row r="450" spans="1:10" x14ac:dyDescent="0.3">
      <c r="A450">
        <v>448</v>
      </c>
      <c r="B450">
        <v>7126</v>
      </c>
      <c r="C450" t="b">
        <v>1</v>
      </c>
      <c r="D450">
        <v>8048</v>
      </c>
      <c r="E450">
        <v>8123</v>
      </c>
      <c r="F450">
        <v>8</v>
      </c>
      <c r="G450">
        <v>6</v>
      </c>
      <c r="H450">
        <v>1.3333333999999999</v>
      </c>
      <c r="I450">
        <v>-0.33333333999999998</v>
      </c>
      <c r="J450">
        <v>0.42857142999999998</v>
      </c>
    </row>
    <row r="451" spans="1:10" x14ac:dyDescent="0.3">
      <c r="A451">
        <v>449</v>
      </c>
      <c r="B451">
        <v>7141</v>
      </c>
      <c r="C451" t="b">
        <v>1</v>
      </c>
      <c r="D451">
        <v>8048</v>
      </c>
      <c r="E451">
        <v>8129</v>
      </c>
      <c r="F451">
        <v>8</v>
      </c>
      <c r="G451">
        <v>6</v>
      </c>
      <c r="H451">
        <v>1.3333333999999999</v>
      </c>
      <c r="I451">
        <v>-0.33333333999999998</v>
      </c>
      <c r="J451">
        <v>0.42857142999999998</v>
      </c>
    </row>
    <row r="452" spans="1:10" x14ac:dyDescent="0.3">
      <c r="A452">
        <v>450</v>
      </c>
      <c r="B452">
        <v>7157</v>
      </c>
      <c r="C452" t="b">
        <v>1</v>
      </c>
      <c r="D452">
        <v>8042</v>
      </c>
      <c r="E452">
        <v>8123</v>
      </c>
      <c r="F452">
        <v>8</v>
      </c>
      <c r="G452">
        <v>6</v>
      </c>
      <c r="H452">
        <v>1.3333333999999999</v>
      </c>
      <c r="I452">
        <v>-0.33333333999999998</v>
      </c>
      <c r="J452">
        <v>0.42857142999999998</v>
      </c>
    </row>
    <row r="453" spans="1:10" x14ac:dyDescent="0.3">
      <c r="A453">
        <v>451</v>
      </c>
      <c r="B453">
        <v>7173</v>
      </c>
      <c r="C453" t="b">
        <v>1</v>
      </c>
      <c r="D453">
        <v>8048</v>
      </c>
      <c r="E453">
        <v>8123</v>
      </c>
      <c r="F453">
        <v>8</v>
      </c>
      <c r="G453">
        <v>6</v>
      </c>
      <c r="H453">
        <v>1.3333333999999999</v>
      </c>
      <c r="I453">
        <v>-0.33333333999999998</v>
      </c>
      <c r="J453">
        <v>0.42857142999999998</v>
      </c>
    </row>
    <row r="454" spans="1:10" x14ac:dyDescent="0.3">
      <c r="A454">
        <v>452</v>
      </c>
      <c r="B454">
        <v>7189</v>
      </c>
      <c r="C454" t="b">
        <v>1</v>
      </c>
      <c r="D454">
        <v>8048</v>
      </c>
      <c r="E454">
        <v>8129</v>
      </c>
      <c r="F454">
        <v>8</v>
      </c>
      <c r="G454">
        <v>6</v>
      </c>
      <c r="H454">
        <v>1.3333333999999999</v>
      </c>
      <c r="I454">
        <v>-0.33333333999999998</v>
      </c>
      <c r="J454">
        <v>0.42857142999999998</v>
      </c>
    </row>
    <row r="455" spans="1:10" x14ac:dyDescent="0.3">
      <c r="A455">
        <v>453</v>
      </c>
      <c r="B455">
        <v>7204</v>
      </c>
      <c r="C455" t="b">
        <v>1</v>
      </c>
      <c r="D455">
        <v>8042</v>
      </c>
      <c r="E455">
        <v>8129</v>
      </c>
      <c r="F455">
        <v>8</v>
      </c>
      <c r="G455">
        <v>6.4</v>
      </c>
      <c r="H455">
        <v>1.25</v>
      </c>
      <c r="I455">
        <v>-0.24999999000000001</v>
      </c>
      <c r="J455">
        <v>0.44444447999999998</v>
      </c>
    </row>
    <row r="456" spans="1:10" x14ac:dyDescent="0.3">
      <c r="A456">
        <v>454</v>
      </c>
      <c r="B456">
        <v>7220</v>
      </c>
      <c r="C456" t="b">
        <v>1</v>
      </c>
      <c r="D456">
        <v>8048</v>
      </c>
      <c r="E456">
        <v>8134</v>
      </c>
      <c r="F456">
        <v>8</v>
      </c>
      <c r="G456">
        <v>7.2</v>
      </c>
      <c r="H456">
        <v>1.1111112000000001</v>
      </c>
      <c r="I456">
        <v>-0.11111114</v>
      </c>
      <c r="J456">
        <v>0.4736842</v>
      </c>
    </row>
    <row r="457" spans="1:10" x14ac:dyDescent="0.3">
      <c r="A457">
        <v>455</v>
      </c>
      <c r="B457">
        <v>7236</v>
      </c>
      <c r="C457" t="b">
        <v>1</v>
      </c>
      <c r="D457">
        <v>8048</v>
      </c>
      <c r="E457">
        <v>8134</v>
      </c>
      <c r="F457">
        <v>8</v>
      </c>
      <c r="G457">
        <v>8</v>
      </c>
      <c r="H457">
        <v>1</v>
      </c>
      <c r="I457">
        <v>0</v>
      </c>
      <c r="J457">
        <v>0.5</v>
      </c>
    </row>
    <row r="458" spans="1:10" x14ac:dyDescent="0.3">
      <c r="A458">
        <v>456</v>
      </c>
      <c r="B458">
        <v>7252</v>
      </c>
      <c r="C458" t="b">
        <v>1</v>
      </c>
      <c r="D458">
        <v>8048</v>
      </c>
      <c r="E458">
        <v>8129</v>
      </c>
      <c r="F458">
        <v>8</v>
      </c>
      <c r="G458">
        <v>8.8000000000000007</v>
      </c>
      <c r="H458">
        <v>0.90909090000000004</v>
      </c>
      <c r="I458">
        <v>9.0909110000000001E-2</v>
      </c>
      <c r="J458">
        <v>0.52380954999999996</v>
      </c>
    </row>
    <row r="459" spans="1:10" x14ac:dyDescent="0.3">
      <c r="A459">
        <v>457</v>
      </c>
      <c r="B459">
        <v>7268</v>
      </c>
      <c r="C459" t="b">
        <v>1</v>
      </c>
      <c r="D459">
        <v>8048</v>
      </c>
      <c r="E459">
        <v>8129</v>
      </c>
      <c r="F459">
        <v>8</v>
      </c>
      <c r="G459">
        <v>9.6</v>
      </c>
      <c r="H459">
        <v>0.83333330000000005</v>
      </c>
      <c r="I459">
        <v>0.1666667</v>
      </c>
      <c r="J459">
        <v>0.54545456000000003</v>
      </c>
    </row>
    <row r="460" spans="1:10" x14ac:dyDescent="0.3">
      <c r="A460">
        <v>458</v>
      </c>
      <c r="B460">
        <v>7284</v>
      </c>
      <c r="C460" t="b">
        <v>1</v>
      </c>
      <c r="D460">
        <v>8042</v>
      </c>
      <c r="E460">
        <v>8129</v>
      </c>
      <c r="F460">
        <v>8</v>
      </c>
      <c r="G460">
        <v>10.4</v>
      </c>
      <c r="H460">
        <v>0.76923079999999999</v>
      </c>
      <c r="I460">
        <v>0.23076920000000001</v>
      </c>
      <c r="J460">
        <v>0.56521739999999998</v>
      </c>
    </row>
    <row r="461" spans="1:10" x14ac:dyDescent="0.3">
      <c r="A461">
        <v>459</v>
      </c>
      <c r="B461">
        <v>7300</v>
      </c>
      <c r="C461" t="b">
        <v>1</v>
      </c>
      <c r="D461">
        <v>8048</v>
      </c>
      <c r="E461">
        <v>8129</v>
      </c>
      <c r="F461">
        <v>8</v>
      </c>
      <c r="G461">
        <v>10.8</v>
      </c>
      <c r="H461">
        <v>0.74074070000000003</v>
      </c>
      <c r="I461">
        <v>0.25925927999999998</v>
      </c>
      <c r="J461">
        <v>0.57446814000000002</v>
      </c>
    </row>
    <row r="462" spans="1:10" x14ac:dyDescent="0.3">
      <c r="A462">
        <v>460</v>
      </c>
      <c r="B462">
        <v>7316</v>
      </c>
      <c r="C462" t="b">
        <v>1</v>
      </c>
      <c r="D462">
        <v>8054</v>
      </c>
      <c r="E462">
        <v>8123</v>
      </c>
      <c r="F462">
        <v>8</v>
      </c>
      <c r="G462">
        <v>11.2</v>
      </c>
      <c r="H462">
        <v>0.71428572999999995</v>
      </c>
      <c r="I462">
        <v>0.28571426999999999</v>
      </c>
      <c r="J462">
        <v>0.58333330000000005</v>
      </c>
    </row>
    <row r="463" spans="1:10" x14ac:dyDescent="0.3">
      <c r="A463">
        <v>461</v>
      </c>
      <c r="B463">
        <v>7332</v>
      </c>
      <c r="C463" t="b">
        <v>1</v>
      </c>
      <c r="D463">
        <v>8054</v>
      </c>
      <c r="E463">
        <v>8129</v>
      </c>
      <c r="F463">
        <v>8</v>
      </c>
      <c r="G463">
        <v>11.6</v>
      </c>
      <c r="H463">
        <v>0.68965509999999997</v>
      </c>
      <c r="I463">
        <v>0.31034485000000001</v>
      </c>
      <c r="J463">
        <v>0.59183675000000002</v>
      </c>
    </row>
    <row r="464" spans="1:10" x14ac:dyDescent="0.3">
      <c r="A464">
        <v>462</v>
      </c>
      <c r="B464">
        <v>7348</v>
      </c>
      <c r="C464" t="b">
        <v>1</v>
      </c>
      <c r="D464">
        <v>8054</v>
      </c>
      <c r="E464">
        <v>8129</v>
      </c>
      <c r="F464">
        <v>8.4</v>
      </c>
      <c r="G464">
        <v>12</v>
      </c>
      <c r="H464">
        <v>0.7</v>
      </c>
      <c r="I464">
        <v>0.30000004000000002</v>
      </c>
      <c r="J464">
        <v>0.58823530000000002</v>
      </c>
    </row>
    <row r="465" spans="1:10" x14ac:dyDescent="0.3">
      <c r="A465">
        <v>463</v>
      </c>
      <c r="B465">
        <v>7364</v>
      </c>
      <c r="C465" t="b">
        <v>1</v>
      </c>
      <c r="D465">
        <v>8054</v>
      </c>
      <c r="E465">
        <v>8129</v>
      </c>
      <c r="F465">
        <v>8.8000000000000007</v>
      </c>
      <c r="G465">
        <v>12.4</v>
      </c>
      <c r="H465">
        <v>0.70967745999999998</v>
      </c>
      <c r="I465">
        <v>0.29032254000000002</v>
      </c>
      <c r="J465">
        <v>0.58490560000000003</v>
      </c>
    </row>
    <row r="466" spans="1:10" x14ac:dyDescent="0.3">
      <c r="A466">
        <v>464</v>
      </c>
      <c r="B466">
        <v>7380</v>
      </c>
      <c r="C466" t="b">
        <v>1</v>
      </c>
      <c r="D466">
        <v>8054</v>
      </c>
      <c r="E466">
        <v>8123</v>
      </c>
      <c r="F466">
        <v>9.1999999999999993</v>
      </c>
      <c r="G466">
        <v>12.8</v>
      </c>
      <c r="H466">
        <v>0.71875</v>
      </c>
      <c r="I466">
        <v>0.28125002999999998</v>
      </c>
      <c r="J466">
        <v>0.58181815999999997</v>
      </c>
    </row>
    <row r="467" spans="1:10" x14ac:dyDescent="0.3">
      <c r="A467">
        <v>465</v>
      </c>
      <c r="B467">
        <v>7396</v>
      </c>
      <c r="C467" t="b">
        <v>1</v>
      </c>
      <c r="D467">
        <v>8054</v>
      </c>
      <c r="E467">
        <v>8129</v>
      </c>
      <c r="F467">
        <v>9.6</v>
      </c>
      <c r="G467">
        <v>13.2</v>
      </c>
      <c r="H467">
        <v>0.72727275000000002</v>
      </c>
      <c r="I467">
        <v>0.27272721999999999</v>
      </c>
      <c r="J467">
        <v>0.57894736999999996</v>
      </c>
    </row>
    <row r="468" spans="1:10" x14ac:dyDescent="0.3">
      <c r="A468">
        <v>466</v>
      </c>
      <c r="B468">
        <v>7411</v>
      </c>
      <c r="C468" t="b">
        <v>1</v>
      </c>
      <c r="D468">
        <v>8048</v>
      </c>
      <c r="E468">
        <v>8123</v>
      </c>
      <c r="F468">
        <v>10</v>
      </c>
      <c r="G468">
        <v>13.6</v>
      </c>
      <c r="H468">
        <v>0.73529409999999995</v>
      </c>
      <c r="I468">
        <v>0.26470589999999999</v>
      </c>
      <c r="J468">
        <v>0.57627119999999998</v>
      </c>
    </row>
    <row r="469" spans="1:10" x14ac:dyDescent="0.3">
      <c r="A469">
        <v>467</v>
      </c>
      <c r="B469">
        <v>7427</v>
      </c>
      <c r="C469" t="b">
        <v>1</v>
      </c>
      <c r="D469">
        <v>8048</v>
      </c>
      <c r="E469">
        <v>8134</v>
      </c>
      <c r="F469">
        <v>10.4</v>
      </c>
      <c r="G469">
        <v>14</v>
      </c>
      <c r="H469">
        <v>0.74285710000000005</v>
      </c>
      <c r="I469">
        <v>0.25714287000000002</v>
      </c>
      <c r="J469">
        <v>0.57377049999999996</v>
      </c>
    </row>
    <row r="470" spans="1:10" x14ac:dyDescent="0.3">
      <c r="A470">
        <v>468</v>
      </c>
      <c r="B470">
        <v>7443</v>
      </c>
      <c r="C470" t="b">
        <v>1</v>
      </c>
      <c r="D470">
        <v>8048</v>
      </c>
      <c r="E470">
        <v>8134</v>
      </c>
      <c r="F470">
        <v>10.4</v>
      </c>
      <c r="G470">
        <v>14</v>
      </c>
      <c r="H470">
        <v>0.74285710000000005</v>
      </c>
      <c r="I470">
        <v>0.25714287000000002</v>
      </c>
      <c r="J470">
        <v>0.57377049999999996</v>
      </c>
    </row>
    <row r="471" spans="1:10" x14ac:dyDescent="0.3">
      <c r="A471">
        <v>469</v>
      </c>
      <c r="B471">
        <v>7459</v>
      </c>
      <c r="C471" t="b">
        <v>1</v>
      </c>
      <c r="D471">
        <v>8048</v>
      </c>
      <c r="E471">
        <v>8134</v>
      </c>
      <c r="F471">
        <v>10.4</v>
      </c>
      <c r="G471">
        <v>14.333333</v>
      </c>
      <c r="H471">
        <v>0.72558140000000004</v>
      </c>
      <c r="I471">
        <v>0.27441862</v>
      </c>
      <c r="J471">
        <v>0.5795148</v>
      </c>
    </row>
    <row r="472" spans="1:10" x14ac:dyDescent="0.3">
      <c r="A472">
        <v>470</v>
      </c>
      <c r="B472">
        <v>7475</v>
      </c>
      <c r="C472" t="b">
        <v>1</v>
      </c>
      <c r="D472">
        <v>8042</v>
      </c>
      <c r="E472">
        <v>8134</v>
      </c>
      <c r="F472">
        <v>10.4</v>
      </c>
      <c r="G472">
        <v>14.666667</v>
      </c>
      <c r="H472">
        <v>0.70909089999999997</v>
      </c>
      <c r="I472">
        <v>0.29090914000000001</v>
      </c>
      <c r="J472">
        <v>0.58510642999999996</v>
      </c>
    </row>
    <row r="473" spans="1:10" x14ac:dyDescent="0.3">
      <c r="A473">
        <v>471</v>
      </c>
      <c r="B473">
        <v>7491</v>
      </c>
      <c r="C473" t="b">
        <v>1</v>
      </c>
      <c r="D473">
        <v>8042</v>
      </c>
      <c r="E473">
        <v>8129</v>
      </c>
      <c r="F473">
        <v>10.4</v>
      </c>
      <c r="G473">
        <v>15</v>
      </c>
      <c r="H473">
        <v>0.69333330000000004</v>
      </c>
      <c r="I473">
        <v>0.30666670000000001</v>
      </c>
      <c r="J473">
        <v>0.59055120000000005</v>
      </c>
    </row>
    <row r="474" spans="1:10" x14ac:dyDescent="0.3">
      <c r="A474">
        <v>472</v>
      </c>
      <c r="B474">
        <v>7506</v>
      </c>
      <c r="C474" t="b">
        <v>1</v>
      </c>
      <c r="D474">
        <v>8048</v>
      </c>
      <c r="E474">
        <v>8123</v>
      </c>
      <c r="F474">
        <v>10.4</v>
      </c>
      <c r="G474">
        <v>15.333333</v>
      </c>
      <c r="H474">
        <v>0.67826085999999997</v>
      </c>
      <c r="I474">
        <v>0.32173913999999998</v>
      </c>
      <c r="J474">
        <v>0.59585489999999997</v>
      </c>
    </row>
    <row r="475" spans="1:10" x14ac:dyDescent="0.3">
      <c r="A475">
        <v>473</v>
      </c>
      <c r="B475">
        <v>7522</v>
      </c>
      <c r="C475" t="b">
        <v>1</v>
      </c>
      <c r="D475">
        <v>8042</v>
      </c>
      <c r="E475">
        <v>8123</v>
      </c>
      <c r="F475">
        <v>10</v>
      </c>
      <c r="G475">
        <v>15.333333</v>
      </c>
      <c r="H475">
        <v>0.65217393999999995</v>
      </c>
      <c r="I475">
        <v>0.34782605999999999</v>
      </c>
      <c r="J475">
        <v>0.6052632</v>
      </c>
    </row>
    <row r="476" spans="1:10" x14ac:dyDescent="0.3">
      <c r="A476">
        <v>474</v>
      </c>
      <c r="B476">
        <v>7538</v>
      </c>
      <c r="C476" t="b">
        <v>1</v>
      </c>
      <c r="D476">
        <v>8048</v>
      </c>
      <c r="E476">
        <v>8117</v>
      </c>
      <c r="F476">
        <v>9.6</v>
      </c>
      <c r="G476">
        <v>14.933332999999999</v>
      </c>
      <c r="H476">
        <v>0.64285720000000002</v>
      </c>
      <c r="I476">
        <v>0.35714284000000002</v>
      </c>
      <c r="J476">
        <v>0.60869569999999995</v>
      </c>
    </row>
    <row r="477" spans="1:10" x14ac:dyDescent="0.3">
      <c r="A477">
        <v>475</v>
      </c>
      <c r="B477">
        <v>7554</v>
      </c>
      <c r="C477" t="b">
        <v>1</v>
      </c>
      <c r="D477">
        <v>8048</v>
      </c>
      <c r="E477">
        <v>8123</v>
      </c>
      <c r="F477">
        <v>9.6</v>
      </c>
      <c r="G477">
        <v>14.533334</v>
      </c>
      <c r="H477">
        <v>0.66055050000000004</v>
      </c>
      <c r="I477">
        <v>0.33944952</v>
      </c>
      <c r="J477">
        <v>0.60220989999999996</v>
      </c>
    </row>
    <row r="478" spans="1:10" x14ac:dyDescent="0.3">
      <c r="A478">
        <v>476</v>
      </c>
      <c r="B478">
        <v>7570</v>
      </c>
      <c r="C478" t="b">
        <v>1</v>
      </c>
      <c r="D478">
        <v>8048</v>
      </c>
      <c r="E478">
        <v>8117</v>
      </c>
      <c r="F478">
        <v>9.6</v>
      </c>
      <c r="G478">
        <v>14.133333</v>
      </c>
      <c r="H478">
        <v>0.67924530000000005</v>
      </c>
      <c r="I478">
        <v>0.32075468000000001</v>
      </c>
      <c r="J478">
        <v>0.59550559999999997</v>
      </c>
    </row>
    <row r="479" spans="1:10" x14ac:dyDescent="0.3">
      <c r="A479">
        <v>477</v>
      </c>
      <c r="B479">
        <v>7586</v>
      </c>
      <c r="C479" t="b">
        <v>1</v>
      </c>
      <c r="D479">
        <v>8054</v>
      </c>
      <c r="E479">
        <v>8117</v>
      </c>
      <c r="F479">
        <v>9.1999999999999993</v>
      </c>
      <c r="G479">
        <v>13.333333</v>
      </c>
      <c r="H479">
        <v>0.69</v>
      </c>
      <c r="I479">
        <v>0.31</v>
      </c>
      <c r="J479">
        <v>0.59171600000000002</v>
      </c>
    </row>
    <row r="480" spans="1:10" x14ac:dyDescent="0.3">
      <c r="A480">
        <v>478</v>
      </c>
      <c r="B480">
        <v>7602</v>
      </c>
      <c r="C480" t="b">
        <v>1</v>
      </c>
      <c r="D480">
        <v>8048</v>
      </c>
      <c r="E480">
        <v>8123</v>
      </c>
      <c r="F480">
        <v>8.8000000000000007</v>
      </c>
      <c r="G480">
        <v>12.533334</v>
      </c>
      <c r="H480">
        <v>0.70212764000000005</v>
      </c>
      <c r="I480">
        <v>0.29787236</v>
      </c>
      <c r="J480">
        <v>0.58750000000000002</v>
      </c>
    </row>
    <row r="481" spans="1:10" x14ac:dyDescent="0.3">
      <c r="A481">
        <v>479</v>
      </c>
      <c r="B481">
        <v>7618</v>
      </c>
      <c r="C481" t="b">
        <v>1</v>
      </c>
      <c r="D481">
        <v>8048</v>
      </c>
      <c r="E481">
        <v>8123</v>
      </c>
      <c r="F481">
        <v>8.4</v>
      </c>
      <c r="G481">
        <v>12.133333</v>
      </c>
      <c r="H481">
        <v>0.69230765000000005</v>
      </c>
      <c r="I481">
        <v>0.30769232000000002</v>
      </c>
      <c r="J481">
        <v>0.59090909999999996</v>
      </c>
    </row>
    <row r="482" spans="1:10" x14ac:dyDescent="0.3">
      <c r="A482">
        <v>480</v>
      </c>
      <c r="B482">
        <v>7633</v>
      </c>
      <c r="C482" t="b">
        <v>1</v>
      </c>
      <c r="D482">
        <v>8048</v>
      </c>
      <c r="E482">
        <v>8134</v>
      </c>
      <c r="F482">
        <v>8</v>
      </c>
      <c r="G482">
        <v>11.733333999999999</v>
      </c>
      <c r="H482">
        <v>0.68181820000000004</v>
      </c>
      <c r="I482">
        <v>0.31818183999999999</v>
      </c>
      <c r="J482">
        <v>0.59459459999999997</v>
      </c>
    </row>
    <row r="483" spans="1:10" x14ac:dyDescent="0.3">
      <c r="A483">
        <v>481</v>
      </c>
      <c r="B483">
        <v>7650</v>
      </c>
      <c r="C483" t="b">
        <v>1</v>
      </c>
      <c r="D483">
        <v>8048</v>
      </c>
      <c r="E483">
        <v>8123</v>
      </c>
      <c r="F483">
        <v>7.6</v>
      </c>
      <c r="G483">
        <v>11.333333</v>
      </c>
      <c r="H483">
        <v>0.67058825</v>
      </c>
      <c r="I483">
        <v>0.32941175</v>
      </c>
      <c r="J483">
        <v>0.59859156999999996</v>
      </c>
    </row>
    <row r="484" spans="1:10" x14ac:dyDescent="0.3">
      <c r="A484">
        <v>482</v>
      </c>
      <c r="B484">
        <v>7665</v>
      </c>
      <c r="C484" t="b">
        <v>1</v>
      </c>
      <c r="D484">
        <v>8042</v>
      </c>
      <c r="E484">
        <v>8129</v>
      </c>
      <c r="F484">
        <v>7.2</v>
      </c>
      <c r="G484">
        <v>10.933332999999999</v>
      </c>
      <c r="H484">
        <v>0.65853655</v>
      </c>
      <c r="I484">
        <v>0.34146345</v>
      </c>
      <c r="J484">
        <v>0.60294115999999998</v>
      </c>
    </row>
    <row r="485" spans="1:10" x14ac:dyDescent="0.3">
      <c r="A485">
        <v>483</v>
      </c>
      <c r="B485">
        <v>7681</v>
      </c>
      <c r="C485" t="b">
        <v>1</v>
      </c>
      <c r="D485">
        <v>8054</v>
      </c>
      <c r="E485">
        <v>8123</v>
      </c>
      <c r="F485">
        <v>7.2</v>
      </c>
      <c r="G485">
        <v>10.533334</v>
      </c>
      <c r="H485">
        <v>0.68354429999999999</v>
      </c>
      <c r="I485">
        <v>0.31645574999999998</v>
      </c>
      <c r="J485">
        <v>0.59398496000000001</v>
      </c>
    </row>
    <row r="486" spans="1:10" x14ac:dyDescent="0.3">
      <c r="A486">
        <v>484</v>
      </c>
      <c r="B486">
        <v>7697</v>
      </c>
      <c r="C486" t="b">
        <v>1</v>
      </c>
      <c r="D486">
        <v>8048</v>
      </c>
      <c r="E486">
        <v>8134</v>
      </c>
      <c r="F486">
        <v>7.2</v>
      </c>
      <c r="G486">
        <v>10.199999999999999</v>
      </c>
      <c r="H486">
        <v>0.70588240000000002</v>
      </c>
      <c r="I486">
        <v>0.29411766</v>
      </c>
      <c r="J486">
        <v>0.58620689999999998</v>
      </c>
    </row>
    <row r="487" spans="1:10" x14ac:dyDescent="0.3">
      <c r="A487">
        <v>485</v>
      </c>
      <c r="B487">
        <v>7713</v>
      </c>
      <c r="C487" t="b">
        <v>1</v>
      </c>
      <c r="D487">
        <v>8048</v>
      </c>
      <c r="E487">
        <v>8129</v>
      </c>
      <c r="F487">
        <v>7.2</v>
      </c>
      <c r="G487">
        <v>9.8666669999999996</v>
      </c>
      <c r="H487">
        <v>0.72972970000000004</v>
      </c>
      <c r="I487">
        <v>0.27027030000000002</v>
      </c>
      <c r="J487">
        <v>0.57812505999999997</v>
      </c>
    </row>
    <row r="488" spans="1:10" x14ac:dyDescent="0.3">
      <c r="A488">
        <v>486</v>
      </c>
      <c r="B488">
        <v>7729</v>
      </c>
      <c r="C488" t="b">
        <v>1</v>
      </c>
      <c r="D488">
        <v>8048</v>
      </c>
      <c r="E488">
        <v>8123</v>
      </c>
      <c r="F488">
        <v>7.2</v>
      </c>
      <c r="G488">
        <v>9.533334</v>
      </c>
      <c r="H488">
        <v>0.75524469999999999</v>
      </c>
      <c r="I488">
        <v>0.24475530000000001</v>
      </c>
      <c r="J488">
        <v>0.56972115999999995</v>
      </c>
    </row>
    <row r="489" spans="1:10" x14ac:dyDescent="0.3">
      <c r="A489">
        <v>487</v>
      </c>
      <c r="B489">
        <v>7744</v>
      </c>
      <c r="C489" t="b">
        <v>1</v>
      </c>
      <c r="D489">
        <v>8042</v>
      </c>
      <c r="E489">
        <v>8123</v>
      </c>
      <c r="F489">
        <v>7.2</v>
      </c>
      <c r="G489">
        <v>8.8000000000000007</v>
      </c>
      <c r="H489">
        <v>0.81818175000000004</v>
      </c>
      <c r="I489">
        <v>0.18181822</v>
      </c>
      <c r="J489">
        <v>0.55000000000000004</v>
      </c>
    </row>
    <row r="490" spans="1:10" x14ac:dyDescent="0.3">
      <c r="A490">
        <v>488</v>
      </c>
      <c r="B490">
        <v>7760</v>
      </c>
      <c r="C490" t="b">
        <v>1</v>
      </c>
      <c r="D490">
        <v>8048</v>
      </c>
      <c r="E490">
        <v>8123</v>
      </c>
      <c r="F490">
        <v>7.6</v>
      </c>
      <c r="G490">
        <v>8.4</v>
      </c>
      <c r="H490">
        <v>0.90476190000000001</v>
      </c>
      <c r="I490">
        <v>9.5238069999999994E-2</v>
      </c>
      <c r="J490">
        <v>0.52500000000000002</v>
      </c>
    </row>
    <row r="491" spans="1:10" x14ac:dyDescent="0.3">
      <c r="A491">
        <v>489</v>
      </c>
      <c r="B491">
        <v>7776</v>
      </c>
      <c r="C491" t="b">
        <v>1</v>
      </c>
      <c r="D491">
        <v>8048</v>
      </c>
      <c r="E491">
        <v>8134</v>
      </c>
      <c r="F491">
        <v>8</v>
      </c>
      <c r="G491">
        <v>8.4</v>
      </c>
      <c r="H491">
        <v>0.95238100000000003</v>
      </c>
      <c r="I491">
        <v>4.7619003999999999E-2</v>
      </c>
      <c r="J491">
        <v>0.51219510000000001</v>
      </c>
    </row>
    <row r="492" spans="1:10" x14ac:dyDescent="0.3">
      <c r="A492">
        <v>490</v>
      </c>
      <c r="B492">
        <v>7792</v>
      </c>
      <c r="C492" t="b">
        <v>1</v>
      </c>
      <c r="D492">
        <v>8042</v>
      </c>
      <c r="E492">
        <v>8117</v>
      </c>
      <c r="F492">
        <v>8</v>
      </c>
      <c r="G492">
        <v>8.4</v>
      </c>
      <c r="H492">
        <v>0.95238100000000003</v>
      </c>
      <c r="I492">
        <v>4.7619003999999999E-2</v>
      </c>
      <c r="J492">
        <v>0.51219510000000001</v>
      </c>
    </row>
    <row r="493" spans="1:10" x14ac:dyDescent="0.3">
      <c r="A493">
        <v>491</v>
      </c>
      <c r="B493">
        <v>7808</v>
      </c>
      <c r="C493" t="b">
        <v>1</v>
      </c>
      <c r="D493">
        <v>8048</v>
      </c>
      <c r="E493">
        <v>8129</v>
      </c>
      <c r="F493">
        <v>8</v>
      </c>
      <c r="G493">
        <v>8.4</v>
      </c>
      <c r="H493">
        <v>0.95238100000000003</v>
      </c>
      <c r="I493">
        <v>4.7619003999999999E-2</v>
      </c>
      <c r="J493">
        <v>0.51219510000000001</v>
      </c>
    </row>
    <row r="494" spans="1:10" x14ac:dyDescent="0.3">
      <c r="A494">
        <v>492</v>
      </c>
      <c r="B494">
        <v>7823</v>
      </c>
      <c r="C494" t="b">
        <v>1</v>
      </c>
      <c r="D494">
        <v>8042</v>
      </c>
      <c r="E494">
        <v>8129</v>
      </c>
      <c r="F494">
        <v>8</v>
      </c>
      <c r="G494">
        <v>9.1999999999999993</v>
      </c>
      <c r="H494">
        <v>0.86956524999999996</v>
      </c>
      <c r="I494">
        <v>0.13043477000000001</v>
      </c>
      <c r="J494">
        <v>0.53488369999999996</v>
      </c>
    </row>
    <row r="495" spans="1:10" x14ac:dyDescent="0.3">
      <c r="A495">
        <v>493</v>
      </c>
      <c r="B495">
        <v>7839</v>
      </c>
      <c r="C495" t="b">
        <v>1</v>
      </c>
      <c r="D495">
        <v>8048</v>
      </c>
      <c r="E495">
        <v>8117</v>
      </c>
      <c r="F495">
        <v>8</v>
      </c>
      <c r="G495">
        <v>10</v>
      </c>
      <c r="H495">
        <v>0.8</v>
      </c>
      <c r="I495">
        <v>0.2</v>
      </c>
      <c r="J495">
        <v>0.55555560000000004</v>
      </c>
    </row>
    <row r="496" spans="1:10" x14ac:dyDescent="0.3">
      <c r="A496">
        <v>494</v>
      </c>
      <c r="B496">
        <v>7855</v>
      </c>
      <c r="C496" t="b">
        <v>1</v>
      </c>
      <c r="D496">
        <v>8048</v>
      </c>
      <c r="E496">
        <v>8123</v>
      </c>
      <c r="F496">
        <v>8</v>
      </c>
      <c r="G496">
        <v>10</v>
      </c>
      <c r="H496">
        <v>0.8</v>
      </c>
      <c r="I496">
        <v>0.2</v>
      </c>
      <c r="J496">
        <v>0.55555560000000004</v>
      </c>
    </row>
    <row r="497" spans="1:10" x14ac:dyDescent="0.3">
      <c r="A497">
        <v>495</v>
      </c>
      <c r="B497">
        <v>7872</v>
      </c>
      <c r="C497" t="b">
        <v>1</v>
      </c>
      <c r="D497">
        <v>8048</v>
      </c>
      <c r="E497">
        <v>8117</v>
      </c>
      <c r="F497">
        <v>8</v>
      </c>
      <c r="G497">
        <v>10</v>
      </c>
      <c r="H497">
        <v>0.8</v>
      </c>
      <c r="I497">
        <v>0.2</v>
      </c>
      <c r="J497">
        <v>0.55555560000000004</v>
      </c>
    </row>
    <row r="498" spans="1:10" x14ac:dyDescent="0.3">
      <c r="A498">
        <v>496</v>
      </c>
      <c r="B498">
        <v>7888</v>
      </c>
      <c r="C498" t="b">
        <v>1</v>
      </c>
      <c r="D498">
        <v>8048</v>
      </c>
      <c r="E498">
        <v>8117</v>
      </c>
      <c r="F498">
        <v>8</v>
      </c>
      <c r="G498">
        <v>9.6</v>
      </c>
      <c r="H498">
        <v>0.83333330000000005</v>
      </c>
      <c r="I498">
        <v>0.1666667</v>
      </c>
      <c r="J498">
        <v>0.54545456000000003</v>
      </c>
    </row>
    <row r="499" spans="1:10" x14ac:dyDescent="0.3">
      <c r="A499">
        <v>497</v>
      </c>
      <c r="B499">
        <v>7903</v>
      </c>
      <c r="C499" t="b">
        <v>1</v>
      </c>
      <c r="D499">
        <v>8048</v>
      </c>
      <c r="E499">
        <v>8129</v>
      </c>
      <c r="F499">
        <v>8</v>
      </c>
      <c r="G499">
        <v>9.1999999999999993</v>
      </c>
      <c r="H499">
        <v>0.86956524999999996</v>
      </c>
      <c r="I499">
        <v>0.13043477000000001</v>
      </c>
      <c r="J499">
        <v>0.53488369999999996</v>
      </c>
    </row>
    <row r="500" spans="1:10" x14ac:dyDescent="0.3">
      <c r="A500">
        <v>498</v>
      </c>
      <c r="B500">
        <v>7919</v>
      </c>
      <c r="C500" t="b">
        <v>1</v>
      </c>
      <c r="D500">
        <v>8042</v>
      </c>
      <c r="E500">
        <v>8123</v>
      </c>
      <c r="F500">
        <v>8</v>
      </c>
      <c r="G500">
        <v>9.1999999999999993</v>
      </c>
      <c r="H500">
        <v>0.86956524999999996</v>
      </c>
      <c r="I500">
        <v>0.13043477000000001</v>
      </c>
      <c r="J500">
        <v>0.53488369999999996</v>
      </c>
    </row>
    <row r="501" spans="1:10" x14ac:dyDescent="0.3">
      <c r="A501">
        <v>499</v>
      </c>
      <c r="B501">
        <v>7935</v>
      </c>
      <c r="C501" t="b">
        <v>1</v>
      </c>
      <c r="D501">
        <v>8048</v>
      </c>
      <c r="E501">
        <v>8134</v>
      </c>
      <c r="F501">
        <v>8</v>
      </c>
      <c r="G501">
        <v>8.8000000000000007</v>
      </c>
      <c r="H501">
        <v>0.90909090000000004</v>
      </c>
      <c r="I501">
        <v>9.0909110000000001E-2</v>
      </c>
      <c r="J501">
        <v>0.52380954999999996</v>
      </c>
    </row>
    <row r="502" spans="1:10" x14ac:dyDescent="0.3">
      <c r="A502">
        <v>500</v>
      </c>
      <c r="B502">
        <v>7951</v>
      </c>
      <c r="C502" t="b">
        <v>1</v>
      </c>
      <c r="D502">
        <v>8048</v>
      </c>
      <c r="E502">
        <v>8134</v>
      </c>
      <c r="F502">
        <v>8</v>
      </c>
      <c r="G502">
        <v>8.8000000000000007</v>
      </c>
      <c r="H502">
        <v>0.90909090000000004</v>
      </c>
      <c r="I502">
        <v>9.0909110000000001E-2</v>
      </c>
      <c r="J502">
        <v>0.52380954999999996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162E5-6C21-4DEE-A949-D353122586BA}">
  <dimension ref="A1:J502"/>
  <sheetViews>
    <sheetView workbookViewId="0">
      <selection activeCell="A2" sqref="A2:J502"/>
    </sheetView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10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 t="b">
        <v>1</v>
      </c>
      <c r="D2">
        <v>8048</v>
      </c>
      <c r="E2">
        <v>8087</v>
      </c>
      <c r="F2">
        <v>208</v>
      </c>
      <c r="G2">
        <v>172</v>
      </c>
      <c r="H2">
        <v>1.2093023000000001</v>
      </c>
      <c r="I2">
        <v>-0.20930231999999999</v>
      </c>
      <c r="J2">
        <v>0.45263160000000002</v>
      </c>
    </row>
    <row r="3" spans="1:10" x14ac:dyDescent="0.3">
      <c r="A3">
        <v>1</v>
      </c>
      <c r="B3">
        <v>29</v>
      </c>
      <c r="C3" t="b">
        <v>1</v>
      </c>
      <c r="D3">
        <v>8060</v>
      </c>
      <c r="E3">
        <v>8099</v>
      </c>
      <c r="F3">
        <v>214</v>
      </c>
      <c r="G3">
        <v>178</v>
      </c>
      <c r="H3">
        <v>1.2022470999999999</v>
      </c>
      <c r="I3">
        <v>-0.20224718999999999</v>
      </c>
      <c r="J3">
        <v>0.45408162000000002</v>
      </c>
    </row>
    <row r="4" spans="1:10" x14ac:dyDescent="0.3">
      <c r="A4">
        <v>2</v>
      </c>
      <c r="B4">
        <v>44</v>
      </c>
      <c r="C4" t="b">
        <v>1</v>
      </c>
      <c r="D4">
        <v>8060</v>
      </c>
      <c r="E4">
        <v>8117</v>
      </c>
      <c r="F4">
        <v>216</v>
      </c>
      <c r="G4">
        <v>180</v>
      </c>
      <c r="H4">
        <v>1.2</v>
      </c>
      <c r="I4">
        <v>-0.2</v>
      </c>
      <c r="J4">
        <v>0.45454547000000001</v>
      </c>
    </row>
    <row r="5" spans="1:10" x14ac:dyDescent="0.3">
      <c r="A5">
        <v>3</v>
      </c>
      <c r="B5">
        <v>76</v>
      </c>
      <c r="C5" t="b">
        <v>1</v>
      </c>
      <c r="D5">
        <v>8054</v>
      </c>
      <c r="E5">
        <v>8087</v>
      </c>
      <c r="F5">
        <v>217</v>
      </c>
      <c r="G5">
        <v>181</v>
      </c>
      <c r="H5">
        <v>1.198895</v>
      </c>
      <c r="I5">
        <v>-0.19889502000000001</v>
      </c>
      <c r="J5">
        <v>0.45477387000000002</v>
      </c>
    </row>
    <row r="6" spans="1:10" x14ac:dyDescent="0.3">
      <c r="A6">
        <v>4</v>
      </c>
      <c r="B6">
        <v>91</v>
      </c>
      <c r="C6" t="b">
        <v>1</v>
      </c>
      <c r="D6">
        <v>8060</v>
      </c>
      <c r="E6">
        <v>8099</v>
      </c>
      <c r="F6">
        <v>217.6</v>
      </c>
      <c r="G6">
        <v>181.6</v>
      </c>
      <c r="H6">
        <v>1.1982379000000001</v>
      </c>
      <c r="I6">
        <v>-0.19823788000000001</v>
      </c>
      <c r="J6">
        <v>0.45490983000000002</v>
      </c>
    </row>
    <row r="7" spans="1:10" x14ac:dyDescent="0.3">
      <c r="A7">
        <v>5</v>
      </c>
      <c r="B7">
        <v>107</v>
      </c>
      <c r="C7" t="b">
        <v>1</v>
      </c>
      <c r="D7">
        <v>8042</v>
      </c>
      <c r="E7">
        <v>8105</v>
      </c>
      <c r="F7">
        <v>218</v>
      </c>
      <c r="G7">
        <v>182</v>
      </c>
      <c r="H7">
        <v>1.1978021999999999</v>
      </c>
      <c r="I7">
        <v>-0.19780220000000001</v>
      </c>
      <c r="J7">
        <v>0.45500000000000002</v>
      </c>
    </row>
    <row r="8" spans="1:10" x14ac:dyDescent="0.3">
      <c r="A8">
        <v>6</v>
      </c>
      <c r="B8">
        <v>123</v>
      </c>
      <c r="C8" t="b">
        <v>1</v>
      </c>
      <c r="D8">
        <v>8065</v>
      </c>
      <c r="E8">
        <v>8111</v>
      </c>
      <c r="F8">
        <v>218.28572</v>
      </c>
      <c r="G8">
        <v>183.14285000000001</v>
      </c>
      <c r="H8">
        <v>1.1918877000000001</v>
      </c>
      <c r="I8">
        <v>-0.19188774</v>
      </c>
      <c r="J8">
        <v>0.45622772</v>
      </c>
    </row>
    <row r="9" spans="1:10" x14ac:dyDescent="0.3">
      <c r="A9">
        <v>7</v>
      </c>
      <c r="B9">
        <v>139</v>
      </c>
      <c r="C9" t="b">
        <v>1</v>
      </c>
      <c r="D9">
        <v>8071</v>
      </c>
      <c r="E9">
        <v>8123</v>
      </c>
      <c r="F9">
        <v>218.5</v>
      </c>
      <c r="G9">
        <v>184</v>
      </c>
      <c r="H9">
        <v>1.1875</v>
      </c>
      <c r="I9">
        <v>-0.1875</v>
      </c>
      <c r="J9">
        <v>0.45714285999999998</v>
      </c>
    </row>
    <row r="10" spans="1:10" x14ac:dyDescent="0.3">
      <c r="A10">
        <v>8</v>
      </c>
      <c r="B10">
        <v>154</v>
      </c>
      <c r="C10" t="b">
        <v>1</v>
      </c>
      <c r="D10">
        <v>8071</v>
      </c>
      <c r="E10">
        <v>8093</v>
      </c>
      <c r="F10">
        <v>219.22223</v>
      </c>
      <c r="G10">
        <v>184.66667000000001</v>
      </c>
      <c r="H10">
        <v>1.1871239</v>
      </c>
      <c r="I10">
        <v>-0.18712395000000001</v>
      </c>
      <c r="J10">
        <v>0.45722144999999997</v>
      </c>
    </row>
    <row r="11" spans="1:10" x14ac:dyDescent="0.3">
      <c r="A11">
        <v>9</v>
      </c>
      <c r="B11">
        <v>170</v>
      </c>
      <c r="C11" t="b">
        <v>1</v>
      </c>
      <c r="D11">
        <v>8065</v>
      </c>
      <c r="E11">
        <v>8117</v>
      </c>
      <c r="F11">
        <v>219.8</v>
      </c>
      <c r="G11">
        <v>185.8</v>
      </c>
      <c r="H11">
        <v>1.1829924999999999</v>
      </c>
      <c r="I11">
        <v>-0.18299246</v>
      </c>
      <c r="J11">
        <v>0.45808680000000002</v>
      </c>
    </row>
    <row r="12" spans="1:10" x14ac:dyDescent="0.3">
      <c r="A12">
        <v>10</v>
      </c>
      <c r="B12">
        <v>186</v>
      </c>
      <c r="C12" t="b">
        <v>1</v>
      </c>
      <c r="D12">
        <v>8048</v>
      </c>
      <c r="E12">
        <v>8129</v>
      </c>
      <c r="F12">
        <v>220.27271999999999</v>
      </c>
      <c r="G12">
        <v>187.27271999999999</v>
      </c>
      <c r="H12">
        <v>1.1762136000000001</v>
      </c>
      <c r="I12">
        <v>-0.17621359</v>
      </c>
      <c r="J12">
        <v>0.45951372000000001</v>
      </c>
    </row>
    <row r="13" spans="1:10" x14ac:dyDescent="0.3">
      <c r="A13">
        <v>11</v>
      </c>
      <c r="B13">
        <v>201</v>
      </c>
      <c r="C13" t="b">
        <v>1</v>
      </c>
      <c r="D13">
        <v>8065</v>
      </c>
      <c r="E13">
        <v>8105</v>
      </c>
      <c r="F13">
        <v>220.66667000000001</v>
      </c>
      <c r="G13">
        <v>188.5</v>
      </c>
      <c r="H13">
        <v>1.1706455</v>
      </c>
      <c r="I13">
        <v>-0.17064547999999999</v>
      </c>
      <c r="J13">
        <v>0.46069243999999998</v>
      </c>
    </row>
    <row r="14" spans="1:10" x14ac:dyDescent="0.3">
      <c r="A14">
        <v>12</v>
      </c>
      <c r="B14">
        <v>217</v>
      </c>
      <c r="C14" t="b">
        <v>1</v>
      </c>
      <c r="D14">
        <v>8065</v>
      </c>
      <c r="E14">
        <v>8111</v>
      </c>
      <c r="F14">
        <v>221</v>
      </c>
      <c r="G14">
        <v>189.07692</v>
      </c>
      <c r="H14">
        <v>1.1688365000000001</v>
      </c>
      <c r="I14">
        <v>-0.16883646999999999</v>
      </c>
      <c r="J14">
        <v>0.46107673999999998</v>
      </c>
    </row>
    <row r="15" spans="1:10" x14ac:dyDescent="0.3">
      <c r="A15">
        <v>13</v>
      </c>
      <c r="B15">
        <v>233</v>
      </c>
      <c r="C15" t="b">
        <v>1</v>
      </c>
      <c r="D15">
        <v>8060</v>
      </c>
      <c r="E15">
        <v>8105</v>
      </c>
      <c r="F15">
        <v>221.28572</v>
      </c>
      <c r="G15">
        <v>189.57142999999999</v>
      </c>
      <c r="H15">
        <v>1.1672947</v>
      </c>
      <c r="I15">
        <v>-0.16729469999999999</v>
      </c>
      <c r="J15">
        <v>0.4614047</v>
      </c>
    </row>
    <row r="16" spans="1:10" x14ac:dyDescent="0.3">
      <c r="A16">
        <v>14</v>
      </c>
      <c r="B16">
        <v>249</v>
      </c>
      <c r="C16" t="b">
        <v>1</v>
      </c>
      <c r="D16">
        <v>8054</v>
      </c>
      <c r="E16">
        <v>8105</v>
      </c>
      <c r="F16">
        <v>221.2</v>
      </c>
      <c r="G16">
        <v>189.6</v>
      </c>
      <c r="H16">
        <v>1.1666666000000001</v>
      </c>
      <c r="I16">
        <v>-0.16666660999999999</v>
      </c>
      <c r="J16">
        <v>0.46153850000000002</v>
      </c>
    </row>
    <row r="17" spans="1:10" x14ac:dyDescent="0.3">
      <c r="A17">
        <v>15</v>
      </c>
      <c r="B17">
        <v>265</v>
      </c>
      <c r="C17" t="b">
        <v>1</v>
      </c>
      <c r="D17">
        <v>8060</v>
      </c>
      <c r="E17">
        <v>8117</v>
      </c>
      <c r="F17">
        <v>222</v>
      </c>
      <c r="G17">
        <v>190.8</v>
      </c>
      <c r="H17">
        <v>1.1635219999999999</v>
      </c>
      <c r="I17">
        <v>-0.16352199000000001</v>
      </c>
      <c r="J17">
        <v>0.46220929999999999</v>
      </c>
    </row>
    <row r="18" spans="1:10" x14ac:dyDescent="0.3">
      <c r="A18">
        <v>16</v>
      </c>
      <c r="B18">
        <v>281</v>
      </c>
      <c r="C18" t="b">
        <v>1</v>
      </c>
      <c r="D18">
        <v>8042</v>
      </c>
      <c r="E18">
        <v>8117</v>
      </c>
      <c r="F18">
        <v>222</v>
      </c>
      <c r="G18">
        <v>191.6</v>
      </c>
      <c r="H18">
        <v>1.1586639000000001</v>
      </c>
      <c r="I18">
        <v>-0.15866384</v>
      </c>
      <c r="J18">
        <v>0.46324953000000002</v>
      </c>
    </row>
    <row r="19" spans="1:10" x14ac:dyDescent="0.3">
      <c r="A19">
        <v>17</v>
      </c>
      <c r="B19">
        <v>312</v>
      </c>
      <c r="C19" t="b">
        <v>1</v>
      </c>
      <c r="D19">
        <v>8083</v>
      </c>
      <c r="E19">
        <v>8099</v>
      </c>
      <c r="F19">
        <v>222</v>
      </c>
      <c r="G19">
        <v>192</v>
      </c>
      <c r="H19">
        <v>1.15625</v>
      </c>
      <c r="I19">
        <v>-0.15625</v>
      </c>
      <c r="J19">
        <v>0.46376812000000001</v>
      </c>
    </row>
    <row r="20" spans="1:10" x14ac:dyDescent="0.3">
      <c r="A20">
        <v>18</v>
      </c>
      <c r="B20">
        <v>327</v>
      </c>
      <c r="C20" t="b">
        <v>1</v>
      </c>
      <c r="D20">
        <v>8042</v>
      </c>
      <c r="E20">
        <v>8111</v>
      </c>
      <c r="F20">
        <v>221.6</v>
      </c>
      <c r="G20">
        <v>192.8</v>
      </c>
      <c r="H20">
        <v>1.1493776</v>
      </c>
      <c r="I20">
        <v>-0.14937760999999999</v>
      </c>
      <c r="J20">
        <v>0.46525094</v>
      </c>
    </row>
    <row r="21" spans="1:10" x14ac:dyDescent="0.3">
      <c r="A21">
        <v>19</v>
      </c>
      <c r="B21">
        <v>343</v>
      </c>
      <c r="C21" t="b">
        <v>1</v>
      </c>
      <c r="D21">
        <v>8042</v>
      </c>
      <c r="E21">
        <v>8117</v>
      </c>
      <c r="F21">
        <v>220.4</v>
      </c>
      <c r="G21">
        <v>194</v>
      </c>
      <c r="H21">
        <v>1.1360824</v>
      </c>
      <c r="I21">
        <v>-0.13608244</v>
      </c>
      <c r="J21">
        <v>0.46814670000000003</v>
      </c>
    </row>
    <row r="22" spans="1:10" x14ac:dyDescent="0.3">
      <c r="A22">
        <v>20</v>
      </c>
      <c r="B22">
        <v>375</v>
      </c>
      <c r="C22" t="b">
        <v>1</v>
      </c>
      <c r="D22">
        <v>8060</v>
      </c>
      <c r="E22">
        <v>8075</v>
      </c>
      <c r="F22">
        <v>219.2</v>
      </c>
      <c r="G22">
        <v>194.8</v>
      </c>
      <c r="H22">
        <v>1.1252567</v>
      </c>
      <c r="I22">
        <v>-0.12525664</v>
      </c>
      <c r="J22">
        <v>0.47053139999999999</v>
      </c>
    </row>
    <row r="23" spans="1:10" x14ac:dyDescent="0.3">
      <c r="A23">
        <v>21</v>
      </c>
      <c r="B23">
        <v>407</v>
      </c>
      <c r="C23" t="b">
        <v>1</v>
      </c>
      <c r="D23">
        <v>8060</v>
      </c>
      <c r="E23">
        <v>8105</v>
      </c>
      <c r="F23">
        <v>219.2</v>
      </c>
      <c r="G23">
        <v>194.8</v>
      </c>
      <c r="H23">
        <v>1.1252567</v>
      </c>
      <c r="I23">
        <v>-0.12525664</v>
      </c>
      <c r="J23">
        <v>0.47053139999999999</v>
      </c>
    </row>
    <row r="24" spans="1:10" x14ac:dyDescent="0.3">
      <c r="A24">
        <v>22</v>
      </c>
      <c r="B24">
        <v>423</v>
      </c>
      <c r="C24" t="b">
        <v>1</v>
      </c>
      <c r="D24">
        <v>8060</v>
      </c>
      <c r="E24">
        <v>8093</v>
      </c>
      <c r="F24">
        <v>219.2</v>
      </c>
      <c r="G24">
        <v>194.8</v>
      </c>
      <c r="H24">
        <v>1.1252567</v>
      </c>
      <c r="I24">
        <v>-0.12525664</v>
      </c>
      <c r="J24">
        <v>0.47053139999999999</v>
      </c>
    </row>
    <row r="25" spans="1:10" x14ac:dyDescent="0.3">
      <c r="A25">
        <v>23</v>
      </c>
      <c r="B25">
        <v>455</v>
      </c>
      <c r="C25" t="b">
        <v>1</v>
      </c>
      <c r="D25">
        <v>8060</v>
      </c>
      <c r="E25">
        <v>8123</v>
      </c>
      <c r="F25">
        <v>218.86667</v>
      </c>
      <c r="G25">
        <v>194.8</v>
      </c>
      <c r="H25">
        <v>1.1235455000000001</v>
      </c>
      <c r="I25">
        <v>-0.12354551</v>
      </c>
      <c r="J25">
        <v>0.47091054999999998</v>
      </c>
    </row>
    <row r="26" spans="1:10" x14ac:dyDescent="0.3">
      <c r="A26">
        <v>24</v>
      </c>
      <c r="B26">
        <v>471</v>
      </c>
      <c r="C26" t="b">
        <v>1</v>
      </c>
      <c r="D26">
        <v>8054</v>
      </c>
      <c r="E26">
        <v>8099</v>
      </c>
      <c r="F26">
        <v>218.53334000000001</v>
      </c>
      <c r="G26">
        <v>194</v>
      </c>
      <c r="H26">
        <v>1.1264605999999999</v>
      </c>
      <c r="I26">
        <v>-0.12646051999999999</v>
      </c>
      <c r="J26">
        <v>0.47026502999999997</v>
      </c>
    </row>
    <row r="27" spans="1:10" x14ac:dyDescent="0.3">
      <c r="A27">
        <v>25</v>
      </c>
      <c r="B27">
        <v>487</v>
      </c>
      <c r="C27" t="b">
        <v>1</v>
      </c>
      <c r="D27">
        <v>8048</v>
      </c>
      <c r="E27">
        <v>8075</v>
      </c>
      <c r="F27">
        <v>218.2</v>
      </c>
      <c r="G27">
        <v>192.8</v>
      </c>
      <c r="H27">
        <v>1.1317427</v>
      </c>
      <c r="I27">
        <v>-0.13174269999999999</v>
      </c>
      <c r="J27">
        <v>0.46909975999999998</v>
      </c>
    </row>
    <row r="28" spans="1:10" x14ac:dyDescent="0.3">
      <c r="A28">
        <v>26</v>
      </c>
      <c r="B28">
        <v>503</v>
      </c>
      <c r="C28" t="b">
        <v>1</v>
      </c>
      <c r="D28">
        <v>8071</v>
      </c>
      <c r="E28">
        <v>8105</v>
      </c>
      <c r="F28">
        <v>217.86667</v>
      </c>
      <c r="G28">
        <v>191.6</v>
      </c>
      <c r="H28">
        <v>1.1370912</v>
      </c>
      <c r="I28">
        <v>-0.13709113000000001</v>
      </c>
      <c r="J28">
        <v>0.46792576000000002</v>
      </c>
    </row>
    <row r="29" spans="1:10" x14ac:dyDescent="0.3">
      <c r="A29">
        <v>27</v>
      </c>
      <c r="B29">
        <v>519</v>
      </c>
      <c r="C29" t="b">
        <v>1</v>
      </c>
      <c r="D29">
        <v>8065</v>
      </c>
      <c r="E29">
        <v>8105</v>
      </c>
      <c r="F29">
        <v>217.53334000000001</v>
      </c>
      <c r="G29">
        <v>191.2</v>
      </c>
      <c r="H29">
        <v>1.1377267</v>
      </c>
      <c r="I29">
        <v>-0.13772670000000001</v>
      </c>
      <c r="J29">
        <v>0.46778663999999998</v>
      </c>
    </row>
    <row r="30" spans="1:10" x14ac:dyDescent="0.3">
      <c r="A30">
        <v>28</v>
      </c>
      <c r="B30">
        <v>535</v>
      </c>
      <c r="C30" t="b">
        <v>1</v>
      </c>
      <c r="D30">
        <v>8060</v>
      </c>
      <c r="E30">
        <v>8087</v>
      </c>
      <c r="F30">
        <v>217.2</v>
      </c>
      <c r="G30">
        <v>190.4</v>
      </c>
      <c r="H30">
        <v>1.1407563999999999</v>
      </c>
      <c r="I30">
        <v>-0.14075631999999999</v>
      </c>
      <c r="J30">
        <v>0.46712463999999998</v>
      </c>
    </row>
    <row r="31" spans="1:10" x14ac:dyDescent="0.3">
      <c r="A31">
        <v>29</v>
      </c>
      <c r="B31">
        <v>565</v>
      </c>
      <c r="C31" t="b">
        <v>1</v>
      </c>
      <c r="D31">
        <v>8060</v>
      </c>
      <c r="E31">
        <v>8105</v>
      </c>
      <c r="F31">
        <v>217.2</v>
      </c>
      <c r="G31">
        <v>190.4</v>
      </c>
      <c r="H31">
        <v>1.1407563999999999</v>
      </c>
      <c r="I31">
        <v>-0.14075631999999999</v>
      </c>
      <c r="J31">
        <v>0.46712463999999998</v>
      </c>
    </row>
    <row r="32" spans="1:10" x14ac:dyDescent="0.3">
      <c r="A32">
        <v>30</v>
      </c>
      <c r="B32">
        <v>596</v>
      </c>
      <c r="C32" t="b">
        <v>1</v>
      </c>
      <c r="D32">
        <v>8060</v>
      </c>
      <c r="E32">
        <v>8111</v>
      </c>
      <c r="F32">
        <v>217.2</v>
      </c>
      <c r="G32">
        <v>190.4</v>
      </c>
      <c r="H32">
        <v>1.1407563999999999</v>
      </c>
      <c r="I32">
        <v>-0.14075631999999999</v>
      </c>
      <c r="J32">
        <v>0.46712463999999998</v>
      </c>
    </row>
    <row r="33" spans="1:10" x14ac:dyDescent="0.3">
      <c r="A33">
        <v>31</v>
      </c>
      <c r="B33">
        <v>627</v>
      </c>
      <c r="C33" t="b">
        <v>1</v>
      </c>
      <c r="D33">
        <v>8054</v>
      </c>
      <c r="E33">
        <v>8111</v>
      </c>
      <c r="F33">
        <v>217.2</v>
      </c>
      <c r="G33">
        <v>190</v>
      </c>
      <c r="H33">
        <v>1.1431578</v>
      </c>
      <c r="I33">
        <v>-0.14315787999999999</v>
      </c>
      <c r="J33">
        <v>0.46660116000000001</v>
      </c>
    </row>
    <row r="34" spans="1:10" x14ac:dyDescent="0.3">
      <c r="A34">
        <v>32</v>
      </c>
      <c r="B34">
        <v>659</v>
      </c>
      <c r="C34" t="b">
        <v>1</v>
      </c>
      <c r="D34">
        <v>8048</v>
      </c>
      <c r="E34">
        <v>8099</v>
      </c>
      <c r="F34">
        <v>217.2</v>
      </c>
      <c r="G34">
        <v>190</v>
      </c>
      <c r="H34">
        <v>1.1431578</v>
      </c>
      <c r="I34">
        <v>-0.14315787999999999</v>
      </c>
      <c r="J34">
        <v>0.46660116000000001</v>
      </c>
    </row>
    <row r="35" spans="1:10" x14ac:dyDescent="0.3">
      <c r="A35">
        <v>33</v>
      </c>
      <c r="B35">
        <v>691</v>
      </c>
      <c r="C35" t="b">
        <v>1</v>
      </c>
      <c r="D35">
        <v>8042</v>
      </c>
      <c r="E35">
        <v>8111</v>
      </c>
      <c r="F35">
        <v>217.2</v>
      </c>
      <c r="G35">
        <v>190</v>
      </c>
      <c r="H35">
        <v>1.1431578</v>
      </c>
      <c r="I35">
        <v>-0.14315787999999999</v>
      </c>
      <c r="J35">
        <v>0.46660116000000001</v>
      </c>
    </row>
    <row r="36" spans="1:10" x14ac:dyDescent="0.3">
      <c r="A36">
        <v>34</v>
      </c>
      <c r="B36">
        <v>722</v>
      </c>
      <c r="C36" t="b">
        <v>1</v>
      </c>
      <c r="D36">
        <v>8054</v>
      </c>
      <c r="E36">
        <v>8099</v>
      </c>
      <c r="F36">
        <v>218</v>
      </c>
      <c r="G36">
        <v>189.6</v>
      </c>
      <c r="H36">
        <v>1.1497889999999999</v>
      </c>
      <c r="I36">
        <v>-0.14978899000000001</v>
      </c>
      <c r="J36">
        <v>0.46516192000000001</v>
      </c>
    </row>
    <row r="37" spans="1:10" x14ac:dyDescent="0.3">
      <c r="A37">
        <v>35</v>
      </c>
      <c r="B37">
        <v>738</v>
      </c>
      <c r="C37" t="b">
        <v>1</v>
      </c>
      <c r="D37">
        <v>8060</v>
      </c>
      <c r="E37">
        <v>8093</v>
      </c>
      <c r="F37">
        <v>218.8</v>
      </c>
      <c r="G37">
        <v>188.8</v>
      </c>
      <c r="H37">
        <v>1.1588984</v>
      </c>
      <c r="I37">
        <v>-0.15889830999999999</v>
      </c>
      <c r="J37">
        <v>0.46319923000000002</v>
      </c>
    </row>
    <row r="38" spans="1:10" x14ac:dyDescent="0.3">
      <c r="A38">
        <v>36</v>
      </c>
      <c r="B38">
        <v>753</v>
      </c>
      <c r="C38" t="b">
        <v>1</v>
      </c>
      <c r="D38">
        <v>8048</v>
      </c>
      <c r="E38">
        <v>8099</v>
      </c>
      <c r="F38">
        <v>218</v>
      </c>
      <c r="G38">
        <v>188.4</v>
      </c>
      <c r="H38">
        <v>1.1571126</v>
      </c>
      <c r="I38">
        <v>-0.15711257000000001</v>
      </c>
      <c r="J38">
        <v>0.46358265999999998</v>
      </c>
    </row>
    <row r="39" spans="1:10" x14ac:dyDescent="0.3">
      <c r="A39">
        <v>37</v>
      </c>
      <c r="B39">
        <v>769</v>
      </c>
      <c r="C39" t="b">
        <v>1</v>
      </c>
      <c r="D39">
        <v>8037</v>
      </c>
      <c r="E39">
        <v>8129</v>
      </c>
      <c r="F39">
        <v>217.2</v>
      </c>
      <c r="G39">
        <v>188</v>
      </c>
      <c r="H39">
        <v>1.1553191</v>
      </c>
      <c r="I39">
        <v>-0.15531913999999999</v>
      </c>
      <c r="J39">
        <v>0.4639684</v>
      </c>
    </row>
    <row r="40" spans="1:10" x14ac:dyDescent="0.3">
      <c r="A40">
        <v>38</v>
      </c>
      <c r="B40">
        <v>801</v>
      </c>
      <c r="C40" t="b">
        <v>1</v>
      </c>
      <c r="D40">
        <v>8065</v>
      </c>
      <c r="E40">
        <v>8099</v>
      </c>
      <c r="F40">
        <v>216.8</v>
      </c>
      <c r="G40">
        <v>187.6</v>
      </c>
      <c r="H40">
        <v>1.1556503</v>
      </c>
      <c r="I40">
        <v>-0.15565029999999999</v>
      </c>
      <c r="J40">
        <v>0.46389710000000001</v>
      </c>
    </row>
    <row r="41" spans="1:10" x14ac:dyDescent="0.3">
      <c r="A41">
        <v>39</v>
      </c>
      <c r="B41">
        <v>817</v>
      </c>
      <c r="C41" t="b">
        <v>1</v>
      </c>
      <c r="D41">
        <v>8071</v>
      </c>
      <c r="E41">
        <v>8093</v>
      </c>
      <c r="F41">
        <v>216.8</v>
      </c>
      <c r="G41">
        <v>187.6</v>
      </c>
      <c r="H41">
        <v>1.1556503</v>
      </c>
      <c r="I41">
        <v>-0.15565029999999999</v>
      </c>
      <c r="J41">
        <v>0.46389710000000001</v>
      </c>
    </row>
    <row r="42" spans="1:10" x14ac:dyDescent="0.3">
      <c r="A42">
        <v>40</v>
      </c>
      <c r="B42">
        <v>832</v>
      </c>
      <c r="C42" t="b">
        <v>1</v>
      </c>
      <c r="D42">
        <v>8037</v>
      </c>
      <c r="E42">
        <v>8129</v>
      </c>
      <c r="F42">
        <v>216</v>
      </c>
      <c r="G42">
        <v>187.6</v>
      </c>
      <c r="H42">
        <v>1.1513859</v>
      </c>
      <c r="I42">
        <v>-0.15138589</v>
      </c>
      <c r="J42">
        <v>0.46481665999999999</v>
      </c>
    </row>
    <row r="43" spans="1:10" x14ac:dyDescent="0.3">
      <c r="A43">
        <v>41</v>
      </c>
      <c r="B43">
        <v>849</v>
      </c>
      <c r="C43" t="b">
        <v>1</v>
      </c>
      <c r="D43">
        <v>8054</v>
      </c>
      <c r="E43">
        <v>8105</v>
      </c>
      <c r="F43">
        <v>215.6</v>
      </c>
      <c r="G43">
        <v>188</v>
      </c>
      <c r="H43">
        <v>1.1468084999999999</v>
      </c>
      <c r="I43">
        <v>-0.14680855000000001</v>
      </c>
      <c r="J43">
        <v>0.46580774000000003</v>
      </c>
    </row>
    <row r="44" spans="1:10" x14ac:dyDescent="0.3">
      <c r="A44">
        <v>42</v>
      </c>
      <c r="B44">
        <v>864</v>
      </c>
      <c r="C44" t="b">
        <v>1</v>
      </c>
      <c r="D44">
        <v>8071</v>
      </c>
      <c r="E44">
        <v>8099</v>
      </c>
      <c r="F44">
        <v>215.93333000000001</v>
      </c>
      <c r="G44">
        <v>187.6</v>
      </c>
      <c r="H44">
        <v>1.1510305000000001</v>
      </c>
      <c r="I44">
        <v>-0.15103053</v>
      </c>
      <c r="J44">
        <v>0.46489345999999998</v>
      </c>
    </row>
    <row r="45" spans="1:10" x14ac:dyDescent="0.3">
      <c r="A45">
        <v>43</v>
      </c>
      <c r="B45">
        <v>896</v>
      </c>
      <c r="C45" t="b">
        <v>1</v>
      </c>
      <c r="D45">
        <v>8071</v>
      </c>
      <c r="E45">
        <v>8117</v>
      </c>
      <c r="F45">
        <v>216.66667000000001</v>
      </c>
      <c r="G45">
        <v>188</v>
      </c>
      <c r="H45">
        <v>1.1524823</v>
      </c>
      <c r="I45">
        <v>-0.15248229999999999</v>
      </c>
      <c r="J45">
        <v>0.46457988</v>
      </c>
    </row>
    <row r="46" spans="1:10" x14ac:dyDescent="0.3">
      <c r="A46">
        <v>44</v>
      </c>
      <c r="B46">
        <v>912</v>
      </c>
      <c r="C46" t="b">
        <v>1</v>
      </c>
      <c r="D46">
        <v>8065</v>
      </c>
      <c r="E46">
        <v>8105</v>
      </c>
      <c r="F46">
        <v>217</v>
      </c>
      <c r="G46">
        <v>188</v>
      </c>
      <c r="H46">
        <v>1.1542553</v>
      </c>
      <c r="I46">
        <v>-0.15425532</v>
      </c>
      <c r="J46">
        <v>0.46419751999999997</v>
      </c>
    </row>
    <row r="47" spans="1:10" x14ac:dyDescent="0.3">
      <c r="A47">
        <v>45</v>
      </c>
      <c r="B47">
        <v>942</v>
      </c>
      <c r="C47" t="b">
        <v>1</v>
      </c>
      <c r="D47">
        <v>8065</v>
      </c>
      <c r="E47">
        <v>8111</v>
      </c>
      <c r="F47">
        <v>217.33332999999999</v>
      </c>
      <c r="G47">
        <v>188</v>
      </c>
      <c r="H47">
        <v>1.1560284000000001</v>
      </c>
      <c r="I47">
        <v>-0.15602835000000001</v>
      </c>
      <c r="J47">
        <v>0.4638158</v>
      </c>
    </row>
    <row r="48" spans="1:10" x14ac:dyDescent="0.3">
      <c r="A48">
        <v>46</v>
      </c>
      <c r="B48">
        <v>974</v>
      </c>
      <c r="C48" t="b">
        <v>1</v>
      </c>
      <c r="D48">
        <v>8054</v>
      </c>
      <c r="E48">
        <v>8111</v>
      </c>
      <c r="F48">
        <v>217.66667000000001</v>
      </c>
      <c r="G48">
        <v>188.4</v>
      </c>
      <c r="H48">
        <v>1.1553433</v>
      </c>
      <c r="I48">
        <v>-0.15534331000000001</v>
      </c>
      <c r="J48">
        <v>0.46396324</v>
      </c>
    </row>
    <row r="49" spans="1:10" x14ac:dyDescent="0.3">
      <c r="A49">
        <v>47</v>
      </c>
      <c r="B49">
        <v>990</v>
      </c>
      <c r="C49" t="b">
        <v>1</v>
      </c>
      <c r="D49">
        <v>8037</v>
      </c>
      <c r="E49">
        <v>8099</v>
      </c>
      <c r="F49">
        <v>218</v>
      </c>
      <c r="G49">
        <v>188.8</v>
      </c>
      <c r="H49">
        <v>1.1546609000000001</v>
      </c>
      <c r="I49">
        <v>-0.15466099999999999</v>
      </c>
      <c r="J49">
        <v>0.46411014</v>
      </c>
    </row>
    <row r="50" spans="1:10" x14ac:dyDescent="0.3">
      <c r="A50">
        <v>48</v>
      </c>
      <c r="B50">
        <v>1005</v>
      </c>
      <c r="C50" t="b">
        <v>1</v>
      </c>
      <c r="D50">
        <v>8048</v>
      </c>
      <c r="E50">
        <v>8117</v>
      </c>
      <c r="F50">
        <v>218</v>
      </c>
      <c r="G50">
        <v>188.8</v>
      </c>
      <c r="H50">
        <v>1.1546609000000001</v>
      </c>
      <c r="I50">
        <v>-0.15466099999999999</v>
      </c>
      <c r="J50">
        <v>0.46411014</v>
      </c>
    </row>
    <row r="51" spans="1:10" x14ac:dyDescent="0.3">
      <c r="A51">
        <v>49</v>
      </c>
      <c r="B51">
        <v>1021</v>
      </c>
      <c r="C51" t="b">
        <v>1</v>
      </c>
      <c r="D51">
        <v>8071</v>
      </c>
      <c r="E51">
        <v>8117</v>
      </c>
      <c r="F51">
        <v>218</v>
      </c>
      <c r="G51">
        <v>188.8</v>
      </c>
      <c r="H51">
        <v>1.1546609000000001</v>
      </c>
      <c r="I51">
        <v>-0.15466099999999999</v>
      </c>
      <c r="J51">
        <v>0.46411014</v>
      </c>
    </row>
    <row r="52" spans="1:10" x14ac:dyDescent="0.3">
      <c r="A52">
        <v>50</v>
      </c>
      <c r="B52">
        <v>1037</v>
      </c>
      <c r="C52" t="b">
        <v>1</v>
      </c>
      <c r="D52">
        <v>8065</v>
      </c>
      <c r="E52">
        <v>8105</v>
      </c>
      <c r="F52">
        <v>218</v>
      </c>
      <c r="G52">
        <v>189.6</v>
      </c>
      <c r="H52">
        <v>1.1497889999999999</v>
      </c>
      <c r="I52">
        <v>-0.14978899000000001</v>
      </c>
      <c r="J52">
        <v>0.46516192000000001</v>
      </c>
    </row>
    <row r="53" spans="1:10" x14ac:dyDescent="0.3">
      <c r="A53">
        <v>51</v>
      </c>
      <c r="B53">
        <v>1068</v>
      </c>
      <c r="C53" t="b">
        <v>1</v>
      </c>
      <c r="D53">
        <v>8042</v>
      </c>
      <c r="E53">
        <v>8111</v>
      </c>
      <c r="F53">
        <v>218</v>
      </c>
      <c r="G53">
        <v>190.4</v>
      </c>
      <c r="H53">
        <v>1.1449579999999999</v>
      </c>
      <c r="I53">
        <v>-0.14495801999999999</v>
      </c>
      <c r="J53">
        <v>0.4662096</v>
      </c>
    </row>
    <row r="54" spans="1:10" x14ac:dyDescent="0.3">
      <c r="A54">
        <v>52</v>
      </c>
      <c r="B54">
        <v>1084</v>
      </c>
      <c r="C54" t="b">
        <v>1</v>
      </c>
      <c r="D54">
        <v>8030</v>
      </c>
      <c r="E54">
        <v>8111</v>
      </c>
      <c r="F54">
        <v>218</v>
      </c>
      <c r="G54">
        <v>191.2</v>
      </c>
      <c r="H54">
        <v>1.1401673999999999</v>
      </c>
      <c r="I54">
        <v>-0.14016739</v>
      </c>
      <c r="J54">
        <v>0.46725315000000001</v>
      </c>
    </row>
    <row r="55" spans="1:10" x14ac:dyDescent="0.3">
      <c r="A55">
        <v>53</v>
      </c>
      <c r="B55">
        <v>1100</v>
      </c>
      <c r="C55" t="b">
        <v>1</v>
      </c>
      <c r="D55">
        <v>8077</v>
      </c>
      <c r="E55">
        <v>8140</v>
      </c>
      <c r="F55">
        <v>218.73334</v>
      </c>
      <c r="G55">
        <v>192</v>
      </c>
      <c r="H55">
        <v>1.1392361</v>
      </c>
      <c r="I55">
        <v>-0.13923614000000001</v>
      </c>
      <c r="J55">
        <v>0.46745658000000001</v>
      </c>
    </row>
    <row r="56" spans="1:10" x14ac:dyDescent="0.3">
      <c r="A56">
        <v>54</v>
      </c>
      <c r="B56">
        <v>1116</v>
      </c>
      <c r="C56" t="b">
        <v>1</v>
      </c>
      <c r="D56">
        <v>8054</v>
      </c>
      <c r="E56">
        <v>8134</v>
      </c>
      <c r="F56">
        <v>218.33332999999999</v>
      </c>
      <c r="G56">
        <v>192.8</v>
      </c>
      <c r="H56">
        <v>1.1324342000000001</v>
      </c>
      <c r="I56">
        <v>-0.13243426</v>
      </c>
      <c r="J56">
        <v>0.46894764999999999</v>
      </c>
    </row>
    <row r="57" spans="1:10" x14ac:dyDescent="0.3">
      <c r="A57">
        <v>55</v>
      </c>
      <c r="B57">
        <v>1132</v>
      </c>
      <c r="C57" t="b">
        <v>1</v>
      </c>
      <c r="D57">
        <v>8060</v>
      </c>
      <c r="E57">
        <v>8117</v>
      </c>
      <c r="F57">
        <v>218.73334</v>
      </c>
      <c r="G57">
        <v>194</v>
      </c>
      <c r="H57">
        <v>1.1274915000000001</v>
      </c>
      <c r="I57">
        <v>-0.12749142999999999</v>
      </c>
      <c r="J57">
        <v>0.47003713000000003</v>
      </c>
    </row>
    <row r="58" spans="1:10" x14ac:dyDescent="0.3">
      <c r="A58">
        <v>56</v>
      </c>
      <c r="B58">
        <v>1148</v>
      </c>
      <c r="C58" t="b">
        <v>1</v>
      </c>
      <c r="D58">
        <v>8060</v>
      </c>
      <c r="E58">
        <v>8140</v>
      </c>
      <c r="F58">
        <v>219.13333</v>
      </c>
      <c r="G58">
        <v>195.93333000000001</v>
      </c>
      <c r="H58">
        <v>1.1184076000000001</v>
      </c>
      <c r="I58">
        <v>-0.11840761</v>
      </c>
      <c r="J58">
        <v>0.47205269999999999</v>
      </c>
    </row>
    <row r="59" spans="1:10" x14ac:dyDescent="0.3">
      <c r="A59">
        <v>57</v>
      </c>
      <c r="B59">
        <v>1180</v>
      </c>
      <c r="C59" t="b">
        <v>1</v>
      </c>
      <c r="D59">
        <v>8065</v>
      </c>
      <c r="E59">
        <v>8105</v>
      </c>
      <c r="F59">
        <v>218.8</v>
      </c>
      <c r="G59">
        <v>198.26666</v>
      </c>
      <c r="H59">
        <v>1.1035642999999999</v>
      </c>
      <c r="I59">
        <v>-0.10356426000000001</v>
      </c>
      <c r="J59">
        <v>0.47538364</v>
      </c>
    </row>
    <row r="60" spans="1:10" x14ac:dyDescent="0.3">
      <c r="A60">
        <v>58</v>
      </c>
      <c r="B60">
        <v>1212</v>
      </c>
      <c r="C60" t="b">
        <v>1</v>
      </c>
      <c r="D60">
        <v>8060</v>
      </c>
      <c r="E60">
        <v>8087</v>
      </c>
      <c r="F60">
        <v>218.06666999999999</v>
      </c>
      <c r="G60">
        <v>199.06666999999999</v>
      </c>
      <c r="H60">
        <v>1.0954454</v>
      </c>
      <c r="I60">
        <v>-9.5445409999999994E-2</v>
      </c>
      <c r="J60">
        <v>0.47722550000000002</v>
      </c>
    </row>
    <row r="61" spans="1:10" x14ac:dyDescent="0.3">
      <c r="A61">
        <v>59</v>
      </c>
      <c r="B61">
        <v>1228</v>
      </c>
      <c r="C61" t="b">
        <v>1</v>
      </c>
      <c r="D61">
        <v>8060</v>
      </c>
      <c r="E61">
        <v>8099</v>
      </c>
      <c r="F61">
        <v>217.73334</v>
      </c>
      <c r="G61">
        <v>199.06666999999999</v>
      </c>
      <c r="H61">
        <v>1.093771</v>
      </c>
      <c r="I61">
        <v>-9.377096E-2</v>
      </c>
      <c r="J61">
        <v>0.47760720000000001</v>
      </c>
    </row>
    <row r="62" spans="1:10" x14ac:dyDescent="0.3">
      <c r="A62">
        <v>60</v>
      </c>
      <c r="B62">
        <v>1259</v>
      </c>
      <c r="C62" t="b">
        <v>1</v>
      </c>
      <c r="D62">
        <v>8060</v>
      </c>
      <c r="E62">
        <v>8105</v>
      </c>
      <c r="F62">
        <v>217.4</v>
      </c>
      <c r="G62">
        <v>199.06666999999999</v>
      </c>
      <c r="H62">
        <v>1.0920964</v>
      </c>
      <c r="I62">
        <v>-9.2096425999999995E-2</v>
      </c>
      <c r="J62">
        <v>0.47798943999999999</v>
      </c>
    </row>
    <row r="63" spans="1:10" x14ac:dyDescent="0.3">
      <c r="A63">
        <v>61</v>
      </c>
      <c r="B63">
        <v>1291</v>
      </c>
      <c r="C63" t="b">
        <v>1</v>
      </c>
      <c r="D63">
        <v>8048</v>
      </c>
      <c r="E63">
        <v>8105</v>
      </c>
      <c r="F63">
        <v>217.06666999999999</v>
      </c>
      <c r="G63">
        <v>198.66667000000001</v>
      </c>
      <c r="H63">
        <v>1.0926174</v>
      </c>
      <c r="I63">
        <v>-9.2617414999999995E-2</v>
      </c>
      <c r="J63">
        <v>0.47787043000000001</v>
      </c>
    </row>
    <row r="64" spans="1:10" x14ac:dyDescent="0.3">
      <c r="A64">
        <v>62</v>
      </c>
      <c r="B64">
        <v>1307</v>
      </c>
      <c r="C64" t="b">
        <v>1</v>
      </c>
      <c r="D64">
        <v>8037</v>
      </c>
      <c r="E64">
        <v>8099</v>
      </c>
      <c r="F64">
        <v>216.73334</v>
      </c>
      <c r="G64">
        <v>197.86667</v>
      </c>
      <c r="H64">
        <v>1.0953504000000001</v>
      </c>
      <c r="I64">
        <v>-9.5350414999999994E-2</v>
      </c>
      <c r="J64">
        <v>0.47724715000000001</v>
      </c>
    </row>
    <row r="65" spans="1:10" x14ac:dyDescent="0.3">
      <c r="A65">
        <v>63</v>
      </c>
      <c r="B65">
        <v>1323</v>
      </c>
      <c r="C65" t="b">
        <v>1</v>
      </c>
      <c r="D65">
        <v>8083</v>
      </c>
      <c r="E65">
        <v>8111</v>
      </c>
      <c r="F65">
        <v>217.13333</v>
      </c>
      <c r="G65">
        <v>197.46665999999999</v>
      </c>
      <c r="H65">
        <v>1.0995950000000001</v>
      </c>
      <c r="I65">
        <v>-9.95949E-2</v>
      </c>
      <c r="J65">
        <v>0.47628236000000002</v>
      </c>
    </row>
    <row r="66" spans="1:10" x14ac:dyDescent="0.3">
      <c r="A66">
        <v>64</v>
      </c>
      <c r="B66">
        <v>1354</v>
      </c>
      <c r="C66" t="b">
        <v>1</v>
      </c>
      <c r="D66">
        <v>8065</v>
      </c>
      <c r="E66">
        <v>8111</v>
      </c>
      <c r="F66">
        <v>217.53334000000001</v>
      </c>
      <c r="G66">
        <v>197.06666999999999</v>
      </c>
      <c r="H66">
        <v>1.1038566000000001</v>
      </c>
      <c r="I66">
        <v>-0.10385661</v>
      </c>
      <c r="J66">
        <v>0.47531757000000002</v>
      </c>
    </row>
    <row r="67" spans="1:10" x14ac:dyDescent="0.3">
      <c r="A67">
        <v>65</v>
      </c>
      <c r="B67">
        <v>1370</v>
      </c>
      <c r="C67" t="b">
        <v>1</v>
      </c>
      <c r="D67">
        <v>8060</v>
      </c>
      <c r="E67">
        <v>8099</v>
      </c>
      <c r="F67">
        <v>217.93333000000001</v>
      </c>
      <c r="G67">
        <v>196.66667000000001</v>
      </c>
      <c r="H67">
        <v>1.1081356</v>
      </c>
      <c r="I67">
        <v>-0.108135566</v>
      </c>
      <c r="J67">
        <v>0.47435280000000002</v>
      </c>
    </row>
    <row r="68" spans="1:10" x14ac:dyDescent="0.3">
      <c r="A68">
        <v>66</v>
      </c>
      <c r="B68">
        <v>1385</v>
      </c>
      <c r="C68" t="b">
        <v>1</v>
      </c>
      <c r="D68">
        <v>8077</v>
      </c>
      <c r="E68">
        <v>8081</v>
      </c>
      <c r="F68">
        <v>219.06666999999999</v>
      </c>
      <c r="G68">
        <v>195.86667</v>
      </c>
      <c r="H68">
        <v>1.1184479000000001</v>
      </c>
      <c r="I68">
        <v>-0.11844791</v>
      </c>
      <c r="J68">
        <v>0.47204370000000001</v>
      </c>
    </row>
    <row r="69" spans="1:10" x14ac:dyDescent="0.3">
      <c r="A69">
        <v>67</v>
      </c>
      <c r="B69">
        <v>1401</v>
      </c>
      <c r="C69" t="b">
        <v>1</v>
      </c>
      <c r="D69">
        <v>8060</v>
      </c>
      <c r="E69">
        <v>8093</v>
      </c>
      <c r="F69">
        <v>220.2</v>
      </c>
      <c r="G69">
        <v>195.06666999999999</v>
      </c>
      <c r="H69">
        <v>1.1288449</v>
      </c>
      <c r="I69">
        <v>-0.12884482999999999</v>
      </c>
      <c r="J69">
        <v>0.46973832999999998</v>
      </c>
    </row>
    <row r="70" spans="1:10" x14ac:dyDescent="0.3">
      <c r="A70">
        <v>68</v>
      </c>
      <c r="B70">
        <v>1417</v>
      </c>
      <c r="C70" t="b">
        <v>1</v>
      </c>
      <c r="D70">
        <v>8060</v>
      </c>
      <c r="E70">
        <v>8105</v>
      </c>
      <c r="F70">
        <v>219.86667</v>
      </c>
      <c r="G70">
        <v>194.26666</v>
      </c>
      <c r="H70">
        <v>1.1317775999999999</v>
      </c>
      <c r="I70">
        <v>-0.13177765999999999</v>
      </c>
      <c r="J70">
        <v>0.46909207000000003</v>
      </c>
    </row>
    <row r="71" spans="1:10" x14ac:dyDescent="0.3">
      <c r="A71">
        <v>69</v>
      </c>
      <c r="B71">
        <v>1433</v>
      </c>
      <c r="C71" t="b">
        <v>1</v>
      </c>
      <c r="D71">
        <v>8042</v>
      </c>
      <c r="E71">
        <v>8087</v>
      </c>
      <c r="F71">
        <v>220.26666</v>
      </c>
      <c r="G71">
        <v>193.06666999999999</v>
      </c>
      <c r="H71">
        <v>1.1408839</v>
      </c>
      <c r="I71">
        <v>-0.14088397</v>
      </c>
      <c r="J71">
        <v>0.46709679999999998</v>
      </c>
    </row>
    <row r="72" spans="1:10" x14ac:dyDescent="0.3">
      <c r="A72">
        <v>70</v>
      </c>
      <c r="B72">
        <v>1449</v>
      </c>
      <c r="C72" t="b">
        <v>1</v>
      </c>
      <c r="D72">
        <v>8054</v>
      </c>
      <c r="E72">
        <v>8123</v>
      </c>
      <c r="F72">
        <v>220.66667000000001</v>
      </c>
      <c r="G72">
        <v>191.46665999999999</v>
      </c>
      <c r="H72">
        <v>1.1525071</v>
      </c>
      <c r="I72">
        <v>-0.15250704000000001</v>
      </c>
      <c r="J72">
        <v>0.46457454999999998</v>
      </c>
    </row>
    <row r="73" spans="1:10" x14ac:dyDescent="0.3">
      <c r="A73">
        <v>71</v>
      </c>
      <c r="B73">
        <v>1464</v>
      </c>
      <c r="C73" t="b">
        <v>1</v>
      </c>
      <c r="D73">
        <v>8065</v>
      </c>
      <c r="E73">
        <v>8093</v>
      </c>
      <c r="F73">
        <v>220.66667000000001</v>
      </c>
      <c r="G73">
        <v>188.73334</v>
      </c>
      <c r="H73">
        <v>1.1691982000000001</v>
      </c>
      <c r="I73">
        <v>-0.16919817000000001</v>
      </c>
      <c r="J73">
        <v>0.46099982</v>
      </c>
    </row>
    <row r="74" spans="1:10" x14ac:dyDescent="0.3">
      <c r="A74">
        <v>72</v>
      </c>
      <c r="B74">
        <v>1496</v>
      </c>
      <c r="C74" t="b">
        <v>1</v>
      </c>
      <c r="D74">
        <v>8048</v>
      </c>
      <c r="E74">
        <v>8129</v>
      </c>
      <c r="F74">
        <v>220.26666</v>
      </c>
      <c r="G74">
        <v>186.8</v>
      </c>
      <c r="H74">
        <v>1.1791577</v>
      </c>
      <c r="I74">
        <v>-0.1791577</v>
      </c>
      <c r="J74">
        <v>0.45889289999999999</v>
      </c>
    </row>
    <row r="75" spans="1:10" x14ac:dyDescent="0.3">
      <c r="A75">
        <v>73</v>
      </c>
      <c r="B75">
        <v>1527</v>
      </c>
      <c r="C75" t="b">
        <v>1</v>
      </c>
      <c r="D75">
        <v>8060</v>
      </c>
      <c r="E75">
        <v>8111</v>
      </c>
      <c r="F75">
        <v>219.86667</v>
      </c>
      <c r="G75">
        <v>186.4</v>
      </c>
      <c r="H75">
        <v>1.1795423</v>
      </c>
      <c r="I75">
        <v>-0.17954226000000001</v>
      </c>
      <c r="J75">
        <v>0.45881193999999997</v>
      </c>
    </row>
    <row r="76" spans="1:10" x14ac:dyDescent="0.3">
      <c r="A76">
        <v>74</v>
      </c>
      <c r="B76">
        <v>1559</v>
      </c>
      <c r="C76" t="b">
        <v>1</v>
      </c>
      <c r="D76">
        <v>8054</v>
      </c>
      <c r="E76">
        <v>8105</v>
      </c>
      <c r="F76">
        <v>219.46665999999999</v>
      </c>
      <c r="G76">
        <v>186.8</v>
      </c>
      <c r="H76">
        <v>1.1748749999999999</v>
      </c>
      <c r="I76">
        <v>-0.17487504000000001</v>
      </c>
      <c r="J76">
        <v>0.45979655000000003</v>
      </c>
    </row>
    <row r="77" spans="1:10" x14ac:dyDescent="0.3">
      <c r="A77">
        <v>75</v>
      </c>
      <c r="B77">
        <v>1591</v>
      </c>
      <c r="C77" t="b">
        <v>1</v>
      </c>
      <c r="D77">
        <v>8048</v>
      </c>
      <c r="E77">
        <v>8105</v>
      </c>
      <c r="F77">
        <v>219.06666999999999</v>
      </c>
      <c r="G77">
        <v>186.8</v>
      </c>
      <c r="H77">
        <v>1.1727338</v>
      </c>
      <c r="I77">
        <v>-0.17273374</v>
      </c>
      <c r="J77">
        <v>0.46024966</v>
      </c>
    </row>
    <row r="78" spans="1:10" x14ac:dyDescent="0.3">
      <c r="A78">
        <v>76</v>
      </c>
      <c r="B78">
        <v>1623</v>
      </c>
      <c r="C78" t="b">
        <v>1</v>
      </c>
      <c r="D78">
        <v>8054</v>
      </c>
      <c r="E78">
        <v>8123</v>
      </c>
      <c r="F78">
        <v>218.66667000000001</v>
      </c>
      <c r="G78">
        <v>187.2</v>
      </c>
      <c r="H78">
        <v>1.1680912000000001</v>
      </c>
      <c r="I78">
        <v>-0.16809120999999999</v>
      </c>
      <c r="J78">
        <v>0.46123520000000001</v>
      </c>
    </row>
    <row r="79" spans="1:10" x14ac:dyDescent="0.3">
      <c r="A79">
        <v>77</v>
      </c>
      <c r="B79">
        <v>1638</v>
      </c>
      <c r="C79" t="b">
        <v>1</v>
      </c>
      <c r="D79">
        <v>8060</v>
      </c>
      <c r="E79">
        <v>8105</v>
      </c>
      <c r="F79">
        <v>218.26666</v>
      </c>
      <c r="G79">
        <v>187.6</v>
      </c>
      <c r="H79">
        <v>1.1634684</v>
      </c>
      <c r="I79">
        <v>-0.16346832</v>
      </c>
      <c r="J79">
        <v>0.46222079999999999</v>
      </c>
    </row>
    <row r="80" spans="1:10" x14ac:dyDescent="0.3">
      <c r="A80">
        <v>78</v>
      </c>
      <c r="B80">
        <v>1654</v>
      </c>
      <c r="C80" t="b">
        <v>1</v>
      </c>
      <c r="D80">
        <v>8054</v>
      </c>
      <c r="E80">
        <v>8093</v>
      </c>
      <c r="F80">
        <v>217.86667</v>
      </c>
      <c r="G80">
        <v>187.6</v>
      </c>
      <c r="H80">
        <v>1.1613362</v>
      </c>
      <c r="I80">
        <v>-0.16133615000000001</v>
      </c>
      <c r="J80">
        <v>0.46267676000000002</v>
      </c>
    </row>
    <row r="81" spans="1:10" x14ac:dyDescent="0.3">
      <c r="A81">
        <v>79</v>
      </c>
      <c r="B81">
        <v>1670</v>
      </c>
      <c r="C81" t="b">
        <v>1</v>
      </c>
      <c r="D81">
        <v>8054</v>
      </c>
      <c r="E81">
        <v>8093</v>
      </c>
      <c r="F81">
        <v>217.46665999999999</v>
      </c>
      <c r="G81">
        <v>187.6</v>
      </c>
      <c r="H81">
        <v>1.1592039000000001</v>
      </c>
      <c r="I81">
        <v>-0.15920390000000001</v>
      </c>
      <c r="J81">
        <v>0.46313366</v>
      </c>
    </row>
    <row r="82" spans="1:10" x14ac:dyDescent="0.3">
      <c r="A82">
        <v>80</v>
      </c>
      <c r="B82">
        <v>1686</v>
      </c>
      <c r="C82" t="b">
        <v>1</v>
      </c>
      <c r="D82">
        <v>8042</v>
      </c>
      <c r="E82">
        <v>8111</v>
      </c>
      <c r="F82">
        <v>217.06666999999999</v>
      </c>
      <c r="G82">
        <v>187.6</v>
      </c>
      <c r="H82">
        <v>1.1570716999999999</v>
      </c>
      <c r="I82">
        <v>-0.15707173999999999</v>
      </c>
      <c r="J82">
        <v>0.46359143000000003</v>
      </c>
    </row>
    <row r="83" spans="1:10" x14ac:dyDescent="0.3">
      <c r="A83">
        <v>81</v>
      </c>
      <c r="B83">
        <v>1702</v>
      </c>
      <c r="C83" t="b">
        <v>1</v>
      </c>
      <c r="D83">
        <v>8048</v>
      </c>
      <c r="E83">
        <v>8099</v>
      </c>
      <c r="F83">
        <v>216.33332999999999</v>
      </c>
      <c r="G83">
        <v>187.6</v>
      </c>
      <c r="H83">
        <v>1.1531627</v>
      </c>
      <c r="I83">
        <v>-0.15316268999999999</v>
      </c>
      <c r="J83">
        <v>0.46443307</v>
      </c>
    </row>
    <row r="84" spans="1:10" x14ac:dyDescent="0.3">
      <c r="A84">
        <v>82</v>
      </c>
      <c r="B84">
        <v>1718</v>
      </c>
      <c r="C84" t="b">
        <v>1</v>
      </c>
      <c r="D84">
        <v>8042</v>
      </c>
      <c r="E84">
        <v>8111</v>
      </c>
      <c r="F84">
        <v>215.2</v>
      </c>
      <c r="G84">
        <v>187.6</v>
      </c>
      <c r="H84">
        <v>1.1471214000000001</v>
      </c>
      <c r="I84">
        <v>-0.14712147</v>
      </c>
      <c r="J84">
        <v>0.46573985000000001</v>
      </c>
    </row>
    <row r="85" spans="1:10" x14ac:dyDescent="0.3">
      <c r="A85">
        <v>83</v>
      </c>
      <c r="B85">
        <v>1750</v>
      </c>
      <c r="C85" t="b">
        <v>1</v>
      </c>
      <c r="D85">
        <v>8054</v>
      </c>
      <c r="E85">
        <v>8099</v>
      </c>
      <c r="F85">
        <v>214.4</v>
      </c>
      <c r="G85">
        <v>187.6</v>
      </c>
      <c r="H85">
        <v>1.1428571000000001</v>
      </c>
      <c r="I85">
        <v>-0.14285707</v>
      </c>
      <c r="J85">
        <v>0.46666667000000001</v>
      </c>
    </row>
    <row r="86" spans="1:10" x14ac:dyDescent="0.3">
      <c r="A86">
        <v>84</v>
      </c>
      <c r="B86">
        <v>1765</v>
      </c>
      <c r="C86" t="b">
        <v>1</v>
      </c>
      <c r="D86">
        <v>8065</v>
      </c>
      <c r="E86">
        <v>8117</v>
      </c>
      <c r="F86">
        <v>213.6</v>
      </c>
      <c r="G86">
        <v>188.8</v>
      </c>
      <c r="H86">
        <v>1.131356</v>
      </c>
      <c r="I86">
        <v>-0.13135594</v>
      </c>
      <c r="J86">
        <v>0.46918488000000003</v>
      </c>
    </row>
    <row r="87" spans="1:10" x14ac:dyDescent="0.3">
      <c r="A87">
        <v>85</v>
      </c>
      <c r="B87">
        <v>1781</v>
      </c>
      <c r="C87" t="b">
        <v>1</v>
      </c>
      <c r="D87">
        <v>8042</v>
      </c>
      <c r="E87">
        <v>8099</v>
      </c>
      <c r="F87">
        <v>212.8</v>
      </c>
      <c r="G87">
        <v>189.2</v>
      </c>
      <c r="H87">
        <v>1.1247357</v>
      </c>
      <c r="I87">
        <v>-0.124735765</v>
      </c>
      <c r="J87">
        <v>0.47064676999999999</v>
      </c>
    </row>
    <row r="88" spans="1:10" x14ac:dyDescent="0.3">
      <c r="A88">
        <v>86</v>
      </c>
      <c r="B88">
        <v>1814</v>
      </c>
      <c r="C88" t="b">
        <v>1</v>
      </c>
      <c r="D88">
        <v>8042</v>
      </c>
      <c r="E88">
        <v>8093</v>
      </c>
      <c r="F88">
        <v>211.6</v>
      </c>
      <c r="G88">
        <v>189.6</v>
      </c>
      <c r="H88">
        <v>1.1160338000000001</v>
      </c>
      <c r="I88">
        <v>-0.116033755</v>
      </c>
      <c r="J88">
        <v>0.47258224999999998</v>
      </c>
    </row>
    <row r="89" spans="1:10" x14ac:dyDescent="0.3">
      <c r="A89">
        <v>87</v>
      </c>
      <c r="B89">
        <v>1844</v>
      </c>
      <c r="C89" t="b">
        <v>1</v>
      </c>
      <c r="D89">
        <v>8054</v>
      </c>
      <c r="E89">
        <v>8099</v>
      </c>
      <c r="F89">
        <v>211.6</v>
      </c>
      <c r="G89">
        <v>189.2</v>
      </c>
      <c r="H89">
        <v>1.1183932999999999</v>
      </c>
      <c r="I89">
        <v>-0.11839329</v>
      </c>
      <c r="J89">
        <v>0.47205587999999998</v>
      </c>
    </row>
    <row r="90" spans="1:10" x14ac:dyDescent="0.3">
      <c r="A90">
        <v>88</v>
      </c>
      <c r="B90">
        <v>1876</v>
      </c>
      <c r="C90" t="b">
        <v>1</v>
      </c>
      <c r="D90">
        <v>8071</v>
      </c>
      <c r="E90">
        <v>8111</v>
      </c>
      <c r="F90">
        <v>211.6</v>
      </c>
      <c r="G90">
        <v>188.4</v>
      </c>
      <c r="H90">
        <v>1.1231424000000001</v>
      </c>
      <c r="I90">
        <v>-0.12314232</v>
      </c>
      <c r="J90">
        <v>0.47099999999999997</v>
      </c>
    </row>
    <row r="91" spans="1:10" x14ac:dyDescent="0.3">
      <c r="A91">
        <v>89</v>
      </c>
      <c r="B91">
        <v>1908</v>
      </c>
      <c r="C91" t="b">
        <v>1</v>
      </c>
      <c r="D91">
        <v>8060</v>
      </c>
      <c r="E91">
        <v>8129</v>
      </c>
      <c r="F91">
        <v>211.6</v>
      </c>
      <c r="G91">
        <v>187.6</v>
      </c>
      <c r="H91">
        <v>1.1279317</v>
      </c>
      <c r="I91">
        <v>-0.12793176000000001</v>
      </c>
      <c r="J91">
        <v>0.46993990000000002</v>
      </c>
    </row>
    <row r="92" spans="1:10" x14ac:dyDescent="0.3">
      <c r="A92">
        <v>90</v>
      </c>
      <c r="B92">
        <v>1940</v>
      </c>
      <c r="C92" t="b">
        <v>1</v>
      </c>
      <c r="D92">
        <v>8060</v>
      </c>
      <c r="E92">
        <v>8111</v>
      </c>
      <c r="F92">
        <v>212</v>
      </c>
      <c r="G92">
        <v>188</v>
      </c>
      <c r="H92">
        <v>1.1276596000000001</v>
      </c>
      <c r="I92">
        <v>-0.12765957</v>
      </c>
      <c r="J92">
        <v>0.47</v>
      </c>
    </row>
    <row r="93" spans="1:10" x14ac:dyDescent="0.3">
      <c r="A93">
        <v>91</v>
      </c>
      <c r="B93">
        <v>1972</v>
      </c>
      <c r="C93" t="b">
        <v>1</v>
      </c>
      <c r="D93">
        <v>8042</v>
      </c>
      <c r="E93">
        <v>8117</v>
      </c>
      <c r="F93">
        <v>212.4</v>
      </c>
      <c r="G93">
        <v>188</v>
      </c>
      <c r="H93">
        <v>1.1297872</v>
      </c>
      <c r="I93">
        <v>-0.12978719999999999</v>
      </c>
      <c r="J93">
        <v>0.46953045999999998</v>
      </c>
    </row>
    <row r="94" spans="1:10" x14ac:dyDescent="0.3">
      <c r="A94">
        <v>92</v>
      </c>
      <c r="B94">
        <v>2003</v>
      </c>
      <c r="C94" t="b">
        <v>1</v>
      </c>
      <c r="D94">
        <v>8065</v>
      </c>
      <c r="E94">
        <v>8087</v>
      </c>
      <c r="F94">
        <v>212.8</v>
      </c>
      <c r="G94">
        <v>188.4</v>
      </c>
      <c r="H94">
        <v>1.1295116999999999</v>
      </c>
      <c r="I94">
        <v>-0.12951172999999999</v>
      </c>
      <c r="J94">
        <v>0.46959119999999999</v>
      </c>
    </row>
    <row r="95" spans="1:10" x14ac:dyDescent="0.3">
      <c r="A95">
        <v>93</v>
      </c>
      <c r="B95">
        <v>2019</v>
      </c>
      <c r="C95" t="b">
        <v>1</v>
      </c>
      <c r="D95">
        <v>8065</v>
      </c>
      <c r="E95">
        <v>8117</v>
      </c>
      <c r="F95">
        <v>213.2</v>
      </c>
      <c r="G95">
        <v>189.2</v>
      </c>
      <c r="H95">
        <v>1.1268499000000001</v>
      </c>
      <c r="I95">
        <v>-0.12684988999999999</v>
      </c>
      <c r="J95">
        <v>0.47017892999999999</v>
      </c>
    </row>
    <row r="96" spans="1:10" x14ac:dyDescent="0.3">
      <c r="A96">
        <v>94</v>
      </c>
      <c r="B96">
        <v>2035</v>
      </c>
      <c r="C96" t="b">
        <v>1</v>
      </c>
      <c r="D96">
        <v>8077</v>
      </c>
      <c r="E96">
        <v>8093</v>
      </c>
      <c r="F96">
        <v>213.93333000000001</v>
      </c>
      <c r="G96">
        <v>189.6</v>
      </c>
      <c r="H96">
        <v>1.1283403999999999</v>
      </c>
      <c r="I96">
        <v>-0.12834033</v>
      </c>
      <c r="J96">
        <v>0.46984967999999999</v>
      </c>
    </row>
    <row r="97" spans="1:10" x14ac:dyDescent="0.3">
      <c r="A97">
        <v>95</v>
      </c>
      <c r="B97">
        <v>2051</v>
      </c>
      <c r="C97" t="b">
        <v>1</v>
      </c>
      <c r="D97">
        <v>8060</v>
      </c>
      <c r="E97">
        <v>8099</v>
      </c>
      <c r="F97">
        <v>214.66667000000001</v>
      </c>
      <c r="G97">
        <v>189.2</v>
      </c>
      <c r="H97">
        <v>1.1346018</v>
      </c>
      <c r="I97">
        <v>-0.13460188000000001</v>
      </c>
      <c r="J97">
        <v>0.46847144000000002</v>
      </c>
    </row>
    <row r="98" spans="1:10" x14ac:dyDescent="0.3">
      <c r="A98">
        <v>96</v>
      </c>
      <c r="B98">
        <v>2082</v>
      </c>
      <c r="C98" t="b">
        <v>1</v>
      </c>
      <c r="D98">
        <v>8054</v>
      </c>
      <c r="E98">
        <v>8099</v>
      </c>
      <c r="F98">
        <v>215.4</v>
      </c>
      <c r="G98">
        <v>189.2</v>
      </c>
      <c r="H98">
        <v>1.1384778</v>
      </c>
      <c r="I98">
        <v>-0.13847778999999999</v>
      </c>
      <c r="J98">
        <v>0.46762237000000001</v>
      </c>
    </row>
    <row r="99" spans="1:10" x14ac:dyDescent="0.3">
      <c r="A99">
        <v>97</v>
      </c>
      <c r="B99">
        <v>2098</v>
      </c>
      <c r="C99" t="b">
        <v>1</v>
      </c>
      <c r="D99">
        <v>8042</v>
      </c>
      <c r="E99">
        <v>8111</v>
      </c>
      <c r="F99">
        <v>216.2</v>
      </c>
      <c r="G99">
        <v>189.2</v>
      </c>
      <c r="H99">
        <v>1.1427061999999999</v>
      </c>
      <c r="I99">
        <v>-0.14270612999999999</v>
      </c>
      <c r="J99">
        <v>0.46669954000000002</v>
      </c>
    </row>
    <row r="100" spans="1:10" x14ac:dyDescent="0.3">
      <c r="A100">
        <v>98</v>
      </c>
      <c r="B100">
        <v>2130</v>
      </c>
      <c r="C100" t="b">
        <v>1</v>
      </c>
      <c r="D100">
        <v>8048</v>
      </c>
      <c r="E100">
        <v>8105</v>
      </c>
      <c r="F100">
        <v>216.6</v>
      </c>
      <c r="G100">
        <v>189.2</v>
      </c>
      <c r="H100">
        <v>1.1448202999999999</v>
      </c>
      <c r="I100">
        <v>-0.14482034999999999</v>
      </c>
      <c r="J100">
        <v>0.46623954000000001</v>
      </c>
    </row>
    <row r="101" spans="1:10" x14ac:dyDescent="0.3">
      <c r="A101">
        <v>99</v>
      </c>
      <c r="B101">
        <v>2162</v>
      </c>
      <c r="C101" t="b">
        <v>1</v>
      </c>
      <c r="D101">
        <v>8060</v>
      </c>
      <c r="E101">
        <v>8111</v>
      </c>
      <c r="F101">
        <v>217</v>
      </c>
      <c r="G101">
        <v>188.8</v>
      </c>
      <c r="H101">
        <v>1.1493644000000001</v>
      </c>
      <c r="I101">
        <v>-0.14936437999999999</v>
      </c>
      <c r="J101">
        <v>0.46525382999999998</v>
      </c>
    </row>
    <row r="102" spans="1:10" x14ac:dyDescent="0.3">
      <c r="A102">
        <v>100</v>
      </c>
      <c r="B102">
        <v>2194</v>
      </c>
      <c r="C102" t="b">
        <v>1</v>
      </c>
      <c r="D102">
        <v>8065</v>
      </c>
      <c r="E102">
        <v>8111</v>
      </c>
      <c r="F102">
        <v>217.4</v>
      </c>
      <c r="G102">
        <v>189.6</v>
      </c>
      <c r="H102">
        <v>1.1466244000000001</v>
      </c>
      <c r="I102">
        <v>-0.14662439999999999</v>
      </c>
      <c r="J102">
        <v>0.46584766999999999</v>
      </c>
    </row>
    <row r="103" spans="1:10" x14ac:dyDescent="0.3">
      <c r="A103">
        <v>101</v>
      </c>
      <c r="B103">
        <v>2225</v>
      </c>
      <c r="C103" t="b">
        <v>1</v>
      </c>
      <c r="D103">
        <v>8054</v>
      </c>
      <c r="E103">
        <v>8111</v>
      </c>
      <c r="F103">
        <v>218.2</v>
      </c>
      <c r="G103">
        <v>190.4</v>
      </c>
      <c r="H103">
        <v>1.1460083999999999</v>
      </c>
      <c r="I103">
        <v>-0.14600842</v>
      </c>
      <c r="J103">
        <v>0.46598141999999998</v>
      </c>
    </row>
    <row r="104" spans="1:10" x14ac:dyDescent="0.3">
      <c r="A104">
        <v>102</v>
      </c>
      <c r="B104">
        <v>2256</v>
      </c>
      <c r="C104" t="b">
        <v>1</v>
      </c>
      <c r="D104">
        <v>8071</v>
      </c>
      <c r="E104">
        <v>8105</v>
      </c>
      <c r="F104">
        <v>218.6</v>
      </c>
      <c r="G104">
        <v>191.2</v>
      </c>
      <c r="H104">
        <v>1.1433055000000001</v>
      </c>
      <c r="I104">
        <v>-0.1433055</v>
      </c>
      <c r="J104">
        <v>0.46656906999999997</v>
      </c>
    </row>
    <row r="105" spans="1:10" x14ac:dyDescent="0.3">
      <c r="A105">
        <v>103</v>
      </c>
      <c r="B105">
        <v>2272</v>
      </c>
      <c r="C105" t="b">
        <v>1</v>
      </c>
      <c r="D105">
        <v>8054</v>
      </c>
      <c r="E105">
        <v>8129</v>
      </c>
      <c r="F105">
        <v>219</v>
      </c>
      <c r="G105">
        <v>192</v>
      </c>
      <c r="H105">
        <v>1.140625</v>
      </c>
      <c r="I105">
        <v>-0.140625</v>
      </c>
      <c r="J105">
        <v>0.46715328</v>
      </c>
    </row>
    <row r="106" spans="1:10" x14ac:dyDescent="0.3">
      <c r="A106">
        <v>104</v>
      </c>
      <c r="B106">
        <v>2303</v>
      </c>
      <c r="C106" t="b">
        <v>1</v>
      </c>
      <c r="D106">
        <v>8065</v>
      </c>
      <c r="E106">
        <v>8099</v>
      </c>
      <c r="F106">
        <v>219.73334</v>
      </c>
      <c r="G106">
        <v>192.8</v>
      </c>
      <c r="H106">
        <v>1.1396957999999999</v>
      </c>
      <c r="I106">
        <v>-0.13969572</v>
      </c>
      <c r="J106">
        <v>0.46735618000000001</v>
      </c>
    </row>
    <row r="107" spans="1:10" x14ac:dyDescent="0.3">
      <c r="A107">
        <v>105</v>
      </c>
      <c r="B107">
        <v>2335</v>
      </c>
      <c r="C107" t="b">
        <v>1</v>
      </c>
      <c r="D107">
        <v>8077</v>
      </c>
      <c r="E107">
        <v>8111</v>
      </c>
      <c r="F107">
        <v>220.06666999999999</v>
      </c>
      <c r="G107">
        <v>192.8</v>
      </c>
      <c r="H107">
        <v>1.1414245000000001</v>
      </c>
      <c r="I107">
        <v>-0.14142460000000001</v>
      </c>
      <c r="J107">
        <v>0.46697885</v>
      </c>
    </row>
    <row r="108" spans="1:10" x14ac:dyDescent="0.3">
      <c r="A108">
        <v>106</v>
      </c>
      <c r="B108">
        <v>2367</v>
      </c>
      <c r="C108" t="b">
        <v>1</v>
      </c>
      <c r="D108">
        <v>8094</v>
      </c>
      <c r="E108">
        <v>8081</v>
      </c>
      <c r="F108">
        <v>220.8</v>
      </c>
      <c r="G108">
        <v>192.4</v>
      </c>
      <c r="H108">
        <v>1.1476092</v>
      </c>
      <c r="I108">
        <v>-0.1476092</v>
      </c>
      <c r="J108">
        <v>0.46563405000000002</v>
      </c>
    </row>
    <row r="109" spans="1:10" x14ac:dyDescent="0.3">
      <c r="A109">
        <v>107</v>
      </c>
      <c r="B109">
        <v>2383</v>
      </c>
      <c r="C109" t="b">
        <v>1</v>
      </c>
      <c r="D109">
        <v>8060</v>
      </c>
      <c r="E109">
        <v>8105</v>
      </c>
      <c r="F109">
        <v>221.13333</v>
      </c>
      <c r="G109">
        <v>192</v>
      </c>
      <c r="H109">
        <v>1.1517360999999999</v>
      </c>
      <c r="I109">
        <v>-0.15173610000000001</v>
      </c>
      <c r="J109">
        <v>0.46474100000000002</v>
      </c>
    </row>
    <row r="110" spans="1:10" x14ac:dyDescent="0.3">
      <c r="A110">
        <v>108</v>
      </c>
      <c r="B110">
        <v>2399</v>
      </c>
      <c r="C110" t="b">
        <v>1</v>
      </c>
      <c r="D110">
        <v>8060</v>
      </c>
      <c r="E110">
        <v>8105</v>
      </c>
      <c r="F110">
        <v>221.46665999999999</v>
      </c>
      <c r="G110">
        <v>191.2</v>
      </c>
      <c r="H110">
        <v>1.1582984999999999</v>
      </c>
      <c r="I110">
        <v>-0.15829845000000001</v>
      </c>
      <c r="J110">
        <v>0.46332793999999999</v>
      </c>
    </row>
    <row r="111" spans="1:10" x14ac:dyDescent="0.3">
      <c r="A111">
        <v>109</v>
      </c>
      <c r="B111">
        <v>2415</v>
      </c>
      <c r="C111" t="b">
        <v>1</v>
      </c>
      <c r="D111">
        <v>8054</v>
      </c>
      <c r="E111">
        <v>8099</v>
      </c>
      <c r="F111">
        <v>221.13333</v>
      </c>
      <c r="G111">
        <v>190.8</v>
      </c>
      <c r="H111">
        <v>1.1589796999999999</v>
      </c>
      <c r="I111">
        <v>-0.1589797</v>
      </c>
      <c r="J111">
        <v>0.46318173000000001</v>
      </c>
    </row>
    <row r="112" spans="1:10" x14ac:dyDescent="0.3">
      <c r="A112">
        <v>110</v>
      </c>
      <c r="B112">
        <v>2430</v>
      </c>
      <c r="C112" t="b">
        <v>1</v>
      </c>
      <c r="D112">
        <v>8065</v>
      </c>
      <c r="E112">
        <v>8129</v>
      </c>
      <c r="F112">
        <v>220.8</v>
      </c>
      <c r="G112">
        <v>191.2</v>
      </c>
      <c r="H112">
        <v>1.1548117</v>
      </c>
      <c r="I112">
        <v>-0.15481175</v>
      </c>
      <c r="J112">
        <v>0.46407765000000001</v>
      </c>
    </row>
    <row r="113" spans="1:10" x14ac:dyDescent="0.3">
      <c r="A113">
        <v>111</v>
      </c>
      <c r="B113">
        <v>2462</v>
      </c>
      <c r="C113" t="b">
        <v>1</v>
      </c>
      <c r="D113">
        <v>8060</v>
      </c>
      <c r="E113">
        <v>8093</v>
      </c>
      <c r="F113">
        <v>220.46665999999999</v>
      </c>
      <c r="G113">
        <v>191.6</v>
      </c>
      <c r="H113">
        <v>1.1506609999999999</v>
      </c>
      <c r="I113">
        <v>-0.15066102000000001</v>
      </c>
      <c r="J113">
        <v>0.46497333000000002</v>
      </c>
    </row>
    <row r="114" spans="1:10" x14ac:dyDescent="0.3">
      <c r="A114">
        <v>112</v>
      </c>
      <c r="B114">
        <v>2493</v>
      </c>
      <c r="C114" t="b">
        <v>1</v>
      </c>
      <c r="D114">
        <v>8060</v>
      </c>
      <c r="E114">
        <v>8093</v>
      </c>
      <c r="F114">
        <v>220.46665999999999</v>
      </c>
      <c r="G114">
        <v>191.6</v>
      </c>
      <c r="H114">
        <v>1.1506609999999999</v>
      </c>
      <c r="I114">
        <v>-0.15066102000000001</v>
      </c>
      <c r="J114">
        <v>0.46497333000000002</v>
      </c>
    </row>
    <row r="115" spans="1:10" x14ac:dyDescent="0.3">
      <c r="A115">
        <v>113</v>
      </c>
      <c r="B115">
        <v>2525</v>
      </c>
      <c r="C115" t="b">
        <v>1</v>
      </c>
      <c r="D115">
        <v>8077</v>
      </c>
      <c r="E115">
        <v>8111</v>
      </c>
      <c r="F115">
        <v>220.86667</v>
      </c>
      <c r="G115">
        <v>191.6</v>
      </c>
      <c r="H115">
        <v>1.1527487000000001</v>
      </c>
      <c r="I115">
        <v>-0.15274874999999999</v>
      </c>
      <c r="J115">
        <v>0.4645224</v>
      </c>
    </row>
    <row r="116" spans="1:10" x14ac:dyDescent="0.3">
      <c r="A116">
        <v>114</v>
      </c>
      <c r="B116">
        <v>2541</v>
      </c>
      <c r="C116" t="b">
        <v>1</v>
      </c>
      <c r="D116">
        <v>8065</v>
      </c>
      <c r="E116">
        <v>8111</v>
      </c>
      <c r="F116">
        <v>221.6</v>
      </c>
      <c r="G116">
        <v>192</v>
      </c>
      <c r="H116">
        <v>1.1541667</v>
      </c>
      <c r="I116">
        <v>-0.15416669999999999</v>
      </c>
      <c r="J116">
        <v>0.46421662000000002</v>
      </c>
    </row>
    <row r="117" spans="1:10" x14ac:dyDescent="0.3">
      <c r="A117">
        <v>115</v>
      </c>
      <c r="B117">
        <v>2557</v>
      </c>
      <c r="C117" t="b">
        <v>1</v>
      </c>
      <c r="D117">
        <v>8048</v>
      </c>
      <c r="E117">
        <v>8117</v>
      </c>
      <c r="F117">
        <v>222</v>
      </c>
      <c r="G117">
        <v>192</v>
      </c>
      <c r="H117">
        <v>1.15625</v>
      </c>
      <c r="I117">
        <v>-0.15625</v>
      </c>
      <c r="J117">
        <v>0.46376812000000001</v>
      </c>
    </row>
    <row r="118" spans="1:10" x14ac:dyDescent="0.3">
      <c r="A118">
        <v>116</v>
      </c>
      <c r="B118">
        <v>2573</v>
      </c>
      <c r="C118" t="b">
        <v>1</v>
      </c>
      <c r="D118">
        <v>8006</v>
      </c>
      <c r="E118">
        <v>8123</v>
      </c>
      <c r="F118">
        <v>222.4</v>
      </c>
      <c r="G118">
        <v>192</v>
      </c>
      <c r="H118">
        <v>1.1583333</v>
      </c>
      <c r="I118">
        <v>-0.15833330000000001</v>
      </c>
      <c r="J118">
        <v>0.46332045999999999</v>
      </c>
    </row>
    <row r="119" spans="1:10" x14ac:dyDescent="0.3">
      <c r="A119">
        <v>117</v>
      </c>
      <c r="B119">
        <v>2589</v>
      </c>
      <c r="C119" t="b">
        <v>1</v>
      </c>
      <c r="D119">
        <v>8017</v>
      </c>
      <c r="E119">
        <v>8105</v>
      </c>
      <c r="F119">
        <v>221.6</v>
      </c>
      <c r="G119">
        <v>192</v>
      </c>
      <c r="H119">
        <v>1.1541667</v>
      </c>
      <c r="I119">
        <v>-0.15416669999999999</v>
      </c>
      <c r="J119">
        <v>0.46421662000000002</v>
      </c>
    </row>
    <row r="120" spans="1:10" x14ac:dyDescent="0.3">
      <c r="A120">
        <v>118</v>
      </c>
      <c r="B120">
        <v>2604</v>
      </c>
      <c r="C120" t="b">
        <v>1</v>
      </c>
      <c r="D120">
        <v>8037</v>
      </c>
      <c r="E120">
        <v>8117</v>
      </c>
      <c r="F120">
        <v>220.06666999999999</v>
      </c>
      <c r="G120">
        <v>192.4</v>
      </c>
      <c r="H120">
        <v>1.1437976000000001</v>
      </c>
      <c r="I120">
        <v>-0.14379768000000001</v>
      </c>
      <c r="J120">
        <v>0.46646193000000002</v>
      </c>
    </row>
    <row r="121" spans="1:10" x14ac:dyDescent="0.3">
      <c r="A121">
        <v>119</v>
      </c>
      <c r="B121">
        <v>2620</v>
      </c>
      <c r="C121" t="b">
        <v>1</v>
      </c>
      <c r="D121">
        <v>8071</v>
      </c>
      <c r="E121">
        <v>8111</v>
      </c>
      <c r="F121">
        <v>218.2</v>
      </c>
      <c r="G121">
        <v>192.8</v>
      </c>
      <c r="H121">
        <v>1.1317427</v>
      </c>
      <c r="I121">
        <v>-0.13174269999999999</v>
      </c>
      <c r="J121">
        <v>0.46909975999999998</v>
      </c>
    </row>
    <row r="122" spans="1:10" x14ac:dyDescent="0.3">
      <c r="A122">
        <v>120</v>
      </c>
      <c r="B122">
        <v>2636</v>
      </c>
      <c r="C122" t="b">
        <v>1</v>
      </c>
      <c r="D122">
        <v>8071</v>
      </c>
      <c r="E122">
        <v>8123</v>
      </c>
      <c r="F122">
        <v>216.33332999999999</v>
      </c>
      <c r="G122">
        <v>193.2</v>
      </c>
      <c r="H122">
        <v>1.1197376999999999</v>
      </c>
      <c r="I122">
        <v>-0.11973774399999999</v>
      </c>
      <c r="J122">
        <v>0.47175645999999999</v>
      </c>
    </row>
    <row r="123" spans="1:10" x14ac:dyDescent="0.3">
      <c r="A123">
        <v>121</v>
      </c>
      <c r="B123">
        <v>2652</v>
      </c>
      <c r="C123" t="b">
        <v>1</v>
      </c>
      <c r="D123">
        <v>8037</v>
      </c>
      <c r="E123">
        <v>8099</v>
      </c>
      <c r="F123">
        <v>214.06666999999999</v>
      </c>
      <c r="G123">
        <v>193.6</v>
      </c>
      <c r="H123">
        <v>1.1057162</v>
      </c>
      <c r="I123">
        <v>-0.10571621</v>
      </c>
      <c r="J123">
        <v>0.47489777</v>
      </c>
    </row>
    <row r="124" spans="1:10" x14ac:dyDescent="0.3">
      <c r="A124">
        <v>122</v>
      </c>
      <c r="B124">
        <v>2668</v>
      </c>
      <c r="C124" t="b">
        <v>1</v>
      </c>
      <c r="D124">
        <v>8048</v>
      </c>
      <c r="E124">
        <v>8105</v>
      </c>
      <c r="F124">
        <v>212.93333000000001</v>
      </c>
      <c r="G124">
        <v>194</v>
      </c>
      <c r="H124">
        <v>1.0975945</v>
      </c>
      <c r="I124">
        <v>-9.7594509999999995E-2</v>
      </c>
      <c r="J124">
        <v>0.47673654999999998</v>
      </c>
    </row>
    <row r="125" spans="1:10" x14ac:dyDescent="0.3">
      <c r="A125">
        <v>123</v>
      </c>
      <c r="B125">
        <v>2684</v>
      </c>
      <c r="C125" t="b">
        <v>1</v>
      </c>
      <c r="D125">
        <v>8048</v>
      </c>
      <c r="E125">
        <v>8093</v>
      </c>
      <c r="F125">
        <v>211.8</v>
      </c>
      <c r="G125">
        <v>194</v>
      </c>
      <c r="H125">
        <v>1.0917526</v>
      </c>
      <c r="I125">
        <v>-9.1752596000000006E-2</v>
      </c>
      <c r="J125">
        <v>0.47806801999999998</v>
      </c>
    </row>
    <row r="126" spans="1:10" x14ac:dyDescent="0.3">
      <c r="A126">
        <v>124</v>
      </c>
      <c r="B126">
        <v>2715</v>
      </c>
      <c r="C126" t="b">
        <v>1</v>
      </c>
      <c r="D126">
        <v>8054</v>
      </c>
      <c r="E126">
        <v>8105</v>
      </c>
      <c r="F126">
        <v>211</v>
      </c>
      <c r="G126">
        <v>194</v>
      </c>
      <c r="H126">
        <v>1.0876288000000001</v>
      </c>
      <c r="I126">
        <v>-8.7628864000000001E-2</v>
      </c>
      <c r="J126">
        <v>0.47901233999999998</v>
      </c>
    </row>
    <row r="127" spans="1:10" x14ac:dyDescent="0.3">
      <c r="A127">
        <v>125</v>
      </c>
      <c r="B127">
        <v>2747</v>
      </c>
      <c r="C127" t="b">
        <v>1</v>
      </c>
      <c r="D127">
        <v>8006</v>
      </c>
      <c r="E127">
        <v>8146</v>
      </c>
      <c r="F127">
        <v>210.2</v>
      </c>
      <c r="G127">
        <v>194</v>
      </c>
      <c r="H127">
        <v>1.0835052000000001</v>
      </c>
      <c r="I127">
        <v>-8.3505140000000005E-2</v>
      </c>
      <c r="J127">
        <v>0.47996040000000001</v>
      </c>
    </row>
    <row r="128" spans="1:10" x14ac:dyDescent="0.3">
      <c r="A128">
        <v>126</v>
      </c>
      <c r="B128">
        <v>2778</v>
      </c>
      <c r="C128" t="b">
        <v>1</v>
      </c>
      <c r="D128">
        <v>8054</v>
      </c>
      <c r="E128">
        <v>8099</v>
      </c>
      <c r="F128">
        <v>209.4</v>
      </c>
      <c r="G128">
        <v>194</v>
      </c>
      <c r="H128">
        <v>1.0793815</v>
      </c>
      <c r="I128">
        <v>-7.9381413999999997E-2</v>
      </c>
      <c r="J128">
        <v>0.48091223999999999</v>
      </c>
    </row>
    <row r="129" spans="1:10" x14ac:dyDescent="0.3">
      <c r="A129">
        <v>127</v>
      </c>
      <c r="B129">
        <v>2794</v>
      </c>
      <c r="C129" t="b">
        <v>1</v>
      </c>
      <c r="D129">
        <v>8060</v>
      </c>
      <c r="E129">
        <v>8093</v>
      </c>
      <c r="F129">
        <v>209</v>
      </c>
      <c r="G129">
        <v>194</v>
      </c>
      <c r="H129">
        <v>1.0773196</v>
      </c>
      <c r="I129">
        <v>-7.7319584999999996E-2</v>
      </c>
      <c r="J129">
        <v>0.48138957999999998</v>
      </c>
    </row>
    <row r="130" spans="1:10" x14ac:dyDescent="0.3">
      <c r="A130">
        <v>128</v>
      </c>
      <c r="B130">
        <v>2810</v>
      </c>
      <c r="C130" t="b">
        <v>1</v>
      </c>
      <c r="D130">
        <v>8071</v>
      </c>
      <c r="E130">
        <v>8099</v>
      </c>
      <c r="F130">
        <v>208.6</v>
      </c>
      <c r="G130">
        <v>194</v>
      </c>
      <c r="H130">
        <v>1.0752577999999999</v>
      </c>
      <c r="I130">
        <v>-7.5257760000000007E-2</v>
      </c>
      <c r="J130">
        <v>0.48186784999999999</v>
      </c>
    </row>
    <row r="131" spans="1:10" x14ac:dyDescent="0.3">
      <c r="A131">
        <v>129</v>
      </c>
      <c r="B131">
        <v>2842</v>
      </c>
      <c r="C131" t="b">
        <v>1</v>
      </c>
      <c r="D131">
        <v>8065</v>
      </c>
      <c r="E131">
        <v>8105</v>
      </c>
      <c r="F131">
        <v>208.26666</v>
      </c>
      <c r="G131">
        <v>193.2</v>
      </c>
      <c r="H131">
        <v>1.0779848000000001</v>
      </c>
      <c r="I131">
        <v>-7.7984810000000002E-2</v>
      </c>
      <c r="J131">
        <v>0.48123544000000001</v>
      </c>
    </row>
    <row r="132" spans="1:10" x14ac:dyDescent="0.3">
      <c r="A132">
        <v>130</v>
      </c>
      <c r="B132">
        <v>2874</v>
      </c>
      <c r="C132" t="b">
        <v>1</v>
      </c>
      <c r="D132">
        <v>8048</v>
      </c>
      <c r="E132">
        <v>8099</v>
      </c>
      <c r="F132">
        <v>208.26666</v>
      </c>
      <c r="G132">
        <v>192.4</v>
      </c>
      <c r="H132">
        <v>1.0824670999999999</v>
      </c>
      <c r="I132">
        <v>-8.2467094000000005E-2</v>
      </c>
      <c r="J132">
        <v>0.48019965999999997</v>
      </c>
    </row>
    <row r="133" spans="1:10" x14ac:dyDescent="0.3">
      <c r="A133">
        <v>131</v>
      </c>
      <c r="B133">
        <v>2889</v>
      </c>
      <c r="C133" t="b">
        <v>1</v>
      </c>
      <c r="D133">
        <v>8071</v>
      </c>
      <c r="E133">
        <v>8105</v>
      </c>
      <c r="F133">
        <v>208.6</v>
      </c>
      <c r="G133">
        <v>191.6</v>
      </c>
      <c r="H133">
        <v>1.0887264999999999</v>
      </c>
      <c r="I133">
        <v>-8.8726509999999995E-2</v>
      </c>
      <c r="J133">
        <v>0.47876063000000002</v>
      </c>
    </row>
    <row r="134" spans="1:10" x14ac:dyDescent="0.3">
      <c r="A134">
        <v>132</v>
      </c>
      <c r="B134">
        <v>2905</v>
      </c>
      <c r="C134" t="b">
        <v>1</v>
      </c>
      <c r="D134">
        <v>8060</v>
      </c>
      <c r="E134">
        <v>8081</v>
      </c>
      <c r="F134">
        <v>209.73334</v>
      </c>
      <c r="G134">
        <v>190.8</v>
      </c>
      <c r="H134">
        <v>1.0992314000000001</v>
      </c>
      <c r="I134">
        <v>-9.9231310000000003E-2</v>
      </c>
      <c r="J134">
        <v>0.47636485000000001</v>
      </c>
    </row>
    <row r="135" spans="1:10" x14ac:dyDescent="0.3">
      <c r="A135">
        <v>133</v>
      </c>
      <c r="B135">
        <v>2921</v>
      </c>
      <c r="C135" t="b">
        <v>1</v>
      </c>
      <c r="D135">
        <v>8048</v>
      </c>
      <c r="E135">
        <v>8087</v>
      </c>
      <c r="F135">
        <v>211.26666</v>
      </c>
      <c r="G135">
        <v>189.6</v>
      </c>
      <c r="H135">
        <v>1.1142756</v>
      </c>
      <c r="I135">
        <v>-0.11427561</v>
      </c>
      <c r="J135">
        <v>0.47297521999999997</v>
      </c>
    </row>
    <row r="136" spans="1:10" x14ac:dyDescent="0.3">
      <c r="A136">
        <v>134</v>
      </c>
      <c r="B136">
        <v>2937</v>
      </c>
      <c r="C136" t="b">
        <v>1</v>
      </c>
      <c r="D136">
        <v>8048</v>
      </c>
      <c r="E136">
        <v>8111</v>
      </c>
      <c r="F136">
        <v>212</v>
      </c>
      <c r="G136">
        <v>188.4</v>
      </c>
      <c r="H136">
        <v>1.1252655</v>
      </c>
      <c r="I136">
        <v>-0.12526543000000001</v>
      </c>
      <c r="J136">
        <v>0.47052947000000001</v>
      </c>
    </row>
    <row r="137" spans="1:10" x14ac:dyDescent="0.3">
      <c r="A137">
        <v>135</v>
      </c>
      <c r="B137">
        <v>2953</v>
      </c>
      <c r="C137" t="b">
        <v>1</v>
      </c>
      <c r="D137">
        <v>8054</v>
      </c>
      <c r="E137">
        <v>8099</v>
      </c>
      <c r="F137">
        <v>213.13333</v>
      </c>
      <c r="G137">
        <v>187.2</v>
      </c>
      <c r="H137">
        <v>1.1385327999999999</v>
      </c>
      <c r="I137">
        <v>-0.13853277</v>
      </c>
      <c r="J137">
        <v>0.46761033000000002</v>
      </c>
    </row>
    <row r="138" spans="1:10" x14ac:dyDescent="0.3">
      <c r="A138">
        <v>136</v>
      </c>
      <c r="B138">
        <v>2968</v>
      </c>
      <c r="C138" t="b">
        <v>1</v>
      </c>
      <c r="D138">
        <v>8077</v>
      </c>
      <c r="E138">
        <v>8105</v>
      </c>
      <c r="F138">
        <v>214.26666</v>
      </c>
      <c r="G138">
        <v>186.4</v>
      </c>
      <c r="H138">
        <v>1.1494993</v>
      </c>
      <c r="I138">
        <v>-0.1494993</v>
      </c>
      <c r="J138">
        <v>0.46522461999999998</v>
      </c>
    </row>
    <row r="139" spans="1:10" x14ac:dyDescent="0.3">
      <c r="A139">
        <v>137</v>
      </c>
      <c r="B139">
        <v>2984</v>
      </c>
      <c r="C139" t="b">
        <v>1</v>
      </c>
      <c r="D139">
        <v>8030</v>
      </c>
      <c r="E139">
        <v>8117</v>
      </c>
      <c r="F139">
        <v>214.26666</v>
      </c>
      <c r="G139">
        <v>186</v>
      </c>
      <c r="H139">
        <v>1.1519713</v>
      </c>
      <c r="I139">
        <v>-0.15197131</v>
      </c>
      <c r="J139">
        <v>0.4646902</v>
      </c>
    </row>
    <row r="140" spans="1:10" x14ac:dyDescent="0.3">
      <c r="A140">
        <v>138</v>
      </c>
      <c r="B140">
        <v>3000</v>
      </c>
      <c r="C140" t="b">
        <v>1</v>
      </c>
      <c r="D140">
        <v>8048</v>
      </c>
      <c r="E140">
        <v>8087</v>
      </c>
      <c r="F140">
        <v>214.26666</v>
      </c>
      <c r="G140">
        <v>186</v>
      </c>
      <c r="H140">
        <v>1.1519713</v>
      </c>
      <c r="I140">
        <v>-0.15197131</v>
      </c>
      <c r="J140">
        <v>0.4646902</v>
      </c>
    </row>
    <row r="141" spans="1:10" x14ac:dyDescent="0.3">
      <c r="A141">
        <v>139</v>
      </c>
      <c r="B141">
        <v>3016</v>
      </c>
      <c r="C141" t="b">
        <v>1</v>
      </c>
      <c r="D141">
        <v>8054</v>
      </c>
      <c r="E141">
        <v>8087</v>
      </c>
      <c r="F141">
        <v>214.66667000000001</v>
      </c>
      <c r="G141">
        <v>185.6</v>
      </c>
      <c r="H141">
        <v>1.1566091999999999</v>
      </c>
      <c r="I141">
        <v>-0.15660917999999999</v>
      </c>
      <c r="J141">
        <v>0.46369090000000002</v>
      </c>
    </row>
    <row r="142" spans="1:10" x14ac:dyDescent="0.3">
      <c r="A142">
        <v>140</v>
      </c>
      <c r="B142">
        <v>3032</v>
      </c>
      <c r="C142" t="b">
        <v>1</v>
      </c>
      <c r="D142">
        <v>8065</v>
      </c>
      <c r="E142">
        <v>8105</v>
      </c>
      <c r="F142">
        <v>215.06666999999999</v>
      </c>
      <c r="G142">
        <v>185.6</v>
      </c>
      <c r="H142">
        <v>1.1587643999999999</v>
      </c>
      <c r="I142">
        <v>-0.15876431999999999</v>
      </c>
      <c r="J142">
        <v>0.46322795999999999</v>
      </c>
    </row>
    <row r="143" spans="1:10" x14ac:dyDescent="0.3">
      <c r="A143">
        <v>141</v>
      </c>
      <c r="B143">
        <v>3048</v>
      </c>
      <c r="C143" t="b">
        <v>1</v>
      </c>
      <c r="D143">
        <v>8060</v>
      </c>
      <c r="E143">
        <v>8099</v>
      </c>
      <c r="F143">
        <v>215.46665999999999</v>
      </c>
      <c r="G143">
        <v>185.2</v>
      </c>
      <c r="H143">
        <v>1.1634268999999999</v>
      </c>
      <c r="I143">
        <v>-0.16342690000000001</v>
      </c>
      <c r="J143">
        <v>0.46222960000000002</v>
      </c>
    </row>
    <row r="144" spans="1:10" x14ac:dyDescent="0.3">
      <c r="A144">
        <v>142</v>
      </c>
      <c r="B144">
        <v>3080</v>
      </c>
      <c r="C144" t="b">
        <v>1</v>
      </c>
      <c r="D144">
        <v>8054</v>
      </c>
      <c r="E144">
        <v>8111</v>
      </c>
      <c r="F144">
        <v>215.46665999999999</v>
      </c>
      <c r="G144">
        <v>185.2</v>
      </c>
      <c r="H144">
        <v>1.1634268999999999</v>
      </c>
      <c r="I144">
        <v>-0.16342690000000001</v>
      </c>
      <c r="J144">
        <v>0.46222960000000002</v>
      </c>
    </row>
    <row r="145" spans="1:10" x14ac:dyDescent="0.3">
      <c r="A145">
        <v>143</v>
      </c>
      <c r="B145">
        <v>3095</v>
      </c>
      <c r="C145" t="b">
        <v>1</v>
      </c>
      <c r="D145">
        <v>8042</v>
      </c>
      <c r="E145">
        <v>8075</v>
      </c>
      <c r="F145">
        <v>215.46665999999999</v>
      </c>
      <c r="G145">
        <v>185.2</v>
      </c>
      <c r="H145">
        <v>1.1634268999999999</v>
      </c>
      <c r="I145">
        <v>-0.16342690000000001</v>
      </c>
      <c r="J145">
        <v>0.46222960000000002</v>
      </c>
    </row>
    <row r="146" spans="1:10" x14ac:dyDescent="0.3">
      <c r="A146">
        <v>144</v>
      </c>
      <c r="B146">
        <v>3111</v>
      </c>
      <c r="C146" t="b">
        <v>1</v>
      </c>
      <c r="D146">
        <v>8071</v>
      </c>
      <c r="E146">
        <v>8087</v>
      </c>
      <c r="F146">
        <v>215.46665999999999</v>
      </c>
      <c r="G146">
        <v>185.2</v>
      </c>
      <c r="H146">
        <v>1.1634268999999999</v>
      </c>
      <c r="I146">
        <v>-0.16342690000000001</v>
      </c>
      <c r="J146">
        <v>0.46222960000000002</v>
      </c>
    </row>
    <row r="147" spans="1:10" x14ac:dyDescent="0.3">
      <c r="A147">
        <v>145</v>
      </c>
      <c r="B147">
        <v>3143</v>
      </c>
      <c r="C147" t="b">
        <v>1</v>
      </c>
      <c r="D147">
        <v>8060</v>
      </c>
      <c r="E147">
        <v>8087</v>
      </c>
      <c r="F147">
        <v>215.46665999999999</v>
      </c>
      <c r="G147">
        <v>184.4</v>
      </c>
      <c r="H147">
        <v>1.1684743</v>
      </c>
      <c r="I147">
        <v>-0.16847433000000001</v>
      </c>
      <c r="J147">
        <v>0.46115374999999997</v>
      </c>
    </row>
    <row r="148" spans="1:10" x14ac:dyDescent="0.3">
      <c r="A148">
        <v>146</v>
      </c>
      <c r="B148">
        <v>3158</v>
      </c>
      <c r="C148" t="b">
        <v>1</v>
      </c>
      <c r="D148">
        <v>8083</v>
      </c>
      <c r="E148">
        <v>8093</v>
      </c>
      <c r="F148">
        <v>215.13333</v>
      </c>
      <c r="G148">
        <v>183.6</v>
      </c>
      <c r="H148">
        <v>1.1717502</v>
      </c>
      <c r="I148">
        <v>-0.17175013</v>
      </c>
      <c r="J148">
        <v>0.46045813000000002</v>
      </c>
    </row>
    <row r="149" spans="1:10" x14ac:dyDescent="0.3">
      <c r="A149">
        <v>147</v>
      </c>
      <c r="B149">
        <v>3174</v>
      </c>
      <c r="C149" t="b">
        <v>1</v>
      </c>
      <c r="D149">
        <v>8060</v>
      </c>
      <c r="E149">
        <v>8087</v>
      </c>
      <c r="F149">
        <v>214.8</v>
      </c>
      <c r="G149">
        <v>182.8</v>
      </c>
      <c r="H149">
        <v>1.1750547</v>
      </c>
      <c r="I149">
        <v>-0.17505470000000001</v>
      </c>
      <c r="J149">
        <v>0.45975854999999999</v>
      </c>
    </row>
    <row r="150" spans="1:10" x14ac:dyDescent="0.3">
      <c r="A150">
        <v>148</v>
      </c>
      <c r="B150">
        <v>3205</v>
      </c>
      <c r="C150" t="b">
        <v>1</v>
      </c>
      <c r="D150">
        <v>8065</v>
      </c>
      <c r="E150">
        <v>8105</v>
      </c>
      <c r="F150">
        <v>215.13333</v>
      </c>
      <c r="G150">
        <v>182</v>
      </c>
      <c r="H150">
        <v>1.1820512999999999</v>
      </c>
      <c r="I150">
        <v>-0.18205126999999999</v>
      </c>
      <c r="J150">
        <v>0.45828437999999999</v>
      </c>
    </row>
    <row r="151" spans="1:10" x14ac:dyDescent="0.3">
      <c r="A151">
        <v>149</v>
      </c>
      <c r="B151">
        <v>3221</v>
      </c>
      <c r="C151" t="b">
        <v>1</v>
      </c>
      <c r="D151">
        <v>8060</v>
      </c>
      <c r="E151">
        <v>8093</v>
      </c>
      <c r="F151">
        <v>215.93333000000001</v>
      </c>
      <c r="G151">
        <v>181.6</v>
      </c>
      <c r="H151">
        <v>1.1890601999999999</v>
      </c>
      <c r="I151">
        <v>-0.18906017</v>
      </c>
      <c r="J151">
        <v>0.45681706</v>
      </c>
    </row>
    <row r="152" spans="1:10" x14ac:dyDescent="0.3">
      <c r="A152">
        <v>150</v>
      </c>
      <c r="B152">
        <v>3237</v>
      </c>
      <c r="C152" t="b">
        <v>1</v>
      </c>
      <c r="D152">
        <v>8077</v>
      </c>
      <c r="E152">
        <v>8093</v>
      </c>
      <c r="F152">
        <v>216.66667000000001</v>
      </c>
      <c r="G152">
        <v>181.2</v>
      </c>
      <c r="H152">
        <v>1.1957321999999999</v>
      </c>
      <c r="I152">
        <v>-0.1957322</v>
      </c>
      <c r="J152">
        <v>0.45542895999999999</v>
      </c>
    </row>
    <row r="153" spans="1:10" x14ac:dyDescent="0.3">
      <c r="A153">
        <v>151</v>
      </c>
      <c r="B153">
        <v>3253</v>
      </c>
      <c r="C153" t="b">
        <v>1</v>
      </c>
      <c r="D153">
        <v>8042</v>
      </c>
      <c r="E153">
        <v>8134</v>
      </c>
      <c r="F153">
        <v>217.06666999999999</v>
      </c>
      <c r="G153">
        <v>180.8</v>
      </c>
      <c r="H153">
        <v>1.2005899</v>
      </c>
      <c r="I153">
        <v>-0.20058993999999999</v>
      </c>
      <c r="J153">
        <v>0.45442359999999998</v>
      </c>
    </row>
    <row r="154" spans="1:10" x14ac:dyDescent="0.3">
      <c r="A154">
        <v>152</v>
      </c>
      <c r="B154">
        <v>3268</v>
      </c>
      <c r="C154" t="b">
        <v>1</v>
      </c>
      <c r="D154">
        <v>8060</v>
      </c>
      <c r="E154">
        <v>8123</v>
      </c>
      <c r="F154">
        <v>217.86667</v>
      </c>
      <c r="G154">
        <v>180.8</v>
      </c>
      <c r="H154">
        <v>1.2050147</v>
      </c>
      <c r="I154">
        <v>-0.20501474</v>
      </c>
      <c r="J154">
        <v>0.45351170000000002</v>
      </c>
    </row>
    <row r="155" spans="1:10" x14ac:dyDescent="0.3">
      <c r="A155">
        <v>153</v>
      </c>
      <c r="B155">
        <v>3284</v>
      </c>
      <c r="C155" t="b">
        <v>1</v>
      </c>
      <c r="D155">
        <v>8060</v>
      </c>
      <c r="E155">
        <v>8117</v>
      </c>
      <c r="F155">
        <v>218.66667000000001</v>
      </c>
      <c r="G155">
        <v>181.6</v>
      </c>
      <c r="H155">
        <v>1.2041116000000001</v>
      </c>
      <c r="I155">
        <v>-0.20411159000000001</v>
      </c>
      <c r="J155">
        <v>0.45369756</v>
      </c>
    </row>
    <row r="156" spans="1:10" x14ac:dyDescent="0.3">
      <c r="A156">
        <v>154</v>
      </c>
      <c r="B156">
        <v>3300</v>
      </c>
      <c r="C156" t="b">
        <v>1</v>
      </c>
      <c r="D156">
        <v>8060</v>
      </c>
      <c r="E156">
        <v>8152</v>
      </c>
      <c r="F156">
        <v>219.06666999999999</v>
      </c>
      <c r="G156">
        <v>183.2</v>
      </c>
      <c r="H156">
        <v>1.1957787</v>
      </c>
      <c r="I156">
        <v>-0.19577876</v>
      </c>
      <c r="J156">
        <v>0.45541930000000003</v>
      </c>
    </row>
    <row r="157" spans="1:10" x14ac:dyDescent="0.3">
      <c r="A157">
        <v>155</v>
      </c>
      <c r="B157">
        <v>3316</v>
      </c>
      <c r="C157" t="b">
        <v>1</v>
      </c>
      <c r="D157">
        <v>8030</v>
      </c>
      <c r="E157">
        <v>8134</v>
      </c>
      <c r="F157">
        <v>219.46665999999999</v>
      </c>
      <c r="G157">
        <v>185.13333</v>
      </c>
      <c r="H157">
        <v>1.1854518999999999</v>
      </c>
      <c r="I157">
        <v>-0.1854519</v>
      </c>
      <c r="J157">
        <v>0.45757130000000001</v>
      </c>
    </row>
    <row r="158" spans="1:10" x14ac:dyDescent="0.3">
      <c r="A158">
        <v>156</v>
      </c>
      <c r="B158">
        <v>3347</v>
      </c>
      <c r="C158" t="b">
        <v>1</v>
      </c>
      <c r="D158">
        <v>8060</v>
      </c>
      <c r="E158">
        <v>8117</v>
      </c>
      <c r="F158">
        <v>219.86667</v>
      </c>
      <c r="G158">
        <v>186.73334</v>
      </c>
      <c r="H158">
        <v>1.1774366000000001</v>
      </c>
      <c r="I158">
        <v>-0.17743661999999999</v>
      </c>
      <c r="J158">
        <v>0.45925559999999999</v>
      </c>
    </row>
    <row r="159" spans="1:10" x14ac:dyDescent="0.3">
      <c r="A159">
        <v>157</v>
      </c>
      <c r="B159">
        <v>3363</v>
      </c>
      <c r="C159" t="b">
        <v>1</v>
      </c>
      <c r="D159">
        <v>8060</v>
      </c>
      <c r="E159">
        <v>8099</v>
      </c>
      <c r="F159">
        <v>220.26666</v>
      </c>
      <c r="G159">
        <v>187.93333000000001</v>
      </c>
      <c r="H159">
        <v>1.1720467999999999</v>
      </c>
      <c r="I159">
        <v>-0.1720468</v>
      </c>
      <c r="J159">
        <v>0.46039521999999999</v>
      </c>
    </row>
    <row r="160" spans="1:10" x14ac:dyDescent="0.3">
      <c r="A160">
        <v>158</v>
      </c>
      <c r="B160">
        <v>3379</v>
      </c>
      <c r="C160" t="b">
        <v>1</v>
      </c>
      <c r="D160">
        <v>8042</v>
      </c>
      <c r="E160">
        <v>8105</v>
      </c>
      <c r="F160">
        <v>220.66667000000001</v>
      </c>
      <c r="G160">
        <v>189.13333</v>
      </c>
      <c r="H160">
        <v>1.1667254</v>
      </c>
      <c r="I160">
        <v>-0.16672545999999999</v>
      </c>
      <c r="J160">
        <v>0.46152595000000002</v>
      </c>
    </row>
    <row r="161" spans="1:10" x14ac:dyDescent="0.3">
      <c r="A161">
        <v>159</v>
      </c>
      <c r="B161">
        <v>3395</v>
      </c>
      <c r="C161" t="b">
        <v>1</v>
      </c>
      <c r="D161">
        <v>8054</v>
      </c>
      <c r="E161">
        <v>8099</v>
      </c>
      <c r="F161">
        <v>220.26666</v>
      </c>
      <c r="G161">
        <v>189.53334000000001</v>
      </c>
      <c r="H161">
        <v>1.1621526</v>
      </c>
      <c r="I161">
        <v>-0.16215259000000001</v>
      </c>
      <c r="J161">
        <v>0.46250205999999999</v>
      </c>
    </row>
    <row r="162" spans="1:10" x14ac:dyDescent="0.3">
      <c r="A162">
        <v>160</v>
      </c>
      <c r="B162">
        <v>3426</v>
      </c>
      <c r="C162" t="b">
        <v>1</v>
      </c>
      <c r="D162">
        <v>8037</v>
      </c>
      <c r="E162">
        <v>8129</v>
      </c>
      <c r="F162">
        <v>219.86667</v>
      </c>
      <c r="G162">
        <v>190.73334</v>
      </c>
      <c r="H162">
        <v>1.1527438000000001</v>
      </c>
      <c r="I162">
        <v>-0.15274378999999999</v>
      </c>
      <c r="J162">
        <v>0.46452346</v>
      </c>
    </row>
    <row r="163" spans="1:10" x14ac:dyDescent="0.3">
      <c r="A163">
        <v>161</v>
      </c>
      <c r="B163">
        <v>3458</v>
      </c>
      <c r="C163" t="b">
        <v>1</v>
      </c>
      <c r="D163">
        <v>8042</v>
      </c>
      <c r="E163">
        <v>8123</v>
      </c>
      <c r="F163">
        <v>218.66667000000001</v>
      </c>
      <c r="G163">
        <v>191.93333000000001</v>
      </c>
      <c r="H163">
        <v>1.1392845</v>
      </c>
      <c r="I163">
        <v>-0.13928449000000001</v>
      </c>
      <c r="J163">
        <v>0.46744599999999997</v>
      </c>
    </row>
    <row r="164" spans="1:10" x14ac:dyDescent="0.3">
      <c r="A164">
        <v>162</v>
      </c>
      <c r="B164">
        <v>3474</v>
      </c>
      <c r="C164" t="b">
        <v>1</v>
      </c>
      <c r="D164">
        <v>8060</v>
      </c>
      <c r="E164">
        <v>8081</v>
      </c>
      <c r="F164">
        <v>217.46665999999999</v>
      </c>
      <c r="G164">
        <v>193.13333</v>
      </c>
      <c r="H164">
        <v>1.1259923999999999</v>
      </c>
      <c r="I164">
        <v>-0.12599239000000001</v>
      </c>
      <c r="J164">
        <v>0.47036860000000003</v>
      </c>
    </row>
    <row r="165" spans="1:10" x14ac:dyDescent="0.3">
      <c r="A165">
        <v>163</v>
      </c>
      <c r="B165">
        <v>3490</v>
      </c>
      <c r="C165" t="b">
        <v>1</v>
      </c>
      <c r="D165">
        <v>8054</v>
      </c>
      <c r="E165">
        <v>8087</v>
      </c>
      <c r="F165">
        <v>216.73334</v>
      </c>
      <c r="G165">
        <v>193.93333000000001</v>
      </c>
      <c r="H165">
        <v>1.1175662</v>
      </c>
      <c r="I165">
        <v>-0.11756619</v>
      </c>
      <c r="J165">
        <v>0.47224023999999998</v>
      </c>
    </row>
    <row r="166" spans="1:10" x14ac:dyDescent="0.3">
      <c r="A166">
        <v>164</v>
      </c>
      <c r="B166">
        <v>3522</v>
      </c>
      <c r="C166" t="b">
        <v>1</v>
      </c>
      <c r="D166">
        <v>8042</v>
      </c>
      <c r="E166">
        <v>8093</v>
      </c>
      <c r="F166">
        <v>215.53334000000001</v>
      </c>
      <c r="G166">
        <v>193.93333000000001</v>
      </c>
      <c r="H166">
        <v>1.1113786000000001</v>
      </c>
      <c r="I166">
        <v>-0.11137851</v>
      </c>
      <c r="J166">
        <v>0.47362422999999998</v>
      </c>
    </row>
    <row r="167" spans="1:10" x14ac:dyDescent="0.3">
      <c r="A167">
        <v>165</v>
      </c>
      <c r="B167">
        <v>3537</v>
      </c>
      <c r="C167" t="b">
        <v>1</v>
      </c>
      <c r="D167">
        <v>8060</v>
      </c>
      <c r="E167">
        <v>8111</v>
      </c>
      <c r="F167">
        <v>214.8</v>
      </c>
      <c r="G167">
        <v>193.93333000000001</v>
      </c>
      <c r="H167">
        <v>1.1075971</v>
      </c>
      <c r="I167">
        <v>-0.10759712</v>
      </c>
      <c r="J167">
        <v>0.47447398000000002</v>
      </c>
    </row>
    <row r="168" spans="1:10" x14ac:dyDescent="0.3">
      <c r="A168">
        <v>166</v>
      </c>
      <c r="B168">
        <v>3553</v>
      </c>
      <c r="C168" t="b">
        <v>1</v>
      </c>
      <c r="D168">
        <v>8065</v>
      </c>
      <c r="E168">
        <v>8093</v>
      </c>
      <c r="F168">
        <v>214.8</v>
      </c>
      <c r="G168">
        <v>193.93333000000001</v>
      </c>
      <c r="H168">
        <v>1.1075971</v>
      </c>
      <c r="I168">
        <v>-0.10759712</v>
      </c>
      <c r="J168">
        <v>0.47447398000000002</v>
      </c>
    </row>
    <row r="169" spans="1:10" x14ac:dyDescent="0.3">
      <c r="A169">
        <v>167</v>
      </c>
      <c r="B169">
        <v>3569</v>
      </c>
      <c r="C169" t="b">
        <v>1</v>
      </c>
      <c r="D169">
        <v>8054</v>
      </c>
      <c r="E169">
        <v>8117</v>
      </c>
      <c r="F169">
        <v>214.4</v>
      </c>
      <c r="G169">
        <v>193.13333</v>
      </c>
      <c r="H169">
        <v>1.1101139</v>
      </c>
      <c r="I169">
        <v>-0.11011389000000001</v>
      </c>
      <c r="J169">
        <v>0.47390807000000001</v>
      </c>
    </row>
    <row r="170" spans="1:10" x14ac:dyDescent="0.3">
      <c r="A170">
        <v>168</v>
      </c>
      <c r="B170">
        <v>3585</v>
      </c>
      <c r="C170" t="b">
        <v>1</v>
      </c>
      <c r="D170">
        <v>8048</v>
      </c>
      <c r="E170">
        <v>8099</v>
      </c>
      <c r="F170">
        <v>214</v>
      </c>
      <c r="G170">
        <v>191.93333000000001</v>
      </c>
      <c r="H170">
        <v>1.1149704</v>
      </c>
      <c r="I170">
        <v>-0.11497047000000001</v>
      </c>
      <c r="J170">
        <v>0.47281983</v>
      </c>
    </row>
    <row r="171" spans="1:10" x14ac:dyDescent="0.3">
      <c r="A171">
        <v>169</v>
      </c>
      <c r="B171">
        <v>3601</v>
      </c>
      <c r="C171" t="b">
        <v>1</v>
      </c>
      <c r="D171">
        <v>8054</v>
      </c>
      <c r="E171">
        <v>8105</v>
      </c>
      <c r="F171">
        <v>213.6</v>
      </c>
      <c r="G171">
        <v>190.73334</v>
      </c>
      <c r="H171">
        <v>1.1198881999999999</v>
      </c>
      <c r="I171">
        <v>-0.11988815999999999</v>
      </c>
      <c r="J171">
        <v>0.471723</v>
      </c>
    </row>
    <row r="172" spans="1:10" x14ac:dyDescent="0.3">
      <c r="A172">
        <v>170</v>
      </c>
      <c r="B172">
        <v>3617</v>
      </c>
      <c r="C172" t="b">
        <v>1</v>
      </c>
      <c r="D172">
        <v>8054</v>
      </c>
      <c r="E172">
        <v>8093</v>
      </c>
      <c r="F172">
        <v>213.2</v>
      </c>
      <c r="G172">
        <v>188.4</v>
      </c>
      <c r="H172">
        <v>1.1316348000000001</v>
      </c>
      <c r="I172">
        <v>-0.13163485</v>
      </c>
      <c r="J172">
        <v>0.46912350000000003</v>
      </c>
    </row>
    <row r="173" spans="1:10" x14ac:dyDescent="0.3">
      <c r="A173">
        <v>171</v>
      </c>
      <c r="B173">
        <v>3633</v>
      </c>
      <c r="C173" t="b">
        <v>1</v>
      </c>
      <c r="D173">
        <v>8071</v>
      </c>
      <c r="E173">
        <v>8105</v>
      </c>
      <c r="F173">
        <v>212.8</v>
      </c>
      <c r="G173">
        <v>187.2</v>
      </c>
      <c r="H173">
        <v>1.1367521</v>
      </c>
      <c r="I173">
        <v>-0.13675217000000001</v>
      </c>
      <c r="J173">
        <v>0.46800000000000003</v>
      </c>
    </row>
    <row r="174" spans="1:10" x14ac:dyDescent="0.3">
      <c r="A174">
        <v>172</v>
      </c>
      <c r="B174">
        <v>3649</v>
      </c>
      <c r="C174" t="b">
        <v>1</v>
      </c>
      <c r="D174">
        <v>8060</v>
      </c>
      <c r="E174">
        <v>8105</v>
      </c>
      <c r="F174">
        <v>212.4</v>
      </c>
      <c r="G174">
        <v>186.4</v>
      </c>
      <c r="H174">
        <v>1.1394850000000001</v>
      </c>
      <c r="I174">
        <v>-0.13948499</v>
      </c>
      <c r="J174">
        <v>0.46740221999999998</v>
      </c>
    </row>
    <row r="175" spans="1:10" x14ac:dyDescent="0.3">
      <c r="A175">
        <v>173</v>
      </c>
      <c r="B175">
        <v>3664</v>
      </c>
      <c r="C175" t="b">
        <v>1</v>
      </c>
      <c r="D175">
        <v>8054</v>
      </c>
      <c r="E175">
        <v>8087</v>
      </c>
      <c r="F175">
        <v>212</v>
      </c>
      <c r="G175">
        <v>185.6</v>
      </c>
      <c r="H175">
        <v>1.1422414000000001</v>
      </c>
      <c r="I175">
        <v>-0.14224133999999999</v>
      </c>
      <c r="J175">
        <v>0.46680080000000002</v>
      </c>
    </row>
    <row r="176" spans="1:10" x14ac:dyDescent="0.3">
      <c r="A176">
        <v>174</v>
      </c>
      <c r="B176">
        <v>3680</v>
      </c>
      <c r="C176" t="b">
        <v>1</v>
      </c>
      <c r="D176">
        <v>8065</v>
      </c>
      <c r="E176">
        <v>8093</v>
      </c>
      <c r="F176">
        <v>212.4</v>
      </c>
      <c r="G176">
        <v>184.8</v>
      </c>
      <c r="H176">
        <v>1.1493506</v>
      </c>
      <c r="I176">
        <v>-0.1493506</v>
      </c>
      <c r="J176">
        <v>0.46525677999999998</v>
      </c>
    </row>
    <row r="177" spans="1:10" x14ac:dyDescent="0.3">
      <c r="A177">
        <v>175</v>
      </c>
      <c r="B177">
        <v>3696</v>
      </c>
      <c r="C177" t="b">
        <v>1</v>
      </c>
      <c r="D177">
        <v>8048</v>
      </c>
      <c r="E177">
        <v>8111</v>
      </c>
      <c r="F177">
        <v>212.8</v>
      </c>
      <c r="G177">
        <v>184.8</v>
      </c>
      <c r="H177">
        <v>1.1515150999999999</v>
      </c>
      <c r="I177">
        <v>-0.15151516000000001</v>
      </c>
      <c r="J177">
        <v>0.46478872999999998</v>
      </c>
    </row>
    <row r="178" spans="1:10" x14ac:dyDescent="0.3">
      <c r="A178">
        <v>176</v>
      </c>
      <c r="B178">
        <v>3727</v>
      </c>
      <c r="C178" t="b">
        <v>1</v>
      </c>
      <c r="D178">
        <v>8060</v>
      </c>
      <c r="E178">
        <v>8111</v>
      </c>
      <c r="F178">
        <v>214</v>
      </c>
      <c r="G178">
        <v>184.8</v>
      </c>
      <c r="H178">
        <v>1.1580086999999999</v>
      </c>
      <c r="I178">
        <v>-0.15800864000000001</v>
      </c>
      <c r="J178">
        <v>0.46339019999999997</v>
      </c>
    </row>
    <row r="179" spans="1:10" x14ac:dyDescent="0.3">
      <c r="A179">
        <v>177</v>
      </c>
      <c r="B179">
        <v>3742</v>
      </c>
      <c r="C179" t="b">
        <v>1</v>
      </c>
      <c r="D179">
        <v>8054</v>
      </c>
      <c r="E179">
        <v>8099</v>
      </c>
      <c r="F179">
        <v>214.8</v>
      </c>
      <c r="G179">
        <v>184.4</v>
      </c>
      <c r="H179">
        <v>1.1648590000000001</v>
      </c>
      <c r="I179">
        <v>-0.16485906</v>
      </c>
      <c r="J179">
        <v>0.4619238</v>
      </c>
    </row>
    <row r="180" spans="1:10" x14ac:dyDescent="0.3">
      <c r="A180">
        <v>178</v>
      </c>
      <c r="B180">
        <v>3758</v>
      </c>
      <c r="C180" t="b">
        <v>1</v>
      </c>
      <c r="D180">
        <v>8060</v>
      </c>
      <c r="E180">
        <v>8093</v>
      </c>
      <c r="F180">
        <v>215.2</v>
      </c>
      <c r="G180">
        <v>184.4</v>
      </c>
      <c r="H180">
        <v>1.1670282000000001</v>
      </c>
      <c r="I180">
        <v>-0.16702822000000001</v>
      </c>
      <c r="J180">
        <v>0.46146147999999998</v>
      </c>
    </row>
    <row r="181" spans="1:10" x14ac:dyDescent="0.3">
      <c r="A181">
        <v>179</v>
      </c>
      <c r="B181">
        <v>3789</v>
      </c>
      <c r="C181" t="b">
        <v>1</v>
      </c>
      <c r="D181">
        <v>8065</v>
      </c>
      <c r="E181">
        <v>8117</v>
      </c>
      <c r="F181">
        <v>216.4</v>
      </c>
      <c r="G181">
        <v>185.6</v>
      </c>
      <c r="H181">
        <v>1.1659482000000001</v>
      </c>
      <c r="I181">
        <v>-0.16594819999999999</v>
      </c>
      <c r="J181">
        <v>0.46169156</v>
      </c>
    </row>
    <row r="182" spans="1:10" x14ac:dyDescent="0.3">
      <c r="A182">
        <v>180</v>
      </c>
      <c r="B182">
        <v>3805</v>
      </c>
      <c r="C182" t="b">
        <v>1</v>
      </c>
      <c r="D182">
        <v>8048</v>
      </c>
      <c r="E182">
        <v>8099</v>
      </c>
      <c r="F182">
        <v>216.8</v>
      </c>
      <c r="G182">
        <v>186</v>
      </c>
      <c r="H182">
        <v>1.1655914000000001</v>
      </c>
      <c r="I182">
        <v>-0.16559141999999999</v>
      </c>
      <c r="J182">
        <v>0.46176763999999998</v>
      </c>
    </row>
    <row r="183" spans="1:10" x14ac:dyDescent="0.3">
      <c r="A183">
        <v>181</v>
      </c>
      <c r="B183">
        <v>3837</v>
      </c>
      <c r="C183" t="b">
        <v>1</v>
      </c>
      <c r="D183">
        <v>8065</v>
      </c>
      <c r="E183">
        <v>8099</v>
      </c>
      <c r="F183">
        <v>216.8</v>
      </c>
      <c r="G183">
        <v>186.4</v>
      </c>
      <c r="H183">
        <v>1.1630902000000001</v>
      </c>
      <c r="I183">
        <v>-0.16309018</v>
      </c>
      <c r="J183">
        <v>0.46230155000000001</v>
      </c>
    </row>
    <row r="184" spans="1:10" x14ac:dyDescent="0.3">
      <c r="A184">
        <v>182</v>
      </c>
      <c r="B184">
        <v>3868</v>
      </c>
      <c r="C184" t="b">
        <v>1</v>
      </c>
      <c r="D184">
        <v>8048</v>
      </c>
      <c r="E184">
        <v>8117</v>
      </c>
      <c r="F184">
        <v>217.2</v>
      </c>
      <c r="G184">
        <v>186.8</v>
      </c>
      <c r="H184">
        <v>1.1627407999999999</v>
      </c>
      <c r="I184">
        <v>-0.16274087000000001</v>
      </c>
      <c r="J184">
        <v>0.46237623999999999</v>
      </c>
    </row>
    <row r="185" spans="1:10" x14ac:dyDescent="0.3">
      <c r="A185">
        <v>183</v>
      </c>
      <c r="B185">
        <v>3884</v>
      </c>
      <c r="C185" t="b">
        <v>1</v>
      </c>
      <c r="D185">
        <v>8060</v>
      </c>
      <c r="E185">
        <v>8105</v>
      </c>
      <c r="F185">
        <v>217.6</v>
      </c>
      <c r="G185">
        <v>187.2</v>
      </c>
      <c r="H185">
        <v>1.1623931999999999</v>
      </c>
      <c r="I185">
        <v>-0.16239321000000001</v>
      </c>
      <c r="J185">
        <v>0.46245059999999999</v>
      </c>
    </row>
    <row r="186" spans="1:10" x14ac:dyDescent="0.3">
      <c r="A186">
        <v>184</v>
      </c>
      <c r="B186">
        <v>3900</v>
      </c>
      <c r="C186" t="b">
        <v>1</v>
      </c>
      <c r="D186">
        <v>8077</v>
      </c>
      <c r="E186">
        <v>8117</v>
      </c>
      <c r="F186">
        <v>218</v>
      </c>
      <c r="G186">
        <v>187.2</v>
      </c>
      <c r="H186">
        <v>1.1645299</v>
      </c>
      <c r="I186">
        <v>-0.16452992999999999</v>
      </c>
      <c r="J186">
        <v>0.46199404999999999</v>
      </c>
    </row>
    <row r="187" spans="1:10" x14ac:dyDescent="0.3">
      <c r="A187">
        <v>185</v>
      </c>
      <c r="B187">
        <v>3916</v>
      </c>
      <c r="C187" t="b">
        <v>1</v>
      </c>
      <c r="D187">
        <v>8071</v>
      </c>
      <c r="E187">
        <v>8093</v>
      </c>
      <c r="F187">
        <v>218.73334</v>
      </c>
      <c r="G187">
        <v>187.6</v>
      </c>
      <c r="H187">
        <v>1.1659558999999999</v>
      </c>
      <c r="I187">
        <v>-0.16595592000000001</v>
      </c>
      <c r="J187">
        <v>0.46168991999999998</v>
      </c>
    </row>
    <row r="188" spans="1:10" x14ac:dyDescent="0.3">
      <c r="A188">
        <v>186</v>
      </c>
      <c r="B188">
        <v>3932</v>
      </c>
      <c r="C188" t="b">
        <v>1</v>
      </c>
      <c r="D188">
        <v>8088</v>
      </c>
      <c r="E188">
        <v>8105</v>
      </c>
      <c r="F188">
        <v>219.86667</v>
      </c>
      <c r="G188">
        <v>187.6</v>
      </c>
      <c r="H188">
        <v>1.1719971</v>
      </c>
      <c r="I188">
        <v>-0.17199713</v>
      </c>
      <c r="J188">
        <v>0.46040576999999999</v>
      </c>
    </row>
    <row r="189" spans="1:10" x14ac:dyDescent="0.3">
      <c r="A189">
        <v>187</v>
      </c>
      <c r="B189">
        <v>3948</v>
      </c>
      <c r="C189" t="b">
        <v>1</v>
      </c>
      <c r="D189">
        <v>8037</v>
      </c>
      <c r="E189">
        <v>8129</v>
      </c>
      <c r="F189">
        <v>221</v>
      </c>
      <c r="G189">
        <v>187.6</v>
      </c>
      <c r="H189">
        <v>1.1780383999999999</v>
      </c>
      <c r="I189">
        <v>-0.17803833999999999</v>
      </c>
      <c r="J189">
        <v>0.45912873999999998</v>
      </c>
    </row>
    <row r="190" spans="1:10" x14ac:dyDescent="0.3">
      <c r="A190">
        <v>188</v>
      </c>
      <c r="B190">
        <v>3979</v>
      </c>
      <c r="C190" t="b">
        <v>1</v>
      </c>
      <c r="D190">
        <v>8071</v>
      </c>
      <c r="E190">
        <v>8081</v>
      </c>
      <c r="F190">
        <v>222.13333</v>
      </c>
      <c r="G190">
        <v>187.6</v>
      </c>
      <c r="H190">
        <v>1.1840795</v>
      </c>
      <c r="I190">
        <v>-0.18407956</v>
      </c>
      <c r="J190">
        <v>0.45785877000000003</v>
      </c>
    </row>
    <row r="191" spans="1:10" x14ac:dyDescent="0.3">
      <c r="A191">
        <v>189</v>
      </c>
      <c r="B191">
        <v>4011</v>
      </c>
      <c r="C191" t="b">
        <v>1</v>
      </c>
      <c r="D191">
        <v>8065</v>
      </c>
      <c r="E191">
        <v>8111</v>
      </c>
      <c r="F191">
        <v>222.86667</v>
      </c>
      <c r="G191">
        <v>188.4</v>
      </c>
      <c r="H191">
        <v>1.1829441999999999</v>
      </c>
      <c r="I191">
        <v>-0.18294413000000001</v>
      </c>
      <c r="J191">
        <v>0.45809692000000002</v>
      </c>
    </row>
    <row r="192" spans="1:10" x14ac:dyDescent="0.3">
      <c r="A192">
        <v>190</v>
      </c>
      <c r="B192">
        <v>4027</v>
      </c>
      <c r="C192" t="b">
        <v>1</v>
      </c>
      <c r="D192">
        <v>8060</v>
      </c>
      <c r="E192">
        <v>8105</v>
      </c>
      <c r="F192">
        <v>223.2</v>
      </c>
      <c r="G192">
        <v>188.4</v>
      </c>
      <c r="H192">
        <v>1.1847133999999999</v>
      </c>
      <c r="I192">
        <v>-0.1847134</v>
      </c>
      <c r="J192">
        <v>0.45772596999999998</v>
      </c>
    </row>
    <row r="193" spans="1:10" x14ac:dyDescent="0.3">
      <c r="A193">
        <v>191</v>
      </c>
      <c r="B193">
        <v>4059</v>
      </c>
      <c r="C193" t="b">
        <v>1</v>
      </c>
      <c r="D193">
        <v>8065</v>
      </c>
      <c r="E193">
        <v>8105</v>
      </c>
      <c r="F193">
        <v>223.53334000000001</v>
      </c>
      <c r="G193">
        <v>188.4</v>
      </c>
      <c r="H193">
        <v>1.1864828000000001</v>
      </c>
      <c r="I193">
        <v>-0.18648274000000001</v>
      </c>
      <c r="J193">
        <v>0.45735553000000001</v>
      </c>
    </row>
    <row r="194" spans="1:10" x14ac:dyDescent="0.3">
      <c r="A194">
        <v>192</v>
      </c>
      <c r="B194">
        <v>4090</v>
      </c>
      <c r="C194" t="b">
        <v>1</v>
      </c>
      <c r="D194">
        <v>8083</v>
      </c>
      <c r="E194">
        <v>8105</v>
      </c>
      <c r="F194">
        <v>224.26666</v>
      </c>
      <c r="G194">
        <v>188.8</v>
      </c>
      <c r="H194">
        <v>1.1878531000000001</v>
      </c>
      <c r="I194">
        <v>-0.18785307000000001</v>
      </c>
      <c r="J194">
        <v>0.45706910000000001</v>
      </c>
    </row>
    <row r="195" spans="1:10" x14ac:dyDescent="0.3">
      <c r="A195">
        <v>193</v>
      </c>
      <c r="B195">
        <v>4105</v>
      </c>
      <c r="C195" t="b">
        <v>1</v>
      </c>
      <c r="D195">
        <v>8065</v>
      </c>
      <c r="E195">
        <v>8099</v>
      </c>
      <c r="F195">
        <v>224.6</v>
      </c>
      <c r="G195">
        <v>189.2</v>
      </c>
      <c r="H195">
        <v>1.1871035999999999</v>
      </c>
      <c r="I195">
        <v>-0.18710363999999999</v>
      </c>
      <c r="J195">
        <v>0.45722570000000001</v>
      </c>
    </row>
    <row r="196" spans="1:10" x14ac:dyDescent="0.3">
      <c r="A196">
        <v>194</v>
      </c>
      <c r="B196">
        <v>4121</v>
      </c>
      <c r="C196" t="b">
        <v>1</v>
      </c>
      <c r="D196">
        <v>8071</v>
      </c>
      <c r="E196">
        <v>8111</v>
      </c>
      <c r="F196">
        <v>224.93333000000001</v>
      </c>
      <c r="G196">
        <v>188.8</v>
      </c>
      <c r="H196">
        <v>1.1913841999999999</v>
      </c>
      <c r="I196">
        <v>-0.19138416999999999</v>
      </c>
      <c r="J196">
        <v>0.45633259999999998</v>
      </c>
    </row>
    <row r="197" spans="1:10" x14ac:dyDescent="0.3">
      <c r="A197">
        <v>195</v>
      </c>
      <c r="B197">
        <v>4137</v>
      </c>
      <c r="C197" t="b">
        <v>1</v>
      </c>
      <c r="D197">
        <v>8071</v>
      </c>
      <c r="E197">
        <v>8117</v>
      </c>
      <c r="F197">
        <v>225.66667000000001</v>
      </c>
      <c r="G197">
        <v>189.2</v>
      </c>
      <c r="H197">
        <v>1.1927414000000001</v>
      </c>
      <c r="I197">
        <v>-0.19274141</v>
      </c>
      <c r="J197">
        <v>0.45605013</v>
      </c>
    </row>
    <row r="198" spans="1:10" x14ac:dyDescent="0.3">
      <c r="A198">
        <v>196</v>
      </c>
      <c r="B198">
        <v>4169</v>
      </c>
      <c r="C198" t="b">
        <v>1</v>
      </c>
      <c r="D198">
        <v>8065</v>
      </c>
      <c r="E198">
        <v>8105</v>
      </c>
      <c r="F198">
        <v>226.4</v>
      </c>
      <c r="G198">
        <v>189.6</v>
      </c>
      <c r="H198">
        <v>1.1940928</v>
      </c>
      <c r="I198">
        <v>-0.19409275000000001</v>
      </c>
      <c r="J198">
        <v>0.45576924000000002</v>
      </c>
    </row>
    <row r="199" spans="1:10" x14ac:dyDescent="0.3">
      <c r="A199">
        <v>197</v>
      </c>
      <c r="B199">
        <v>4200</v>
      </c>
      <c r="C199" t="b">
        <v>1</v>
      </c>
      <c r="D199">
        <v>8042</v>
      </c>
      <c r="E199">
        <v>8093</v>
      </c>
      <c r="F199">
        <v>226.73334</v>
      </c>
      <c r="G199">
        <v>190</v>
      </c>
      <c r="H199">
        <v>1.1933334</v>
      </c>
      <c r="I199">
        <v>-0.19333336000000001</v>
      </c>
      <c r="J199">
        <v>0.45592704000000001</v>
      </c>
    </row>
    <row r="200" spans="1:10" x14ac:dyDescent="0.3">
      <c r="A200">
        <v>198</v>
      </c>
      <c r="B200">
        <v>4233</v>
      </c>
      <c r="C200" t="b">
        <v>1</v>
      </c>
      <c r="D200">
        <v>8054</v>
      </c>
      <c r="E200">
        <v>8081</v>
      </c>
      <c r="F200">
        <v>227.06666999999999</v>
      </c>
      <c r="G200">
        <v>190</v>
      </c>
      <c r="H200">
        <v>1.1950877</v>
      </c>
      <c r="I200">
        <v>-0.19508771999999999</v>
      </c>
      <c r="J200">
        <v>0.45556268</v>
      </c>
    </row>
    <row r="201" spans="1:10" x14ac:dyDescent="0.3">
      <c r="A201">
        <v>199</v>
      </c>
      <c r="B201">
        <v>4265</v>
      </c>
      <c r="C201" t="b">
        <v>1</v>
      </c>
      <c r="D201">
        <v>8065</v>
      </c>
      <c r="E201">
        <v>8111</v>
      </c>
      <c r="F201">
        <v>227.4</v>
      </c>
      <c r="G201">
        <v>190</v>
      </c>
      <c r="H201">
        <v>1.1968421</v>
      </c>
      <c r="I201">
        <v>-0.19684207000000001</v>
      </c>
      <c r="J201">
        <v>0.45519884999999999</v>
      </c>
    </row>
    <row r="202" spans="1:10" x14ac:dyDescent="0.3">
      <c r="A202">
        <v>200</v>
      </c>
      <c r="B202">
        <v>4296</v>
      </c>
      <c r="C202" t="b">
        <v>1</v>
      </c>
      <c r="D202">
        <v>8054</v>
      </c>
      <c r="E202">
        <v>8123</v>
      </c>
      <c r="F202">
        <v>226.66667000000001</v>
      </c>
      <c r="G202">
        <v>190</v>
      </c>
      <c r="H202">
        <v>1.1929824</v>
      </c>
      <c r="I202">
        <v>-0.19298248000000001</v>
      </c>
      <c r="J202">
        <v>0.45599996999999998</v>
      </c>
    </row>
    <row r="203" spans="1:10" x14ac:dyDescent="0.3">
      <c r="A203">
        <v>201</v>
      </c>
      <c r="B203">
        <v>4327</v>
      </c>
      <c r="C203" t="b">
        <v>1</v>
      </c>
      <c r="D203">
        <v>8037</v>
      </c>
      <c r="E203">
        <v>8093</v>
      </c>
      <c r="F203">
        <v>225.53334000000001</v>
      </c>
      <c r="G203">
        <v>189.2</v>
      </c>
      <c r="H203">
        <v>1.1920367000000001</v>
      </c>
      <c r="I203">
        <v>-0.1920367</v>
      </c>
      <c r="J203">
        <v>0.45619675999999998</v>
      </c>
    </row>
    <row r="204" spans="1:10" x14ac:dyDescent="0.3">
      <c r="A204">
        <v>202</v>
      </c>
      <c r="B204">
        <v>4359</v>
      </c>
      <c r="C204" t="b">
        <v>1</v>
      </c>
      <c r="D204">
        <v>8065</v>
      </c>
      <c r="E204">
        <v>8129</v>
      </c>
      <c r="F204">
        <v>224.4</v>
      </c>
      <c r="G204">
        <v>189.6</v>
      </c>
      <c r="H204">
        <v>1.1835443000000001</v>
      </c>
      <c r="I204">
        <v>-0.18354423</v>
      </c>
      <c r="J204">
        <v>0.45797104</v>
      </c>
    </row>
    <row r="205" spans="1:10" x14ac:dyDescent="0.3">
      <c r="A205">
        <v>203</v>
      </c>
      <c r="B205">
        <v>4391</v>
      </c>
      <c r="C205" t="b">
        <v>1</v>
      </c>
      <c r="D205">
        <v>8048</v>
      </c>
      <c r="E205">
        <v>8117</v>
      </c>
      <c r="F205">
        <v>223.26666</v>
      </c>
      <c r="G205">
        <v>190.4</v>
      </c>
      <c r="H205">
        <v>1.1726190999999999</v>
      </c>
      <c r="I205">
        <v>-0.17261905999999999</v>
      </c>
      <c r="J205">
        <v>0.46027398000000003</v>
      </c>
    </row>
    <row r="206" spans="1:10" x14ac:dyDescent="0.3">
      <c r="A206">
        <v>204</v>
      </c>
      <c r="B206">
        <v>4423</v>
      </c>
      <c r="C206" t="b">
        <v>1</v>
      </c>
      <c r="D206">
        <v>8065</v>
      </c>
      <c r="E206">
        <v>8111</v>
      </c>
      <c r="F206">
        <v>222.13333</v>
      </c>
      <c r="G206">
        <v>191.2</v>
      </c>
      <c r="H206">
        <v>1.1617852</v>
      </c>
      <c r="I206">
        <v>-0.16178523</v>
      </c>
      <c r="J206">
        <v>0.46258064999999998</v>
      </c>
    </row>
    <row r="207" spans="1:10" x14ac:dyDescent="0.3">
      <c r="A207">
        <v>205</v>
      </c>
      <c r="B207">
        <v>4439</v>
      </c>
      <c r="C207" t="b">
        <v>1</v>
      </c>
      <c r="D207">
        <v>8065</v>
      </c>
      <c r="E207">
        <v>8105</v>
      </c>
      <c r="F207">
        <v>222.13333</v>
      </c>
      <c r="G207">
        <v>191.6</v>
      </c>
      <c r="H207">
        <v>1.1593597</v>
      </c>
      <c r="I207">
        <v>-0.15935972000000001</v>
      </c>
      <c r="J207">
        <v>0.46310022000000001</v>
      </c>
    </row>
    <row r="208" spans="1:10" x14ac:dyDescent="0.3">
      <c r="A208">
        <v>206</v>
      </c>
      <c r="B208">
        <v>4471</v>
      </c>
      <c r="C208" t="b">
        <v>1</v>
      </c>
      <c r="D208">
        <v>8077</v>
      </c>
      <c r="E208">
        <v>8140</v>
      </c>
      <c r="F208">
        <v>222.13333</v>
      </c>
      <c r="G208">
        <v>192.4</v>
      </c>
      <c r="H208">
        <v>1.1545392000000001</v>
      </c>
      <c r="I208">
        <v>-0.15453918</v>
      </c>
      <c r="J208">
        <v>0.46413636000000003</v>
      </c>
    </row>
    <row r="209" spans="1:10" x14ac:dyDescent="0.3">
      <c r="A209">
        <v>207</v>
      </c>
      <c r="B209">
        <v>4486</v>
      </c>
      <c r="C209" t="b">
        <v>1</v>
      </c>
      <c r="D209">
        <v>8048</v>
      </c>
      <c r="E209">
        <v>8099</v>
      </c>
      <c r="F209">
        <v>222.13333</v>
      </c>
      <c r="G209">
        <v>192.8</v>
      </c>
      <c r="H209">
        <v>1.1521437999999999</v>
      </c>
      <c r="I209">
        <v>-0.15214382000000001</v>
      </c>
      <c r="J209">
        <v>0.46465296</v>
      </c>
    </row>
    <row r="210" spans="1:10" x14ac:dyDescent="0.3">
      <c r="A210">
        <v>208</v>
      </c>
      <c r="B210">
        <v>4518</v>
      </c>
      <c r="C210" t="b">
        <v>1</v>
      </c>
      <c r="D210">
        <v>8071</v>
      </c>
      <c r="E210">
        <v>8093</v>
      </c>
      <c r="F210">
        <v>222.13333</v>
      </c>
      <c r="G210">
        <v>192.8</v>
      </c>
      <c r="H210">
        <v>1.1521437999999999</v>
      </c>
      <c r="I210">
        <v>-0.15214382000000001</v>
      </c>
      <c r="J210">
        <v>0.46465296</v>
      </c>
    </row>
    <row r="211" spans="1:10" x14ac:dyDescent="0.3">
      <c r="A211">
        <v>209</v>
      </c>
      <c r="B211">
        <v>4550</v>
      </c>
      <c r="C211" t="b">
        <v>1</v>
      </c>
      <c r="D211">
        <v>8071</v>
      </c>
      <c r="E211">
        <v>8111</v>
      </c>
      <c r="F211">
        <v>222.53334000000001</v>
      </c>
      <c r="G211">
        <v>192.8</v>
      </c>
      <c r="H211">
        <v>1.1542186000000001</v>
      </c>
      <c r="I211">
        <v>-0.15421855000000001</v>
      </c>
      <c r="J211">
        <v>0.46420544000000002</v>
      </c>
    </row>
    <row r="212" spans="1:10" x14ac:dyDescent="0.3">
      <c r="A212">
        <v>210</v>
      </c>
      <c r="B212">
        <v>4581</v>
      </c>
      <c r="C212" t="b">
        <v>1</v>
      </c>
      <c r="D212">
        <v>8054</v>
      </c>
      <c r="E212">
        <v>8093</v>
      </c>
      <c r="F212">
        <v>222.53334000000001</v>
      </c>
      <c r="G212">
        <v>192.4</v>
      </c>
      <c r="H212">
        <v>1.1566182</v>
      </c>
      <c r="I212">
        <v>-0.15661823999999999</v>
      </c>
      <c r="J212">
        <v>0.46368890000000001</v>
      </c>
    </row>
    <row r="213" spans="1:10" x14ac:dyDescent="0.3">
      <c r="A213">
        <v>211</v>
      </c>
      <c r="B213">
        <v>4613</v>
      </c>
      <c r="C213" t="b">
        <v>1</v>
      </c>
      <c r="D213">
        <v>8060</v>
      </c>
      <c r="E213">
        <v>8117</v>
      </c>
      <c r="F213">
        <v>221.8</v>
      </c>
      <c r="G213">
        <v>192</v>
      </c>
      <c r="H213">
        <v>1.1552083</v>
      </c>
      <c r="I213">
        <v>-0.15520834999999999</v>
      </c>
      <c r="J213">
        <v>0.46399226999999998</v>
      </c>
    </row>
    <row r="214" spans="1:10" x14ac:dyDescent="0.3">
      <c r="A214">
        <v>212</v>
      </c>
      <c r="B214">
        <v>4646</v>
      </c>
      <c r="C214" t="b">
        <v>1</v>
      </c>
      <c r="D214">
        <v>8054</v>
      </c>
      <c r="E214">
        <v>8111</v>
      </c>
      <c r="F214">
        <v>221.46665999999999</v>
      </c>
      <c r="G214">
        <v>192.4</v>
      </c>
      <c r="H214">
        <v>1.1510742</v>
      </c>
      <c r="I214">
        <v>-0.15107416000000001</v>
      </c>
      <c r="J214">
        <v>0.46488404</v>
      </c>
    </row>
    <row r="215" spans="1:10" x14ac:dyDescent="0.3">
      <c r="A215">
        <v>213</v>
      </c>
      <c r="B215">
        <v>4664</v>
      </c>
      <c r="C215" t="b">
        <v>1</v>
      </c>
      <c r="D215">
        <v>8065</v>
      </c>
      <c r="E215">
        <v>8093</v>
      </c>
      <c r="F215">
        <v>221.13333</v>
      </c>
      <c r="G215">
        <v>192.8</v>
      </c>
      <c r="H215">
        <v>1.146957</v>
      </c>
      <c r="I215">
        <v>-0.14695710000000001</v>
      </c>
      <c r="J215">
        <v>0.46577550000000001</v>
      </c>
    </row>
    <row r="216" spans="1:10" x14ac:dyDescent="0.3">
      <c r="A216">
        <v>214</v>
      </c>
      <c r="B216">
        <v>4680</v>
      </c>
      <c r="C216" t="b">
        <v>1</v>
      </c>
      <c r="D216">
        <v>8048</v>
      </c>
      <c r="E216">
        <v>8081</v>
      </c>
      <c r="F216">
        <v>220.4</v>
      </c>
      <c r="G216">
        <v>192</v>
      </c>
      <c r="H216">
        <v>1.1479166999999999</v>
      </c>
      <c r="I216">
        <v>-0.14791662999999999</v>
      </c>
      <c r="J216">
        <v>0.46556740000000002</v>
      </c>
    </row>
    <row r="217" spans="1:10" x14ac:dyDescent="0.3">
      <c r="A217">
        <v>215</v>
      </c>
      <c r="B217">
        <v>4713</v>
      </c>
      <c r="C217" t="b">
        <v>1</v>
      </c>
      <c r="D217">
        <v>8071</v>
      </c>
      <c r="E217">
        <v>8093</v>
      </c>
      <c r="F217">
        <v>220.8</v>
      </c>
      <c r="G217">
        <v>191.2</v>
      </c>
      <c r="H217">
        <v>1.1548117</v>
      </c>
      <c r="I217">
        <v>-0.15481175</v>
      </c>
      <c r="J217">
        <v>0.46407765000000001</v>
      </c>
    </row>
    <row r="218" spans="1:10" x14ac:dyDescent="0.3">
      <c r="A218">
        <v>216</v>
      </c>
      <c r="B218">
        <v>4728</v>
      </c>
      <c r="C218" t="b">
        <v>1</v>
      </c>
      <c r="D218">
        <v>8077</v>
      </c>
      <c r="E218">
        <v>8093</v>
      </c>
      <c r="F218">
        <v>221.53334000000001</v>
      </c>
      <c r="G218">
        <v>191.2</v>
      </c>
      <c r="H218">
        <v>1.1586472000000001</v>
      </c>
      <c r="I218">
        <v>-0.15864719999999999</v>
      </c>
      <c r="J218">
        <v>0.46325309999999997</v>
      </c>
    </row>
    <row r="219" spans="1:10" x14ac:dyDescent="0.3">
      <c r="A219">
        <v>217</v>
      </c>
      <c r="B219">
        <v>4760</v>
      </c>
      <c r="C219" t="b">
        <v>1</v>
      </c>
      <c r="D219">
        <v>8060</v>
      </c>
      <c r="E219">
        <v>8111</v>
      </c>
      <c r="F219">
        <v>222.26666</v>
      </c>
      <c r="G219">
        <v>190</v>
      </c>
      <c r="H219">
        <v>1.1698245</v>
      </c>
      <c r="I219">
        <v>-0.16982454</v>
      </c>
      <c r="J219">
        <v>0.46086674999999999</v>
      </c>
    </row>
    <row r="220" spans="1:10" x14ac:dyDescent="0.3">
      <c r="A220">
        <v>218</v>
      </c>
      <c r="B220">
        <v>4792</v>
      </c>
      <c r="C220" t="b">
        <v>1</v>
      </c>
      <c r="D220">
        <v>8071</v>
      </c>
      <c r="E220">
        <v>8111</v>
      </c>
      <c r="F220">
        <v>223.4</v>
      </c>
      <c r="G220">
        <v>188.4</v>
      </c>
      <c r="H220">
        <v>1.1857749</v>
      </c>
      <c r="I220">
        <v>-0.18577494999999999</v>
      </c>
      <c r="J220">
        <v>0.45750364999999998</v>
      </c>
    </row>
    <row r="221" spans="1:10" x14ac:dyDescent="0.3">
      <c r="A221">
        <v>219</v>
      </c>
      <c r="B221">
        <v>4824</v>
      </c>
      <c r="C221" t="b">
        <v>1</v>
      </c>
      <c r="D221">
        <v>8065</v>
      </c>
      <c r="E221">
        <v>8093</v>
      </c>
      <c r="F221">
        <v>224.53334000000001</v>
      </c>
      <c r="G221">
        <v>186.8</v>
      </c>
      <c r="H221">
        <v>1.2019986</v>
      </c>
      <c r="I221">
        <v>-0.20199859000000001</v>
      </c>
      <c r="J221">
        <v>0.45413288000000002</v>
      </c>
    </row>
    <row r="222" spans="1:10" x14ac:dyDescent="0.3">
      <c r="A222">
        <v>220</v>
      </c>
      <c r="B222">
        <v>4839</v>
      </c>
      <c r="C222" t="b">
        <v>1</v>
      </c>
      <c r="D222">
        <v>8065</v>
      </c>
      <c r="E222">
        <v>8117</v>
      </c>
      <c r="F222">
        <v>224.53334000000001</v>
      </c>
      <c r="G222">
        <v>186.8</v>
      </c>
      <c r="H222">
        <v>1.2019986</v>
      </c>
      <c r="I222">
        <v>-0.20199859000000001</v>
      </c>
      <c r="J222">
        <v>0.45413288000000002</v>
      </c>
    </row>
    <row r="223" spans="1:10" x14ac:dyDescent="0.3">
      <c r="A223">
        <v>221</v>
      </c>
      <c r="B223">
        <v>4871</v>
      </c>
      <c r="C223" t="b">
        <v>1</v>
      </c>
      <c r="D223">
        <v>8071</v>
      </c>
      <c r="E223">
        <v>8105</v>
      </c>
      <c r="F223">
        <v>224.53334000000001</v>
      </c>
      <c r="G223">
        <v>186.4</v>
      </c>
      <c r="H223">
        <v>1.2045779999999999</v>
      </c>
      <c r="I223">
        <v>-0.20457803999999999</v>
      </c>
      <c r="J223">
        <v>0.45360154000000003</v>
      </c>
    </row>
    <row r="224" spans="1:10" x14ac:dyDescent="0.3">
      <c r="A224">
        <v>222</v>
      </c>
      <c r="B224">
        <v>4903</v>
      </c>
      <c r="C224" t="b">
        <v>1</v>
      </c>
      <c r="D224">
        <v>8071</v>
      </c>
      <c r="E224">
        <v>8099</v>
      </c>
      <c r="F224">
        <v>224.93333000000001</v>
      </c>
      <c r="G224">
        <v>186</v>
      </c>
      <c r="H224">
        <v>1.209319</v>
      </c>
      <c r="I224">
        <v>-0.20931900000000001</v>
      </c>
      <c r="J224">
        <v>0.45262814000000001</v>
      </c>
    </row>
    <row r="225" spans="1:10" x14ac:dyDescent="0.3">
      <c r="A225">
        <v>223</v>
      </c>
      <c r="B225">
        <v>4934</v>
      </c>
      <c r="C225" t="b">
        <v>1</v>
      </c>
      <c r="D225">
        <v>8065</v>
      </c>
      <c r="E225">
        <v>8117</v>
      </c>
      <c r="F225">
        <v>224.93333000000001</v>
      </c>
      <c r="G225">
        <v>186</v>
      </c>
      <c r="H225">
        <v>1.209319</v>
      </c>
      <c r="I225">
        <v>-0.20931900000000001</v>
      </c>
      <c r="J225">
        <v>0.45262814000000001</v>
      </c>
    </row>
    <row r="226" spans="1:10" x14ac:dyDescent="0.3">
      <c r="A226">
        <v>224</v>
      </c>
      <c r="B226">
        <v>4950</v>
      </c>
      <c r="C226" t="b">
        <v>1</v>
      </c>
      <c r="D226">
        <v>8037</v>
      </c>
      <c r="E226">
        <v>8105</v>
      </c>
      <c r="F226">
        <v>224.53334000000001</v>
      </c>
      <c r="G226">
        <v>186</v>
      </c>
      <c r="H226">
        <v>1.2071685000000001</v>
      </c>
      <c r="I226">
        <v>-0.20716849000000001</v>
      </c>
      <c r="J226">
        <v>0.45306918000000002</v>
      </c>
    </row>
    <row r="227" spans="1:10" x14ac:dyDescent="0.3">
      <c r="A227">
        <v>225</v>
      </c>
      <c r="B227">
        <v>4966</v>
      </c>
      <c r="C227" t="b">
        <v>1</v>
      </c>
      <c r="D227">
        <v>8030</v>
      </c>
      <c r="E227">
        <v>8105</v>
      </c>
      <c r="F227">
        <v>224.13333</v>
      </c>
      <c r="G227">
        <v>186.4</v>
      </c>
      <c r="H227">
        <v>1.2024319999999999</v>
      </c>
      <c r="I227">
        <v>-0.20243207999999999</v>
      </c>
      <c r="J227">
        <v>0.45404349999999999</v>
      </c>
    </row>
    <row r="228" spans="1:10" x14ac:dyDescent="0.3">
      <c r="A228">
        <v>226</v>
      </c>
      <c r="B228">
        <v>4982</v>
      </c>
      <c r="C228" t="b">
        <v>1</v>
      </c>
      <c r="D228">
        <v>8065</v>
      </c>
      <c r="E228">
        <v>8105</v>
      </c>
      <c r="F228">
        <v>224.46665999999999</v>
      </c>
      <c r="G228">
        <v>186.8</v>
      </c>
      <c r="H228">
        <v>1.2016416999999999</v>
      </c>
      <c r="I228">
        <v>-0.20164162999999999</v>
      </c>
      <c r="J228">
        <v>0.45420653</v>
      </c>
    </row>
    <row r="229" spans="1:10" x14ac:dyDescent="0.3">
      <c r="A229">
        <v>227</v>
      </c>
      <c r="B229">
        <v>4998</v>
      </c>
      <c r="C229" t="b">
        <v>1</v>
      </c>
      <c r="D229">
        <v>8054</v>
      </c>
      <c r="E229">
        <v>8105</v>
      </c>
      <c r="F229">
        <v>224.06666999999999</v>
      </c>
      <c r="G229">
        <v>186.4</v>
      </c>
      <c r="H229">
        <v>1.2020744000000001</v>
      </c>
      <c r="I229">
        <v>-0.20207442</v>
      </c>
      <c r="J229">
        <v>0.45411723999999998</v>
      </c>
    </row>
    <row r="230" spans="1:10" x14ac:dyDescent="0.3">
      <c r="A230">
        <v>228</v>
      </c>
      <c r="B230">
        <v>5030</v>
      </c>
      <c r="C230" t="b">
        <v>1</v>
      </c>
      <c r="D230">
        <v>8077</v>
      </c>
      <c r="E230">
        <v>8117</v>
      </c>
      <c r="F230">
        <v>223.66667000000001</v>
      </c>
      <c r="G230">
        <v>186</v>
      </c>
      <c r="H230">
        <v>1.2025090000000001</v>
      </c>
      <c r="I230">
        <v>-0.20250899</v>
      </c>
      <c r="J230">
        <v>0.45402765</v>
      </c>
    </row>
    <row r="231" spans="1:10" x14ac:dyDescent="0.3">
      <c r="A231">
        <v>229</v>
      </c>
      <c r="B231">
        <v>5061</v>
      </c>
      <c r="C231" t="b">
        <v>1</v>
      </c>
      <c r="D231">
        <v>8060</v>
      </c>
      <c r="E231">
        <v>8093</v>
      </c>
      <c r="F231">
        <v>224.06666999999999</v>
      </c>
      <c r="G231">
        <v>186.8</v>
      </c>
      <c r="H231">
        <v>1.1995003</v>
      </c>
      <c r="I231">
        <v>-0.19950034</v>
      </c>
      <c r="J231">
        <v>0.45464870000000002</v>
      </c>
    </row>
    <row r="232" spans="1:10" x14ac:dyDescent="0.3">
      <c r="A232">
        <v>230</v>
      </c>
      <c r="B232">
        <v>5093</v>
      </c>
      <c r="C232" t="b">
        <v>1</v>
      </c>
      <c r="D232">
        <v>8054</v>
      </c>
      <c r="E232">
        <v>8099</v>
      </c>
      <c r="F232">
        <v>224.06666999999999</v>
      </c>
      <c r="G232">
        <v>187.6</v>
      </c>
      <c r="H232">
        <v>1.1943851999999999</v>
      </c>
      <c r="I232">
        <v>-0.19438517</v>
      </c>
      <c r="J232">
        <v>0.45570850000000002</v>
      </c>
    </row>
    <row r="233" spans="1:10" x14ac:dyDescent="0.3">
      <c r="A233">
        <v>231</v>
      </c>
      <c r="B233">
        <v>5125</v>
      </c>
      <c r="C233" t="b">
        <v>1</v>
      </c>
      <c r="D233">
        <v>8065</v>
      </c>
      <c r="E233">
        <v>8099</v>
      </c>
      <c r="F233">
        <v>223.73334</v>
      </c>
      <c r="G233">
        <v>188</v>
      </c>
      <c r="H233">
        <v>1.1900710000000001</v>
      </c>
      <c r="I233">
        <v>-0.19007093999999999</v>
      </c>
      <c r="J233">
        <v>0.45660620000000002</v>
      </c>
    </row>
    <row r="234" spans="1:10" x14ac:dyDescent="0.3">
      <c r="A234">
        <v>232</v>
      </c>
      <c r="B234">
        <v>5157</v>
      </c>
      <c r="C234" t="b">
        <v>1</v>
      </c>
      <c r="D234">
        <v>8042</v>
      </c>
      <c r="E234">
        <v>8111</v>
      </c>
      <c r="F234">
        <v>223.4</v>
      </c>
      <c r="G234">
        <v>188.4</v>
      </c>
      <c r="H234">
        <v>1.1857749</v>
      </c>
      <c r="I234">
        <v>-0.18577494999999999</v>
      </c>
      <c r="J234">
        <v>0.45750364999999998</v>
      </c>
    </row>
    <row r="235" spans="1:10" x14ac:dyDescent="0.3">
      <c r="A235">
        <v>233</v>
      </c>
      <c r="B235">
        <v>5189</v>
      </c>
      <c r="C235" t="b">
        <v>1</v>
      </c>
      <c r="D235">
        <v>8048</v>
      </c>
      <c r="E235">
        <v>8111</v>
      </c>
      <c r="F235">
        <v>222.26666</v>
      </c>
      <c r="G235">
        <v>188.8</v>
      </c>
      <c r="H235">
        <v>1.1772598000000001</v>
      </c>
      <c r="I235">
        <v>-0.17725985</v>
      </c>
      <c r="J235">
        <v>0.45929291999999999</v>
      </c>
    </row>
    <row r="236" spans="1:10" x14ac:dyDescent="0.3">
      <c r="A236">
        <v>234</v>
      </c>
      <c r="B236">
        <v>5220</v>
      </c>
      <c r="C236" t="b">
        <v>1</v>
      </c>
      <c r="D236">
        <v>8065</v>
      </c>
      <c r="E236">
        <v>8105</v>
      </c>
      <c r="F236">
        <v>221.13333</v>
      </c>
      <c r="G236">
        <v>189.6</v>
      </c>
      <c r="H236">
        <v>1.166315</v>
      </c>
      <c r="I236">
        <v>-0.16631499999999999</v>
      </c>
      <c r="J236">
        <v>0.46161340000000001</v>
      </c>
    </row>
    <row r="237" spans="1:10" x14ac:dyDescent="0.3">
      <c r="A237">
        <v>235</v>
      </c>
      <c r="B237">
        <v>5252</v>
      </c>
      <c r="C237" t="b">
        <v>1</v>
      </c>
      <c r="D237">
        <v>8065</v>
      </c>
      <c r="E237">
        <v>8087</v>
      </c>
      <c r="F237">
        <v>221.13333</v>
      </c>
      <c r="G237">
        <v>189.2</v>
      </c>
      <c r="H237">
        <v>1.1687808</v>
      </c>
      <c r="I237">
        <v>-0.16878082999999999</v>
      </c>
      <c r="J237">
        <v>0.46108856999999998</v>
      </c>
    </row>
    <row r="238" spans="1:10" x14ac:dyDescent="0.3">
      <c r="A238">
        <v>236</v>
      </c>
      <c r="B238">
        <v>5284</v>
      </c>
      <c r="C238" t="b">
        <v>1</v>
      </c>
      <c r="D238">
        <v>8054</v>
      </c>
      <c r="E238">
        <v>8081</v>
      </c>
      <c r="F238">
        <v>220.4</v>
      </c>
      <c r="G238">
        <v>188.8</v>
      </c>
      <c r="H238">
        <v>1.1673728000000001</v>
      </c>
      <c r="I238">
        <v>-0.16737282000000001</v>
      </c>
      <c r="J238">
        <v>0.46138807999999998</v>
      </c>
    </row>
    <row r="239" spans="1:10" x14ac:dyDescent="0.3">
      <c r="A239">
        <v>237</v>
      </c>
      <c r="B239">
        <v>5300</v>
      </c>
      <c r="C239" t="b">
        <v>1</v>
      </c>
      <c r="D239">
        <v>8065</v>
      </c>
      <c r="E239">
        <v>8093</v>
      </c>
      <c r="F239">
        <v>220</v>
      </c>
      <c r="G239">
        <v>188</v>
      </c>
      <c r="H239">
        <v>1.1702127</v>
      </c>
      <c r="I239">
        <v>-0.17021275999999999</v>
      </c>
      <c r="J239">
        <v>0.46078432000000002</v>
      </c>
    </row>
    <row r="240" spans="1:10" x14ac:dyDescent="0.3">
      <c r="A240">
        <v>238</v>
      </c>
      <c r="B240">
        <v>5316</v>
      </c>
      <c r="C240" t="b">
        <v>1</v>
      </c>
      <c r="D240">
        <v>8065</v>
      </c>
      <c r="E240">
        <v>8093</v>
      </c>
      <c r="F240">
        <v>220</v>
      </c>
      <c r="G240">
        <v>187.2</v>
      </c>
      <c r="H240">
        <v>1.1752137</v>
      </c>
      <c r="I240">
        <v>-0.1752137</v>
      </c>
      <c r="J240">
        <v>0.45972492999999998</v>
      </c>
    </row>
    <row r="241" spans="1:10" x14ac:dyDescent="0.3">
      <c r="A241">
        <v>239</v>
      </c>
      <c r="B241">
        <v>5347</v>
      </c>
      <c r="C241" t="b">
        <v>1</v>
      </c>
      <c r="D241">
        <v>8065</v>
      </c>
      <c r="E241">
        <v>8134</v>
      </c>
      <c r="F241">
        <v>220</v>
      </c>
      <c r="G241">
        <v>186.4</v>
      </c>
      <c r="H241">
        <v>1.1802576</v>
      </c>
      <c r="I241">
        <v>-0.18025753999999999</v>
      </c>
      <c r="J241">
        <v>0.4586614</v>
      </c>
    </row>
    <row r="242" spans="1:10" x14ac:dyDescent="0.3">
      <c r="A242">
        <v>240</v>
      </c>
      <c r="B242">
        <v>5379</v>
      </c>
      <c r="C242" t="b">
        <v>1</v>
      </c>
      <c r="D242">
        <v>8060</v>
      </c>
      <c r="E242">
        <v>8099</v>
      </c>
      <c r="F242">
        <v>220</v>
      </c>
      <c r="G242">
        <v>185.6</v>
      </c>
      <c r="H242">
        <v>1.1853448</v>
      </c>
      <c r="I242">
        <v>-0.18534479000000001</v>
      </c>
      <c r="J242">
        <v>0.45759369999999999</v>
      </c>
    </row>
    <row r="243" spans="1:10" x14ac:dyDescent="0.3">
      <c r="A243">
        <v>241</v>
      </c>
      <c r="B243">
        <v>5395</v>
      </c>
      <c r="C243" t="b">
        <v>1</v>
      </c>
      <c r="D243">
        <v>8065</v>
      </c>
      <c r="E243">
        <v>8105</v>
      </c>
      <c r="F243">
        <v>220</v>
      </c>
      <c r="G243">
        <v>185.2</v>
      </c>
      <c r="H243">
        <v>1.187905</v>
      </c>
      <c r="I243">
        <v>-0.18790498</v>
      </c>
      <c r="J243">
        <v>0.45705822000000002</v>
      </c>
    </row>
    <row r="244" spans="1:10" x14ac:dyDescent="0.3">
      <c r="A244">
        <v>242</v>
      </c>
      <c r="B244">
        <v>5411</v>
      </c>
      <c r="C244" t="b">
        <v>1</v>
      </c>
      <c r="D244">
        <v>8077</v>
      </c>
      <c r="E244">
        <v>8087</v>
      </c>
      <c r="F244">
        <v>220.73334</v>
      </c>
      <c r="G244">
        <v>184.8</v>
      </c>
      <c r="H244">
        <v>1.1944444000000001</v>
      </c>
      <c r="I244">
        <v>-0.19444444999999999</v>
      </c>
      <c r="J244">
        <v>0.45569622999999998</v>
      </c>
    </row>
    <row r="245" spans="1:10" x14ac:dyDescent="0.3">
      <c r="A245">
        <v>243</v>
      </c>
      <c r="B245">
        <v>5441</v>
      </c>
      <c r="C245" t="b">
        <v>1</v>
      </c>
      <c r="D245">
        <v>8048</v>
      </c>
      <c r="E245">
        <v>8087</v>
      </c>
      <c r="F245">
        <v>221.46665999999999</v>
      </c>
      <c r="G245">
        <v>184.4</v>
      </c>
      <c r="H245">
        <v>1.2010122999999999</v>
      </c>
      <c r="I245">
        <v>-0.2010123</v>
      </c>
      <c r="J245">
        <v>0.45433639999999997</v>
      </c>
    </row>
    <row r="246" spans="1:10" x14ac:dyDescent="0.3">
      <c r="A246">
        <v>244</v>
      </c>
      <c r="B246">
        <v>5473</v>
      </c>
      <c r="C246" t="b">
        <v>1</v>
      </c>
      <c r="D246">
        <v>8060</v>
      </c>
      <c r="E246">
        <v>8123</v>
      </c>
      <c r="F246">
        <v>221.46665999999999</v>
      </c>
      <c r="G246">
        <v>184</v>
      </c>
      <c r="H246">
        <v>1.2036232</v>
      </c>
      <c r="I246">
        <v>-0.20362315</v>
      </c>
      <c r="J246">
        <v>0.45379809999999998</v>
      </c>
    </row>
    <row r="247" spans="1:10" x14ac:dyDescent="0.3">
      <c r="A247">
        <v>245</v>
      </c>
      <c r="B247">
        <v>5489</v>
      </c>
      <c r="C247" t="b">
        <v>1</v>
      </c>
      <c r="D247">
        <v>8060</v>
      </c>
      <c r="E247">
        <v>8093</v>
      </c>
      <c r="F247">
        <v>221.46665999999999</v>
      </c>
      <c r="G247">
        <v>183.2</v>
      </c>
      <c r="H247">
        <v>1.2088791000000001</v>
      </c>
      <c r="I247">
        <v>-0.20887917</v>
      </c>
      <c r="J247">
        <v>0.45271830000000002</v>
      </c>
    </row>
    <row r="248" spans="1:10" x14ac:dyDescent="0.3">
      <c r="A248">
        <v>246</v>
      </c>
      <c r="B248">
        <v>5521</v>
      </c>
      <c r="C248" t="b">
        <v>1</v>
      </c>
      <c r="D248">
        <v>8071</v>
      </c>
      <c r="E248">
        <v>8105</v>
      </c>
      <c r="F248">
        <v>221.46665999999999</v>
      </c>
      <c r="G248">
        <v>182.8</v>
      </c>
      <c r="H248">
        <v>1.2115244000000001</v>
      </c>
      <c r="I248">
        <v>-0.21152438000000001</v>
      </c>
      <c r="J248">
        <v>0.45217678</v>
      </c>
    </row>
    <row r="249" spans="1:10" x14ac:dyDescent="0.3">
      <c r="A249">
        <v>247</v>
      </c>
      <c r="B249">
        <v>5554</v>
      </c>
      <c r="C249" t="b">
        <v>1</v>
      </c>
      <c r="D249">
        <v>8048</v>
      </c>
      <c r="E249">
        <v>8087</v>
      </c>
      <c r="F249">
        <v>221.46665999999999</v>
      </c>
      <c r="G249">
        <v>182.4</v>
      </c>
      <c r="H249">
        <v>1.2141812999999999</v>
      </c>
      <c r="I249">
        <v>-0.21418129</v>
      </c>
      <c r="J249">
        <v>0.45163423000000003</v>
      </c>
    </row>
    <row r="250" spans="1:10" x14ac:dyDescent="0.3">
      <c r="A250">
        <v>248</v>
      </c>
      <c r="B250">
        <v>5569</v>
      </c>
      <c r="C250" t="b">
        <v>1</v>
      </c>
      <c r="D250">
        <v>8054</v>
      </c>
      <c r="E250">
        <v>8093</v>
      </c>
      <c r="F250">
        <v>221.86667</v>
      </c>
      <c r="G250">
        <v>182</v>
      </c>
      <c r="H250">
        <v>1.2190477</v>
      </c>
      <c r="I250">
        <v>-0.21904763999999999</v>
      </c>
      <c r="J250">
        <v>0.45064377999999999</v>
      </c>
    </row>
    <row r="251" spans="1:10" x14ac:dyDescent="0.3">
      <c r="A251">
        <v>249</v>
      </c>
      <c r="B251">
        <v>5602</v>
      </c>
      <c r="C251" t="b">
        <v>1</v>
      </c>
      <c r="D251">
        <v>8071</v>
      </c>
      <c r="E251">
        <v>8093</v>
      </c>
      <c r="F251">
        <v>222.26666</v>
      </c>
      <c r="G251">
        <v>181.2</v>
      </c>
      <c r="H251">
        <v>1.2266372000000001</v>
      </c>
      <c r="I251">
        <v>-0.22663723</v>
      </c>
      <c r="J251">
        <v>0.4491077</v>
      </c>
    </row>
    <row r="252" spans="1:10" x14ac:dyDescent="0.3">
      <c r="A252">
        <v>250</v>
      </c>
      <c r="B252">
        <v>5633</v>
      </c>
      <c r="C252" t="b">
        <v>1</v>
      </c>
      <c r="D252">
        <v>8042</v>
      </c>
      <c r="E252">
        <v>8075</v>
      </c>
      <c r="F252">
        <v>221.53334000000001</v>
      </c>
      <c r="G252">
        <v>180.4</v>
      </c>
      <c r="H252">
        <v>1.2280120000000001</v>
      </c>
      <c r="I252">
        <v>-0.22801189999999999</v>
      </c>
      <c r="J252">
        <v>0.44883060000000002</v>
      </c>
    </row>
    <row r="253" spans="1:10" x14ac:dyDescent="0.3">
      <c r="A253">
        <v>251</v>
      </c>
      <c r="B253">
        <v>5665</v>
      </c>
      <c r="C253" t="b">
        <v>1</v>
      </c>
      <c r="D253">
        <v>8065</v>
      </c>
      <c r="E253">
        <v>8105</v>
      </c>
      <c r="F253">
        <v>221.53334000000001</v>
      </c>
      <c r="G253">
        <v>179.6</v>
      </c>
      <c r="H253">
        <v>1.2334818000000001</v>
      </c>
      <c r="I253">
        <v>-0.23348181000000001</v>
      </c>
      <c r="J253">
        <v>0.4477314</v>
      </c>
    </row>
    <row r="254" spans="1:10" x14ac:dyDescent="0.3">
      <c r="A254">
        <v>252</v>
      </c>
      <c r="B254">
        <v>5681</v>
      </c>
      <c r="C254" t="b">
        <v>1</v>
      </c>
      <c r="D254">
        <v>8077</v>
      </c>
      <c r="E254">
        <v>8093</v>
      </c>
      <c r="F254">
        <v>221.53334000000001</v>
      </c>
      <c r="G254">
        <v>179.6</v>
      </c>
      <c r="H254">
        <v>1.2334818000000001</v>
      </c>
      <c r="I254">
        <v>-0.23348181000000001</v>
      </c>
      <c r="J254">
        <v>0.4477314</v>
      </c>
    </row>
    <row r="255" spans="1:10" x14ac:dyDescent="0.3">
      <c r="A255">
        <v>253</v>
      </c>
      <c r="B255">
        <v>5713</v>
      </c>
      <c r="C255" t="b">
        <v>1</v>
      </c>
      <c r="D255">
        <v>8042</v>
      </c>
      <c r="E255">
        <v>8111</v>
      </c>
      <c r="F255">
        <v>221.53334000000001</v>
      </c>
      <c r="G255">
        <v>179.6</v>
      </c>
      <c r="H255">
        <v>1.2334818000000001</v>
      </c>
      <c r="I255">
        <v>-0.23348181000000001</v>
      </c>
      <c r="J255">
        <v>0.4477314</v>
      </c>
    </row>
    <row r="256" spans="1:10" x14ac:dyDescent="0.3">
      <c r="A256">
        <v>254</v>
      </c>
      <c r="B256">
        <v>5728</v>
      </c>
      <c r="C256" t="b">
        <v>1</v>
      </c>
      <c r="D256">
        <v>8060</v>
      </c>
      <c r="E256">
        <v>8099</v>
      </c>
      <c r="F256">
        <v>221.2</v>
      </c>
      <c r="G256">
        <v>180</v>
      </c>
      <c r="H256">
        <v>1.2288889000000001</v>
      </c>
      <c r="I256">
        <v>-0.22888886999999999</v>
      </c>
      <c r="J256">
        <v>0.44865402999999998</v>
      </c>
    </row>
    <row r="257" spans="1:10" x14ac:dyDescent="0.3">
      <c r="A257">
        <v>255</v>
      </c>
      <c r="B257">
        <v>5761</v>
      </c>
      <c r="C257" t="b">
        <v>1</v>
      </c>
      <c r="D257">
        <v>8065</v>
      </c>
      <c r="E257">
        <v>8099</v>
      </c>
      <c r="F257">
        <v>221.2</v>
      </c>
      <c r="G257">
        <v>180.4</v>
      </c>
      <c r="H257">
        <v>1.2261641000000001</v>
      </c>
      <c r="I257">
        <v>-0.22616410000000001</v>
      </c>
      <c r="J257">
        <v>0.44920320000000002</v>
      </c>
    </row>
    <row r="258" spans="1:10" x14ac:dyDescent="0.3">
      <c r="A258">
        <v>256</v>
      </c>
      <c r="B258">
        <v>5791</v>
      </c>
      <c r="C258" t="b">
        <v>1</v>
      </c>
      <c r="D258">
        <v>8065</v>
      </c>
      <c r="E258">
        <v>8117</v>
      </c>
      <c r="F258">
        <v>221.2</v>
      </c>
      <c r="G258">
        <v>180.4</v>
      </c>
      <c r="H258">
        <v>1.2261641000000001</v>
      </c>
      <c r="I258">
        <v>-0.22616410000000001</v>
      </c>
      <c r="J258">
        <v>0.44920320000000002</v>
      </c>
    </row>
    <row r="259" spans="1:10" x14ac:dyDescent="0.3">
      <c r="A259">
        <v>257</v>
      </c>
      <c r="B259">
        <v>5823</v>
      </c>
      <c r="C259" t="b">
        <v>1</v>
      </c>
      <c r="D259">
        <v>8065</v>
      </c>
      <c r="E259">
        <v>8087</v>
      </c>
      <c r="F259">
        <v>221.2</v>
      </c>
      <c r="G259">
        <v>180.4</v>
      </c>
      <c r="H259">
        <v>1.2261641000000001</v>
      </c>
      <c r="I259">
        <v>-0.22616410000000001</v>
      </c>
      <c r="J259">
        <v>0.44920320000000002</v>
      </c>
    </row>
    <row r="260" spans="1:10" x14ac:dyDescent="0.3">
      <c r="A260">
        <v>258</v>
      </c>
      <c r="B260">
        <v>5839</v>
      </c>
      <c r="C260" t="b">
        <v>1</v>
      </c>
      <c r="D260">
        <v>8048</v>
      </c>
      <c r="E260">
        <v>8105</v>
      </c>
      <c r="F260">
        <v>221.2</v>
      </c>
      <c r="G260">
        <v>180.4</v>
      </c>
      <c r="H260">
        <v>1.2261641000000001</v>
      </c>
      <c r="I260">
        <v>-0.22616410000000001</v>
      </c>
      <c r="J260">
        <v>0.44920320000000002</v>
      </c>
    </row>
    <row r="261" spans="1:10" x14ac:dyDescent="0.3">
      <c r="A261">
        <v>259</v>
      </c>
      <c r="B261">
        <v>5871</v>
      </c>
      <c r="C261" t="b">
        <v>1</v>
      </c>
      <c r="D261">
        <v>8042</v>
      </c>
      <c r="E261">
        <v>8111</v>
      </c>
      <c r="F261">
        <v>221.53334000000001</v>
      </c>
      <c r="G261">
        <v>180.8</v>
      </c>
      <c r="H261">
        <v>1.225295</v>
      </c>
      <c r="I261">
        <v>-0.225295</v>
      </c>
      <c r="J261">
        <v>0.44937860000000002</v>
      </c>
    </row>
    <row r="262" spans="1:10" x14ac:dyDescent="0.3">
      <c r="A262">
        <v>260</v>
      </c>
      <c r="B262">
        <v>5903</v>
      </c>
      <c r="C262" t="b">
        <v>1</v>
      </c>
      <c r="D262">
        <v>8071</v>
      </c>
      <c r="E262">
        <v>8093</v>
      </c>
      <c r="F262">
        <v>221.86667</v>
      </c>
      <c r="G262">
        <v>181.6</v>
      </c>
      <c r="H262">
        <v>1.2217327</v>
      </c>
      <c r="I262">
        <v>-0.22173271999999999</v>
      </c>
      <c r="J262">
        <v>0.45009914000000001</v>
      </c>
    </row>
    <row r="263" spans="1:10" x14ac:dyDescent="0.3">
      <c r="A263">
        <v>261</v>
      </c>
      <c r="B263">
        <v>5919</v>
      </c>
      <c r="C263" t="b">
        <v>1</v>
      </c>
      <c r="D263">
        <v>8071</v>
      </c>
      <c r="E263">
        <v>8111</v>
      </c>
      <c r="F263">
        <v>222.2</v>
      </c>
      <c r="G263">
        <v>182.4</v>
      </c>
      <c r="H263">
        <v>1.2182017999999999</v>
      </c>
      <c r="I263">
        <v>-0.21820176999999999</v>
      </c>
      <c r="J263">
        <v>0.45081561999999997</v>
      </c>
    </row>
    <row r="264" spans="1:10" x14ac:dyDescent="0.3">
      <c r="A264">
        <v>262</v>
      </c>
      <c r="B264">
        <v>5950</v>
      </c>
      <c r="C264" t="b">
        <v>1</v>
      </c>
      <c r="D264">
        <v>8054</v>
      </c>
      <c r="E264">
        <v>8111</v>
      </c>
      <c r="F264">
        <v>221.8</v>
      </c>
      <c r="G264">
        <v>183.6</v>
      </c>
      <c r="H264">
        <v>1.2080610000000001</v>
      </c>
      <c r="I264">
        <v>-0.20806098000000001</v>
      </c>
      <c r="J264">
        <v>0.45288602</v>
      </c>
    </row>
    <row r="265" spans="1:10" x14ac:dyDescent="0.3">
      <c r="A265">
        <v>263</v>
      </c>
      <c r="B265">
        <v>5982</v>
      </c>
      <c r="C265" t="b">
        <v>1</v>
      </c>
      <c r="D265">
        <v>8048</v>
      </c>
      <c r="E265">
        <v>8129</v>
      </c>
      <c r="F265">
        <v>221.4</v>
      </c>
      <c r="G265">
        <v>184.8</v>
      </c>
      <c r="H265">
        <v>1.1980519000000001</v>
      </c>
      <c r="I265">
        <v>-0.1980519</v>
      </c>
      <c r="J265">
        <v>0.45494830000000003</v>
      </c>
    </row>
    <row r="266" spans="1:10" x14ac:dyDescent="0.3">
      <c r="A266">
        <v>264</v>
      </c>
      <c r="B266">
        <v>5998</v>
      </c>
      <c r="C266" t="b">
        <v>1</v>
      </c>
      <c r="D266">
        <v>8065</v>
      </c>
      <c r="E266">
        <v>8129</v>
      </c>
      <c r="F266">
        <v>221.73334</v>
      </c>
      <c r="G266">
        <v>186</v>
      </c>
      <c r="H266">
        <v>1.1921147000000001</v>
      </c>
      <c r="I266">
        <v>-0.19211470999999999</v>
      </c>
      <c r="J266">
        <v>0.45618049999999999</v>
      </c>
    </row>
    <row r="267" spans="1:10" x14ac:dyDescent="0.3">
      <c r="A267">
        <v>265</v>
      </c>
      <c r="B267">
        <v>6013</v>
      </c>
      <c r="C267" t="b">
        <v>1</v>
      </c>
      <c r="D267">
        <v>8071</v>
      </c>
      <c r="E267">
        <v>8099</v>
      </c>
      <c r="F267">
        <v>222.46665999999999</v>
      </c>
      <c r="G267">
        <v>187.2</v>
      </c>
      <c r="H267">
        <v>1.1883903</v>
      </c>
      <c r="I267">
        <v>-0.18839030000000001</v>
      </c>
      <c r="J267">
        <v>0.4569569</v>
      </c>
    </row>
    <row r="268" spans="1:10" x14ac:dyDescent="0.3">
      <c r="A268">
        <v>266</v>
      </c>
      <c r="B268">
        <v>6029</v>
      </c>
      <c r="C268" t="b">
        <v>1</v>
      </c>
      <c r="D268">
        <v>8065</v>
      </c>
      <c r="E268">
        <v>8093</v>
      </c>
      <c r="F268">
        <v>223.2</v>
      </c>
      <c r="G268">
        <v>188.4</v>
      </c>
      <c r="H268">
        <v>1.1847133999999999</v>
      </c>
      <c r="I268">
        <v>-0.1847134</v>
      </c>
      <c r="J268">
        <v>0.45772596999999998</v>
      </c>
    </row>
    <row r="269" spans="1:10" x14ac:dyDescent="0.3">
      <c r="A269">
        <v>267</v>
      </c>
      <c r="B269">
        <v>6045</v>
      </c>
      <c r="C269" t="b">
        <v>1</v>
      </c>
      <c r="D269">
        <v>8060</v>
      </c>
      <c r="E269">
        <v>8105</v>
      </c>
      <c r="F269">
        <v>223.2</v>
      </c>
      <c r="G269">
        <v>189.2</v>
      </c>
      <c r="H269">
        <v>1.1797040999999999</v>
      </c>
      <c r="I269">
        <v>-0.17970402999999999</v>
      </c>
      <c r="J269">
        <v>0.45877786999999998</v>
      </c>
    </row>
    <row r="270" spans="1:10" x14ac:dyDescent="0.3">
      <c r="A270">
        <v>268</v>
      </c>
      <c r="B270">
        <v>6076</v>
      </c>
      <c r="C270" t="b">
        <v>1</v>
      </c>
      <c r="D270">
        <v>8077</v>
      </c>
      <c r="E270">
        <v>8093</v>
      </c>
      <c r="F270">
        <v>223.2</v>
      </c>
      <c r="G270">
        <v>189.6</v>
      </c>
      <c r="H270">
        <v>1.1772151</v>
      </c>
      <c r="I270">
        <v>-0.17721513</v>
      </c>
      <c r="J270">
        <v>0.45930237000000002</v>
      </c>
    </row>
    <row r="271" spans="1:10" x14ac:dyDescent="0.3">
      <c r="A271">
        <v>269</v>
      </c>
      <c r="B271">
        <v>6108</v>
      </c>
      <c r="C271" t="b">
        <v>1</v>
      </c>
      <c r="D271">
        <v>8071</v>
      </c>
      <c r="E271">
        <v>8105</v>
      </c>
      <c r="F271">
        <v>223.93333000000001</v>
      </c>
      <c r="G271">
        <v>189.6</v>
      </c>
      <c r="H271">
        <v>1.1810830000000001</v>
      </c>
      <c r="I271">
        <v>-0.18108294999999999</v>
      </c>
      <c r="J271">
        <v>0.45848783999999998</v>
      </c>
    </row>
    <row r="272" spans="1:10" x14ac:dyDescent="0.3">
      <c r="A272">
        <v>270</v>
      </c>
      <c r="B272">
        <v>6140</v>
      </c>
      <c r="C272" t="b">
        <v>1</v>
      </c>
      <c r="D272">
        <v>8071</v>
      </c>
      <c r="E272">
        <v>8123</v>
      </c>
      <c r="F272">
        <v>224.33332999999999</v>
      </c>
      <c r="G272">
        <v>190</v>
      </c>
      <c r="H272">
        <v>1.1807017</v>
      </c>
      <c r="I272">
        <v>-0.18070173</v>
      </c>
      <c r="J272">
        <v>0.45856799999999998</v>
      </c>
    </row>
    <row r="273" spans="1:10" x14ac:dyDescent="0.3">
      <c r="A273">
        <v>271</v>
      </c>
      <c r="B273">
        <v>6156</v>
      </c>
      <c r="C273" t="b">
        <v>1</v>
      </c>
      <c r="D273">
        <v>8071</v>
      </c>
      <c r="E273">
        <v>8117</v>
      </c>
      <c r="F273">
        <v>224.73334</v>
      </c>
      <c r="G273">
        <v>190.4</v>
      </c>
      <c r="H273">
        <v>1.1803222</v>
      </c>
      <c r="I273">
        <v>-0.18032218999999999</v>
      </c>
      <c r="J273">
        <v>0.45864781999999998</v>
      </c>
    </row>
    <row r="274" spans="1:10" x14ac:dyDescent="0.3">
      <c r="A274">
        <v>272</v>
      </c>
      <c r="B274">
        <v>6172</v>
      </c>
      <c r="C274" t="b">
        <v>1</v>
      </c>
      <c r="D274">
        <v>8071</v>
      </c>
      <c r="E274">
        <v>8093</v>
      </c>
      <c r="F274">
        <v>225.13333</v>
      </c>
      <c r="G274">
        <v>190.8</v>
      </c>
      <c r="H274">
        <v>1.1799440000000001</v>
      </c>
      <c r="I274">
        <v>-0.17994407000000001</v>
      </c>
      <c r="J274">
        <v>0.45872735999999997</v>
      </c>
    </row>
    <row r="275" spans="1:10" x14ac:dyDescent="0.3">
      <c r="A275">
        <v>273</v>
      </c>
      <c r="B275">
        <v>6188</v>
      </c>
      <c r="C275" t="b">
        <v>1</v>
      </c>
      <c r="D275">
        <v>8083</v>
      </c>
      <c r="E275">
        <v>8117</v>
      </c>
      <c r="F275">
        <v>225.53334000000001</v>
      </c>
      <c r="G275">
        <v>192</v>
      </c>
      <c r="H275">
        <v>1.1746528000000001</v>
      </c>
      <c r="I275">
        <v>-0.17465280999999999</v>
      </c>
      <c r="J275">
        <v>0.45984354999999999</v>
      </c>
    </row>
    <row r="276" spans="1:10" x14ac:dyDescent="0.3">
      <c r="A276">
        <v>274</v>
      </c>
      <c r="B276">
        <v>6204</v>
      </c>
      <c r="C276" t="b">
        <v>1</v>
      </c>
      <c r="D276">
        <v>8060</v>
      </c>
      <c r="E276">
        <v>8129</v>
      </c>
      <c r="F276">
        <v>225.93333000000001</v>
      </c>
      <c r="G276">
        <v>192.8</v>
      </c>
      <c r="H276">
        <v>1.1718534</v>
      </c>
      <c r="I276">
        <v>-0.17185338</v>
      </c>
      <c r="J276">
        <v>0.46043622000000001</v>
      </c>
    </row>
    <row r="277" spans="1:10" x14ac:dyDescent="0.3">
      <c r="A277">
        <v>275</v>
      </c>
      <c r="B277">
        <v>6220</v>
      </c>
      <c r="C277" t="b">
        <v>1</v>
      </c>
      <c r="D277">
        <v>8060</v>
      </c>
      <c r="E277">
        <v>8087</v>
      </c>
      <c r="F277">
        <v>226.33332999999999</v>
      </c>
      <c r="G277">
        <v>193.6</v>
      </c>
      <c r="H277">
        <v>1.1690769999999999</v>
      </c>
      <c r="I277">
        <v>-0.16907707</v>
      </c>
      <c r="J277">
        <v>0.46102557</v>
      </c>
    </row>
    <row r="278" spans="1:10" x14ac:dyDescent="0.3">
      <c r="A278">
        <v>276</v>
      </c>
      <c r="B278">
        <v>6236</v>
      </c>
      <c r="C278" t="b">
        <v>1</v>
      </c>
      <c r="D278">
        <v>8071</v>
      </c>
      <c r="E278">
        <v>8099</v>
      </c>
      <c r="F278">
        <v>226.73334</v>
      </c>
      <c r="G278">
        <v>193.2</v>
      </c>
      <c r="H278">
        <v>1.1735679999999999</v>
      </c>
      <c r="I278">
        <v>-0.17356800999999999</v>
      </c>
      <c r="J278">
        <v>0.46007300000000001</v>
      </c>
    </row>
    <row r="279" spans="1:10" x14ac:dyDescent="0.3">
      <c r="A279">
        <v>277</v>
      </c>
      <c r="B279">
        <v>6252</v>
      </c>
      <c r="C279" t="b">
        <v>1</v>
      </c>
      <c r="D279">
        <v>8060</v>
      </c>
      <c r="E279">
        <v>8099</v>
      </c>
      <c r="F279">
        <v>227.13333</v>
      </c>
      <c r="G279">
        <v>192.4</v>
      </c>
      <c r="H279">
        <v>1.1805266999999999</v>
      </c>
      <c r="I279">
        <v>-0.18052670000000001</v>
      </c>
      <c r="J279">
        <v>0.45860477999999999</v>
      </c>
    </row>
    <row r="280" spans="1:10" x14ac:dyDescent="0.3">
      <c r="A280">
        <v>278</v>
      </c>
      <c r="B280">
        <v>6268</v>
      </c>
      <c r="C280" t="b">
        <v>1</v>
      </c>
      <c r="D280">
        <v>8054</v>
      </c>
      <c r="E280">
        <v>8105</v>
      </c>
      <c r="F280">
        <v>227.53334000000001</v>
      </c>
      <c r="G280">
        <v>191.6</v>
      </c>
      <c r="H280">
        <v>1.1875435000000001</v>
      </c>
      <c r="I280">
        <v>-0.1875435</v>
      </c>
      <c r="J280">
        <v>0.45713374000000001</v>
      </c>
    </row>
    <row r="281" spans="1:10" x14ac:dyDescent="0.3">
      <c r="A281">
        <v>279</v>
      </c>
      <c r="B281">
        <v>6299</v>
      </c>
      <c r="C281" t="b">
        <v>1</v>
      </c>
      <c r="D281">
        <v>8065</v>
      </c>
      <c r="E281">
        <v>8093</v>
      </c>
      <c r="F281">
        <v>227.2</v>
      </c>
      <c r="G281">
        <v>190.8</v>
      </c>
      <c r="H281">
        <v>1.1907756</v>
      </c>
      <c r="I281">
        <v>-0.19077564999999999</v>
      </c>
      <c r="J281">
        <v>0.45645933999999999</v>
      </c>
    </row>
    <row r="282" spans="1:10" x14ac:dyDescent="0.3">
      <c r="A282">
        <v>280</v>
      </c>
      <c r="B282">
        <v>6315</v>
      </c>
      <c r="C282" t="b">
        <v>1</v>
      </c>
      <c r="D282">
        <v>8060</v>
      </c>
      <c r="E282">
        <v>8129</v>
      </c>
      <c r="F282">
        <v>226.86667</v>
      </c>
      <c r="G282">
        <v>190</v>
      </c>
      <c r="H282">
        <v>1.194035</v>
      </c>
      <c r="I282">
        <v>-0.19403509999999999</v>
      </c>
      <c r="J282">
        <v>0.45578121999999999</v>
      </c>
    </row>
    <row r="283" spans="1:10" x14ac:dyDescent="0.3">
      <c r="A283">
        <v>281</v>
      </c>
      <c r="B283">
        <v>6331</v>
      </c>
      <c r="C283" t="b">
        <v>1</v>
      </c>
      <c r="D283">
        <v>8054</v>
      </c>
      <c r="E283">
        <v>8111</v>
      </c>
      <c r="F283">
        <v>226.53334000000001</v>
      </c>
      <c r="G283">
        <v>189.6</v>
      </c>
      <c r="H283">
        <v>1.1947961</v>
      </c>
      <c r="I283">
        <v>-0.19479605999999999</v>
      </c>
      <c r="J283">
        <v>0.45562318000000002</v>
      </c>
    </row>
    <row r="284" spans="1:10" x14ac:dyDescent="0.3">
      <c r="A284">
        <v>282</v>
      </c>
      <c r="B284">
        <v>6347</v>
      </c>
      <c r="C284" t="b">
        <v>1</v>
      </c>
      <c r="D284">
        <v>8060</v>
      </c>
      <c r="E284">
        <v>8129</v>
      </c>
      <c r="F284">
        <v>226.2</v>
      </c>
      <c r="G284">
        <v>190</v>
      </c>
      <c r="H284">
        <v>1.1905262000000001</v>
      </c>
      <c r="I284">
        <v>-0.19052630000000001</v>
      </c>
      <c r="J284">
        <v>0.45651130000000001</v>
      </c>
    </row>
    <row r="285" spans="1:10" x14ac:dyDescent="0.3">
      <c r="A285">
        <v>283</v>
      </c>
      <c r="B285">
        <v>6379</v>
      </c>
      <c r="C285" t="b">
        <v>1</v>
      </c>
      <c r="D285">
        <v>8077</v>
      </c>
      <c r="E285">
        <v>8105</v>
      </c>
      <c r="F285">
        <v>225.86667</v>
      </c>
      <c r="G285">
        <v>190.8</v>
      </c>
      <c r="H285">
        <v>1.1837876000000001</v>
      </c>
      <c r="I285">
        <v>-0.18378754999999999</v>
      </c>
      <c r="J285">
        <v>0.45791999</v>
      </c>
    </row>
    <row r="286" spans="1:10" x14ac:dyDescent="0.3">
      <c r="A286">
        <v>284</v>
      </c>
      <c r="B286">
        <v>6411</v>
      </c>
      <c r="C286" t="b">
        <v>1</v>
      </c>
      <c r="D286">
        <v>8054</v>
      </c>
      <c r="E286">
        <v>8087</v>
      </c>
      <c r="F286">
        <v>225.13333</v>
      </c>
      <c r="G286">
        <v>191.6</v>
      </c>
      <c r="H286">
        <v>1.1750174</v>
      </c>
      <c r="I286">
        <v>-0.17501733999999999</v>
      </c>
      <c r="J286">
        <v>0.45976644999999999</v>
      </c>
    </row>
    <row r="287" spans="1:10" x14ac:dyDescent="0.3">
      <c r="A287">
        <v>285</v>
      </c>
      <c r="B287">
        <v>6443</v>
      </c>
      <c r="C287" t="b">
        <v>1</v>
      </c>
      <c r="D287">
        <v>8083</v>
      </c>
      <c r="E287">
        <v>8081</v>
      </c>
      <c r="F287">
        <v>224.4</v>
      </c>
      <c r="G287">
        <v>191.6</v>
      </c>
      <c r="H287">
        <v>1.1711898999999999</v>
      </c>
      <c r="I287">
        <v>-0.17118990000000001</v>
      </c>
      <c r="J287">
        <v>0.46057694999999998</v>
      </c>
    </row>
    <row r="288" spans="1:10" x14ac:dyDescent="0.3">
      <c r="A288">
        <v>286</v>
      </c>
      <c r="B288">
        <v>6474</v>
      </c>
      <c r="C288" t="b">
        <v>1</v>
      </c>
      <c r="D288">
        <v>8071</v>
      </c>
      <c r="E288">
        <v>8093</v>
      </c>
      <c r="F288">
        <v>224.4</v>
      </c>
      <c r="G288">
        <v>190.8</v>
      </c>
      <c r="H288">
        <v>1.1761006000000001</v>
      </c>
      <c r="I288">
        <v>-0.17610058000000001</v>
      </c>
      <c r="J288">
        <v>0.45953757000000001</v>
      </c>
    </row>
    <row r="289" spans="1:10" x14ac:dyDescent="0.3">
      <c r="A289">
        <v>287</v>
      </c>
      <c r="B289">
        <v>6506</v>
      </c>
      <c r="C289" t="b">
        <v>1</v>
      </c>
      <c r="D289">
        <v>8054</v>
      </c>
      <c r="E289">
        <v>8105</v>
      </c>
      <c r="F289">
        <v>224.4</v>
      </c>
      <c r="G289">
        <v>190</v>
      </c>
      <c r="H289">
        <v>1.1810525999999999</v>
      </c>
      <c r="I289">
        <v>-0.18105260000000001</v>
      </c>
      <c r="J289">
        <v>0.45849422000000001</v>
      </c>
    </row>
    <row r="290" spans="1:10" x14ac:dyDescent="0.3">
      <c r="A290">
        <v>288</v>
      </c>
      <c r="B290">
        <v>6538</v>
      </c>
      <c r="C290" t="b">
        <v>1</v>
      </c>
      <c r="D290">
        <v>8065</v>
      </c>
      <c r="E290">
        <v>8099</v>
      </c>
      <c r="F290">
        <v>224</v>
      </c>
      <c r="G290">
        <v>188.4</v>
      </c>
      <c r="H290">
        <v>1.1889597000000001</v>
      </c>
      <c r="I290">
        <v>-0.18895970000000001</v>
      </c>
      <c r="J290">
        <v>0.45683800000000002</v>
      </c>
    </row>
    <row r="291" spans="1:10" x14ac:dyDescent="0.3">
      <c r="A291">
        <v>289</v>
      </c>
      <c r="B291">
        <v>6569</v>
      </c>
      <c r="C291" t="b">
        <v>1</v>
      </c>
      <c r="D291">
        <v>8071</v>
      </c>
      <c r="E291">
        <v>8099</v>
      </c>
      <c r="F291">
        <v>224</v>
      </c>
      <c r="G291">
        <v>187.2</v>
      </c>
      <c r="H291">
        <v>1.1965812</v>
      </c>
      <c r="I291">
        <v>-0.19658121000000001</v>
      </c>
      <c r="J291">
        <v>0.45525290000000002</v>
      </c>
    </row>
    <row r="292" spans="1:10" x14ac:dyDescent="0.3">
      <c r="A292">
        <v>290</v>
      </c>
      <c r="B292">
        <v>6601</v>
      </c>
      <c r="C292" t="b">
        <v>1</v>
      </c>
      <c r="D292">
        <v>8077</v>
      </c>
      <c r="E292">
        <v>8087</v>
      </c>
      <c r="F292">
        <v>224</v>
      </c>
      <c r="G292">
        <v>186</v>
      </c>
      <c r="H292">
        <v>1.2043010999999999</v>
      </c>
      <c r="I292">
        <v>-0.20430107</v>
      </c>
      <c r="J292">
        <v>0.45365854999999999</v>
      </c>
    </row>
    <row r="293" spans="1:10" x14ac:dyDescent="0.3">
      <c r="A293">
        <v>291</v>
      </c>
      <c r="B293">
        <v>6633</v>
      </c>
      <c r="C293" t="b">
        <v>1</v>
      </c>
      <c r="D293">
        <v>8060</v>
      </c>
      <c r="E293">
        <v>8105</v>
      </c>
      <c r="F293">
        <v>223.6</v>
      </c>
      <c r="G293">
        <v>186</v>
      </c>
      <c r="H293">
        <v>1.2021506</v>
      </c>
      <c r="I293">
        <v>-0.20215057</v>
      </c>
      <c r="J293">
        <v>0.45410156000000002</v>
      </c>
    </row>
    <row r="294" spans="1:10" x14ac:dyDescent="0.3">
      <c r="A294">
        <v>292</v>
      </c>
      <c r="B294">
        <v>6664</v>
      </c>
      <c r="C294" t="b">
        <v>1</v>
      </c>
      <c r="D294">
        <v>8065</v>
      </c>
      <c r="E294">
        <v>8093</v>
      </c>
      <c r="F294">
        <v>223.93333000000001</v>
      </c>
      <c r="G294">
        <v>186</v>
      </c>
      <c r="H294">
        <v>1.2039427</v>
      </c>
      <c r="I294">
        <v>-0.20394266</v>
      </c>
      <c r="J294">
        <v>0.45373227999999999</v>
      </c>
    </row>
    <row r="295" spans="1:10" x14ac:dyDescent="0.3">
      <c r="A295">
        <v>293</v>
      </c>
      <c r="B295">
        <v>6696</v>
      </c>
      <c r="C295" t="b">
        <v>1</v>
      </c>
      <c r="D295">
        <v>8077</v>
      </c>
      <c r="E295">
        <v>8093</v>
      </c>
      <c r="F295">
        <v>224.66667000000001</v>
      </c>
      <c r="G295">
        <v>185.6</v>
      </c>
      <c r="H295">
        <v>1.2104884</v>
      </c>
      <c r="I295">
        <v>-0.2104885</v>
      </c>
      <c r="J295">
        <v>0.45238869999999998</v>
      </c>
    </row>
    <row r="296" spans="1:10" x14ac:dyDescent="0.3">
      <c r="A296">
        <v>294</v>
      </c>
      <c r="B296">
        <v>6728</v>
      </c>
      <c r="C296" t="b">
        <v>1</v>
      </c>
      <c r="D296">
        <v>8054</v>
      </c>
      <c r="E296">
        <v>8117</v>
      </c>
      <c r="F296">
        <v>225</v>
      </c>
      <c r="G296">
        <v>185.2</v>
      </c>
      <c r="H296">
        <v>1.2149029</v>
      </c>
      <c r="I296">
        <v>-0.21490282999999999</v>
      </c>
      <c r="J296">
        <v>0.45148706</v>
      </c>
    </row>
    <row r="297" spans="1:10" x14ac:dyDescent="0.3">
      <c r="A297">
        <v>295</v>
      </c>
      <c r="B297">
        <v>6759</v>
      </c>
      <c r="C297" t="b">
        <v>1</v>
      </c>
      <c r="D297">
        <v>8054</v>
      </c>
      <c r="E297">
        <v>8105</v>
      </c>
      <c r="F297">
        <v>225</v>
      </c>
      <c r="G297">
        <v>185.6</v>
      </c>
      <c r="H297">
        <v>1.2122843999999999</v>
      </c>
      <c r="I297">
        <v>-0.21228445000000001</v>
      </c>
      <c r="J297">
        <v>0.45202144999999999</v>
      </c>
    </row>
    <row r="298" spans="1:10" x14ac:dyDescent="0.3">
      <c r="A298">
        <v>296</v>
      </c>
      <c r="B298">
        <v>6792</v>
      </c>
      <c r="C298" t="b">
        <v>1</v>
      </c>
      <c r="D298">
        <v>8048</v>
      </c>
      <c r="E298">
        <v>8087</v>
      </c>
      <c r="F298">
        <v>224.6</v>
      </c>
      <c r="G298">
        <v>184.8</v>
      </c>
      <c r="H298">
        <v>1.215368</v>
      </c>
      <c r="I298">
        <v>-0.21536796999999999</v>
      </c>
      <c r="J298">
        <v>0.45139225999999999</v>
      </c>
    </row>
    <row r="299" spans="1:10" x14ac:dyDescent="0.3">
      <c r="A299">
        <v>297</v>
      </c>
      <c r="B299">
        <v>6824</v>
      </c>
      <c r="C299" t="b">
        <v>1</v>
      </c>
      <c r="D299">
        <v>8048</v>
      </c>
      <c r="E299">
        <v>8093</v>
      </c>
      <c r="F299">
        <v>224.2</v>
      </c>
      <c r="G299">
        <v>183.6</v>
      </c>
      <c r="H299">
        <v>1.2211329</v>
      </c>
      <c r="I299">
        <v>-0.22113284</v>
      </c>
      <c r="J299">
        <v>0.45022073000000001</v>
      </c>
    </row>
    <row r="300" spans="1:10" x14ac:dyDescent="0.3">
      <c r="A300">
        <v>298</v>
      </c>
      <c r="B300">
        <v>6856</v>
      </c>
      <c r="C300" t="b">
        <v>1</v>
      </c>
      <c r="D300">
        <v>8048</v>
      </c>
      <c r="E300">
        <v>8075</v>
      </c>
      <c r="F300">
        <v>223.4</v>
      </c>
      <c r="G300">
        <v>182.4</v>
      </c>
      <c r="H300">
        <v>1.2247806999999999</v>
      </c>
      <c r="I300">
        <v>-0.22478070999999999</v>
      </c>
      <c r="J300">
        <v>0.44948250000000001</v>
      </c>
    </row>
    <row r="301" spans="1:10" x14ac:dyDescent="0.3">
      <c r="A301">
        <v>299</v>
      </c>
      <c r="B301">
        <v>6871</v>
      </c>
      <c r="C301" t="b">
        <v>1</v>
      </c>
      <c r="D301">
        <v>8071</v>
      </c>
      <c r="E301">
        <v>8093</v>
      </c>
      <c r="F301">
        <v>222.6</v>
      </c>
      <c r="G301">
        <v>181.2</v>
      </c>
      <c r="H301">
        <v>1.2284769</v>
      </c>
      <c r="I301">
        <v>-0.22847687999999999</v>
      </c>
      <c r="J301">
        <v>0.448737</v>
      </c>
    </row>
    <row r="302" spans="1:10" x14ac:dyDescent="0.3">
      <c r="A302">
        <v>300</v>
      </c>
      <c r="B302">
        <v>6888</v>
      </c>
      <c r="C302" t="b">
        <v>1</v>
      </c>
      <c r="D302">
        <v>8088</v>
      </c>
      <c r="E302">
        <v>8105</v>
      </c>
      <c r="F302">
        <v>221.8</v>
      </c>
      <c r="G302">
        <v>180.4</v>
      </c>
      <c r="H302">
        <v>1.22949</v>
      </c>
      <c r="I302">
        <v>-0.22949009000000001</v>
      </c>
      <c r="J302">
        <v>0.44853303</v>
      </c>
    </row>
    <row r="303" spans="1:10" x14ac:dyDescent="0.3">
      <c r="A303">
        <v>301</v>
      </c>
      <c r="B303">
        <v>6919</v>
      </c>
      <c r="C303" t="b">
        <v>1</v>
      </c>
      <c r="D303">
        <v>8065</v>
      </c>
      <c r="E303">
        <v>8093</v>
      </c>
      <c r="F303">
        <v>221.4</v>
      </c>
      <c r="G303">
        <v>180.4</v>
      </c>
      <c r="H303">
        <v>1.2272727000000001</v>
      </c>
      <c r="I303">
        <v>-0.22727273000000001</v>
      </c>
      <c r="J303">
        <v>0.44897959999999998</v>
      </c>
    </row>
    <row r="304" spans="1:10" x14ac:dyDescent="0.3">
      <c r="A304">
        <v>302</v>
      </c>
      <c r="B304">
        <v>6951</v>
      </c>
      <c r="C304" t="b">
        <v>1</v>
      </c>
      <c r="D304">
        <v>8083</v>
      </c>
      <c r="E304">
        <v>8111</v>
      </c>
      <c r="F304">
        <v>221.4</v>
      </c>
      <c r="G304">
        <v>180.4</v>
      </c>
      <c r="H304">
        <v>1.2272727000000001</v>
      </c>
      <c r="I304">
        <v>-0.22727273000000001</v>
      </c>
      <c r="J304">
        <v>0.44897959999999998</v>
      </c>
    </row>
    <row r="305" spans="1:10" x14ac:dyDescent="0.3">
      <c r="A305">
        <v>303</v>
      </c>
      <c r="B305">
        <v>6983</v>
      </c>
      <c r="C305" t="b">
        <v>1</v>
      </c>
      <c r="D305">
        <v>8030</v>
      </c>
      <c r="E305">
        <v>8099</v>
      </c>
      <c r="F305">
        <v>221.8</v>
      </c>
      <c r="G305">
        <v>180.8</v>
      </c>
      <c r="H305">
        <v>1.2267699000000001</v>
      </c>
      <c r="I305">
        <v>-0.22676990999999999</v>
      </c>
      <c r="J305">
        <v>0.44908097000000002</v>
      </c>
    </row>
    <row r="306" spans="1:10" x14ac:dyDescent="0.3">
      <c r="A306">
        <v>304</v>
      </c>
      <c r="B306">
        <v>7015</v>
      </c>
      <c r="C306" t="b">
        <v>1</v>
      </c>
      <c r="D306">
        <v>8042</v>
      </c>
      <c r="E306">
        <v>8140</v>
      </c>
      <c r="F306">
        <v>221.4</v>
      </c>
      <c r="G306">
        <v>181.2</v>
      </c>
      <c r="H306">
        <v>1.2218542999999999</v>
      </c>
      <c r="I306">
        <v>-0.22185427999999999</v>
      </c>
      <c r="J306">
        <v>0.45007451999999998</v>
      </c>
    </row>
    <row r="307" spans="1:10" x14ac:dyDescent="0.3">
      <c r="A307">
        <v>305</v>
      </c>
      <c r="B307">
        <v>7046</v>
      </c>
      <c r="C307" t="b">
        <v>1</v>
      </c>
      <c r="D307">
        <v>8060</v>
      </c>
      <c r="E307">
        <v>8093</v>
      </c>
      <c r="F307">
        <v>220.66667000000001</v>
      </c>
      <c r="G307">
        <v>181.2</v>
      </c>
      <c r="H307">
        <v>1.2178073</v>
      </c>
      <c r="I307">
        <v>-0.21780726</v>
      </c>
      <c r="J307">
        <v>0.45089582</v>
      </c>
    </row>
    <row r="308" spans="1:10" x14ac:dyDescent="0.3">
      <c r="A308">
        <v>306</v>
      </c>
      <c r="B308">
        <v>7062</v>
      </c>
      <c r="C308" t="b">
        <v>1</v>
      </c>
      <c r="D308">
        <v>8060</v>
      </c>
      <c r="E308">
        <v>8093</v>
      </c>
      <c r="F308">
        <v>220.33332999999999</v>
      </c>
      <c r="G308">
        <v>181.2</v>
      </c>
      <c r="H308">
        <v>1.2159677</v>
      </c>
      <c r="I308">
        <v>-0.21596761</v>
      </c>
      <c r="J308">
        <v>0.45127012999999999</v>
      </c>
    </row>
    <row r="309" spans="1:10" x14ac:dyDescent="0.3">
      <c r="A309">
        <v>307</v>
      </c>
      <c r="B309">
        <v>7094</v>
      </c>
      <c r="C309" t="b">
        <v>1</v>
      </c>
      <c r="D309">
        <v>8060</v>
      </c>
      <c r="E309">
        <v>8117</v>
      </c>
      <c r="F309">
        <v>220</v>
      </c>
      <c r="G309">
        <v>181.2</v>
      </c>
      <c r="H309">
        <v>1.2141280000000001</v>
      </c>
      <c r="I309">
        <v>-0.21412806000000001</v>
      </c>
      <c r="J309">
        <v>0.45164504999999999</v>
      </c>
    </row>
    <row r="310" spans="1:10" x14ac:dyDescent="0.3">
      <c r="A310">
        <v>308</v>
      </c>
      <c r="B310">
        <v>7125</v>
      </c>
      <c r="C310" t="b">
        <v>1</v>
      </c>
      <c r="D310">
        <v>8060</v>
      </c>
      <c r="E310">
        <v>8099</v>
      </c>
      <c r="F310">
        <v>219.26666</v>
      </c>
      <c r="G310">
        <v>181.6</v>
      </c>
      <c r="H310">
        <v>1.2074155</v>
      </c>
      <c r="I310">
        <v>-0.2074155</v>
      </c>
      <c r="J310">
        <v>0.45301849999999999</v>
      </c>
    </row>
    <row r="311" spans="1:10" x14ac:dyDescent="0.3">
      <c r="A311">
        <v>309</v>
      </c>
      <c r="B311">
        <v>7157</v>
      </c>
      <c r="C311" t="b">
        <v>1</v>
      </c>
      <c r="D311">
        <v>8083</v>
      </c>
      <c r="E311">
        <v>8111</v>
      </c>
      <c r="F311">
        <v>218.93333000000001</v>
      </c>
      <c r="G311">
        <v>182</v>
      </c>
      <c r="H311">
        <v>1.2029304999999999</v>
      </c>
      <c r="I311">
        <v>-0.20293040000000001</v>
      </c>
      <c r="J311">
        <v>0.45394077999999999</v>
      </c>
    </row>
    <row r="312" spans="1:10" x14ac:dyDescent="0.3">
      <c r="A312">
        <v>310</v>
      </c>
      <c r="B312">
        <v>7189</v>
      </c>
      <c r="C312" t="b">
        <v>1</v>
      </c>
      <c r="D312">
        <v>8065</v>
      </c>
      <c r="E312">
        <v>8105</v>
      </c>
      <c r="F312">
        <v>218.93333000000001</v>
      </c>
      <c r="G312">
        <v>182</v>
      </c>
      <c r="H312">
        <v>1.2029304999999999</v>
      </c>
      <c r="I312">
        <v>-0.20293040000000001</v>
      </c>
      <c r="J312">
        <v>0.45394077999999999</v>
      </c>
    </row>
    <row r="313" spans="1:10" x14ac:dyDescent="0.3">
      <c r="A313">
        <v>311</v>
      </c>
      <c r="B313">
        <v>7205</v>
      </c>
      <c r="C313" t="b">
        <v>1</v>
      </c>
      <c r="D313">
        <v>8060</v>
      </c>
      <c r="E313">
        <v>8087</v>
      </c>
      <c r="F313">
        <v>219.33332999999999</v>
      </c>
      <c r="G313">
        <v>182.8</v>
      </c>
      <c r="H313">
        <v>1.199854</v>
      </c>
      <c r="I313">
        <v>-0.19985407999999999</v>
      </c>
      <c r="J313">
        <v>0.45457560000000002</v>
      </c>
    </row>
    <row r="314" spans="1:10" x14ac:dyDescent="0.3">
      <c r="A314">
        <v>312</v>
      </c>
      <c r="B314">
        <v>7221</v>
      </c>
      <c r="C314" t="b">
        <v>1</v>
      </c>
      <c r="D314">
        <v>8065</v>
      </c>
      <c r="E314">
        <v>8123</v>
      </c>
      <c r="F314">
        <v>220.06666999999999</v>
      </c>
      <c r="G314">
        <v>183.6</v>
      </c>
      <c r="H314">
        <v>1.1986201999999999</v>
      </c>
      <c r="I314">
        <v>-0.19862014</v>
      </c>
      <c r="J314">
        <v>0.45483069999999998</v>
      </c>
    </row>
    <row r="315" spans="1:10" x14ac:dyDescent="0.3">
      <c r="A315">
        <v>313</v>
      </c>
      <c r="B315">
        <v>7237</v>
      </c>
      <c r="C315" t="b">
        <v>1</v>
      </c>
      <c r="D315">
        <v>8083</v>
      </c>
      <c r="E315">
        <v>8111</v>
      </c>
      <c r="F315">
        <v>221.2</v>
      </c>
      <c r="G315">
        <v>184.8</v>
      </c>
      <c r="H315">
        <v>1.1969696000000001</v>
      </c>
      <c r="I315">
        <v>-0.19696965999999999</v>
      </c>
      <c r="J315">
        <v>0.45517242000000002</v>
      </c>
    </row>
    <row r="316" spans="1:10" x14ac:dyDescent="0.3">
      <c r="A316">
        <v>314</v>
      </c>
      <c r="B316">
        <v>7269</v>
      </c>
      <c r="C316" t="b">
        <v>1</v>
      </c>
      <c r="D316">
        <v>8065</v>
      </c>
      <c r="E316">
        <v>8099</v>
      </c>
      <c r="F316">
        <v>222.33332999999999</v>
      </c>
      <c r="G316">
        <v>185.6</v>
      </c>
      <c r="H316">
        <v>1.1979166000000001</v>
      </c>
      <c r="I316">
        <v>-0.1979166</v>
      </c>
      <c r="J316">
        <v>0.4549763</v>
      </c>
    </row>
    <row r="317" spans="1:10" x14ac:dyDescent="0.3">
      <c r="A317">
        <v>315</v>
      </c>
      <c r="B317">
        <v>7300</v>
      </c>
      <c r="C317" t="b">
        <v>1</v>
      </c>
      <c r="D317">
        <v>8065</v>
      </c>
      <c r="E317">
        <v>8099</v>
      </c>
      <c r="F317">
        <v>223.46665999999999</v>
      </c>
      <c r="G317">
        <v>186</v>
      </c>
      <c r="H317">
        <v>1.2014336999999999</v>
      </c>
      <c r="I317">
        <v>-0.20143365999999999</v>
      </c>
      <c r="J317">
        <v>0.45424940000000003</v>
      </c>
    </row>
    <row r="318" spans="1:10" x14ac:dyDescent="0.3">
      <c r="A318">
        <v>316</v>
      </c>
      <c r="B318">
        <v>7316</v>
      </c>
      <c r="C318" t="b">
        <v>1</v>
      </c>
      <c r="D318">
        <v>8048</v>
      </c>
      <c r="E318">
        <v>8099</v>
      </c>
      <c r="F318">
        <v>223.46665999999999</v>
      </c>
      <c r="G318">
        <v>186.4</v>
      </c>
      <c r="H318">
        <v>1.1988555000000001</v>
      </c>
      <c r="I318">
        <v>-0.19885549999999999</v>
      </c>
      <c r="J318">
        <v>0.45478206999999998</v>
      </c>
    </row>
    <row r="319" spans="1:10" x14ac:dyDescent="0.3">
      <c r="A319">
        <v>317</v>
      </c>
      <c r="B319">
        <v>7332</v>
      </c>
      <c r="C319" t="b">
        <v>1</v>
      </c>
      <c r="D319">
        <v>8060</v>
      </c>
      <c r="E319">
        <v>8087</v>
      </c>
      <c r="F319">
        <v>223.06666999999999</v>
      </c>
      <c r="G319">
        <v>186.8</v>
      </c>
      <c r="H319">
        <v>1.1941470000000001</v>
      </c>
      <c r="I319">
        <v>-0.19414699999999999</v>
      </c>
      <c r="J319">
        <v>0.45575798000000001</v>
      </c>
    </row>
    <row r="320" spans="1:10" x14ac:dyDescent="0.3">
      <c r="A320">
        <v>318</v>
      </c>
      <c r="B320">
        <v>7348</v>
      </c>
      <c r="C320" t="b">
        <v>1</v>
      </c>
      <c r="D320">
        <v>8071</v>
      </c>
      <c r="E320">
        <v>8111</v>
      </c>
      <c r="F320">
        <v>222.66667000000001</v>
      </c>
      <c r="G320">
        <v>186.8</v>
      </c>
      <c r="H320">
        <v>1.1920058</v>
      </c>
      <c r="I320">
        <v>-0.19200571999999999</v>
      </c>
      <c r="J320">
        <v>0.45620319999999998</v>
      </c>
    </row>
    <row r="321" spans="1:10" x14ac:dyDescent="0.3">
      <c r="A321">
        <v>319</v>
      </c>
      <c r="B321">
        <v>7364</v>
      </c>
      <c r="C321" t="b">
        <v>1</v>
      </c>
      <c r="D321">
        <v>8060</v>
      </c>
      <c r="E321">
        <v>8099</v>
      </c>
      <c r="F321">
        <v>222.33332999999999</v>
      </c>
      <c r="G321">
        <v>186.4</v>
      </c>
      <c r="H321">
        <v>1.1927753999999999</v>
      </c>
      <c r="I321">
        <v>-0.19277540000000001</v>
      </c>
      <c r="J321">
        <v>0.45604303000000002</v>
      </c>
    </row>
    <row r="322" spans="1:10" x14ac:dyDescent="0.3">
      <c r="A322">
        <v>320</v>
      </c>
      <c r="B322">
        <v>7380</v>
      </c>
      <c r="C322" t="b">
        <v>1</v>
      </c>
      <c r="D322">
        <v>8077</v>
      </c>
      <c r="E322">
        <v>8081</v>
      </c>
      <c r="F322">
        <v>222.33332999999999</v>
      </c>
      <c r="G322">
        <v>186.4</v>
      </c>
      <c r="H322">
        <v>1.1927753999999999</v>
      </c>
      <c r="I322">
        <v>-0.19277540000000001</v>
      </c>
      <c r="J322">
        <v>0.45604303000000002</v>
      </c>
    </row>
    <row r="323" spans="1:10" x14ac:dyDescent="0.3">
      <c r="A323">
        <v>321</v>
      </c>
      <c r="B323">
        <v>7395</v>
      </c>
      <c r="C323" t="b">
        <v>1</v>
      </c>
      <c r="D323">
        <v>8060</v>
      </c>
      <c r="E323">
        <v>8087</v>
      </c>
      <c r="F323">
        <v>222.33332999999999</v>
      </c>
      <c r="G323">
        <v>185.6</v>
      </c>
      <c r="H323">
        <v>1.1979166000000001</v>
      </c>
      <c r="I323">
        <v>-0.1979166</v>
      </c>
      <c r="J323">
        <v>0.4549763</v>
      </c>
    </row>
    <row r="324" spans="1:10" x14ac:dyDescent="0.3">
      <c r="A324">
        <v>322</v>
      </c>
      <c r="B324">
        <v>7427</v>
      </c>
      <c r="C324" t="b">
        <v>1</v>
      </c>
      <c r="D324">
        <v>8065</v>
      </c>
      <c r="E324">
        <v>8105</v>
      </c>
      <c r="F324">
        <v>222.66667000000001</v>
      </c>
      <c r="G324">
        <v>185.6</v>
      </c>
      <c r="H324">
        <v>1.1997126</v>
      </c>
      <c r="I324">
        <v>-0.19971263</v>
      </c>
      <c r="J324">
        <v>0.45460486</v>
      </c>
    </row>
    <row r="325" spans="1:10" x14ac:dyDescent="0.3">
      <c r="A325">
        <v>323</v>
      </c>
      <c r="B325">
        <v>7459</v>
      </c>
      <c r="C325" t="b">
        <v>1</v>
      </c>
      <c r="D325">
        <v>8071</v>
      </c>
      <c r="E325">
        <v>8105</v>
      </c>
      <c r="F325">
        <v>223</v>
      </c>
      <c r="G325">
        <v>185.6</v>
      </c>
      <c r="H325">
        <v>1.2015085000000001</v>
      </c>
      <c r="I325">
        <v>-0.20150857999999999</v>
      </c>
      <c r="J325">
        <v>0.45423396999999999</v>
      </c>
    </row>
    <row r="326" spans="1:10" x14ac:dyDescent="0.3">
      <c r="A326">
        <v>324</v>
      </c>
      <c r="B326">
        <v>7490</v>
      </c>
      <c r="C326" t="b">
        <v>1</v>
      </c>
      <c r="D326">
        <v>8071</v>
      </c>
      <c r="E326">
        <v>8105</v>
      </c>
      <c r="F326">
        <v>223.73334</v>
      </c>
      <c r="G326">
        <v>186</v>
      </c>
      <c r="H326">
        <v>1.2028673999999999</v>
      </c>
      <c r="I326">
        <v>-0.2028674</v>
      </c>
      <c r="J326">
        <v>0.45395376999999998</v>
      </c>
    </row>
    <row r="327" spans="1:10" x14ac:dyDescent="0.3">
      <c r="A327">
        <v>325</v>
      </c>
      <c r="B327">
        <v>7506</v>
      </c>
      <c r="C327" t="b">
        <v>1</v>
      </c>
      <c r="D327">
        <v>8060</v>
      </c>
      <c r="E327">
        <v>8105</v>
      </c>
      <c r="F327">
        <v>224.06666999999999</v>
      </c>
      <c r="G327">
        <v>186</v>
      </c>
      <c r="H327">
        <v>1.2046595</v>
      </c>
      <c r="I327">
        <v>-0.20465949</v>
      </c>
      <c r="J327">
        <v>0.45358480000000001</v>
      </c>
    </row>
    <row r="328" spans="1:10" x14ac:dyDescent="0.3">
      <c r="A328">
        <v>326</v>
      </c>
      <c r="B328">
        <v>7522</v>
      </c>
      <c r="C328" t="b">
        <v>1</v>
      </c>
      <c r="D328">
        <v>8060</v>
      </c>
      <c r="E328">
        <v>8111</v>
      </c>
      <c r="F328">
        <v>224.4</v>
      </c>
      <c r="G328">
        <v>186</v>
      </c>
      <c r="H328">
        <v>1.2064515</v>
      </c>
      <c r="I328">
        <v>-0.20645158</v>
      </c>
      <c r="J328">
        <v>0.45321636999999998</v>
      </c>
    </row>
    <row r="329" spans="1:10" x14ac:dyDescent="0.3">
      <c r="A329">
        <v>327</v>
      </c>
      <c r="B329">
        <v>7537</v>
      </c>
      <c r="C329" t="b">
        <v>1</v>
      </c>
      <c r="D329">
        <v>8071</v>
      </c>
      <c r="E329">
        <v>8105</v>
      </c>
      <c r="F329">
        <v>224.8</v>
      </c>
      <c r="G329">
        <v>186</v>
      </c>
      <c r="H329">
        <v>1.2086022000000001</v>
      </c>
      <c r="I329">
        <v>-0.20860216000000001</v>
      </c>
      <c r="J329">
        <v>0.45277509999999999</v>
      </c>
    </row>
    <row r="330" spans="1:10" x14ac:dyDescent="0.3">
      <c r="A330">
        <v>328</v>
      </c>
      <c r="B330">
        <v>7553</v>
      </c>
      <c r="C330" t="b">
        <v>1</v>
      </c>
      <c r="D330">
        <v>8060</v>
      </c>
      <c r="E330">
        <v>8129</v>
      </c>
      <c r="F330">
        <v>224.46665999999999</v>
      </c>
      <c r="G330">
        <v>185.6</v>
      </c>
      <c r="H330">
        <v>1.2094107999999999</v>
      </c>
      <c r="I330">
        <v>-0.20941085000000001</v>
      </c>
      <c r="J330">
        <v>0.45260936000000002</v>
      </c>
    </row>
    <row r="331" spans="1:10" x14ac:dyDescent="0.3">
      <c r="A331">
        <v>329</v>
      </c>
      <c r="B331">
        <v>7585</v>
      </c>
      <c r="C331" t="b">
        <v>1</v>
      </c>
      <c r="D331">
        <v>8054</v>
      </c>
      <c r="E331">
        <v>8105</v>
      </c>
      <c r="F331">
        <v>224.13333</v>
      </c>
      <c r="G331">
        <v>185.6</v>
      </c>
      <c r="H331">
        <v>1.2076149</v>
      </c>
      <c r="I331">
        <v>-0.20761489999999999</v>
      </c>
      <c r="J331">
        <v>0.45297757</v>
      </c>
    </row>
    <row r="332" spans="1:10" x14ac:dyDescent="0.3">
      <c r="A332">
        <v>330</v>
      </c>
      <c r="B332">
        <v>7601</v>
      </c>
      <c r="C332" t="b">
        <v>1</v>
      </c>
      <c r="D332">
        <v>8054</v>
      </c>
      <c r="E332">
        <v>8099</v>
      </c>
      <c r="F332">
        <v>223.8</v>
      </c>
      <c r="G332">
        <v>186</v>
      </c>
      <c r="H332">
        <v>1.2032259000000001</v>
      </c>
      <c r="I332">
        <v>-0.20322582</v>
      </c>
      <c r="J332">
        <v>0.45387994999999998</v>
      </c>
    </row>
    <row r="333" spans="1:10" x14ac:dyDescent="0.3">
      <c r="A333">
        <v>331</v>
      </c>
      <c r="B333">
        <v>7632</v>
      </c>
      <c r="C333" t="b">
        <v>1</v>
      </c>
      <c r="D333">
        <v>8054</v>
      </c>
      <c r="E333">
        <v>8075</v>
      </c>
      <c r="F333">
        <v>223.06666999999999</v>
      </c>
      <c r="G333">
        <v>186.4</v>
      </c>
      <c r="H333">
        <v>1.1967095999999999</v>
      </c>
      <c r="I333">
        <v>-0.19670962</v>
      </c>
      <c r="J333">
        <v>0.45522626999999999</v>
      </c>
    </row>
    <row r="334" spans="1:10" x14ac:dyDescent="0.3">
      <c r="A334">
        <v>332</v>
      </c>
      <c r="B334">
        <v>7648</v>
      </c>
      <c r="C334" t="b">
        <v>1</v>
      </c>
      <c r="D334">
        <v>8071</v>
      </c>
      <c r="E334">
        <v>8087</v>
      </c>
      <c r="F334">
        <v>222.33332999999999</v>
      </c>
      <c r="G334">
        <v>186.4</v>
      </c>
      <c r="H334">
        <v>1.1927753999999999</v>
      </c>
      <c r="I334">
        <v>-0.19277540000000001</v>
      </c>
      <c r="J334">
        <v>0.45604303000000002</v>
      </c>
    </row>
    <row r="335" spans="1:10" x14ac:dyDescent="0.3">
      <c r="A335">
        <v>333</v>
      </c>
      <c r="B335">
        <v>7664</v>
      </c>
      <c r="C335" t="b">
        <v>1</v>
      </c>
      <c r="D335">
        <v>8054</v>
      </c>
      <c r="E335">
        <v>8093</v>
      </c>
      <c r="F335">
        <v>221.6</v>
      </c>
      <c r="G335">
        <v>186</v>
      </c>
      <c r="H335">
        <v>1.1913978999999999</v>
      </c>
      <c r="I335">
        <v>-0.19139787999999999</v>
      </c>
      <c r="J335">
        <v>0.45632972999999999</v>
      </c>
    </row>
    <row r="336" spans="1:10" x14ac:dyDescent="0.3">
      <c r="A336">
        <v>334</v>
      </c>
      <c r="B336">
        <v>7680</v>
      </c>
      <c r="C336" t="b">
        <v>1</v>
      </c>
      <c r="D336">
        <v>8054</v>
      </c>
      <c r="E336">
        <v>8117</v>
      </c>
      <c r="F336">
        <v>221.2</v>
      </c>
      <c r="G336">
        <v>185.6</v>
      </c>
      <c r="H336">
        <v>1.1918103</v>
      </c>
      <c r="I336">
        <v>-0.19181029999999999</v>
      </c>
      <c r="J336">
        <v>0.45624387</v>
      </c>
    </row>
    <row r="337" spans="1:10" x14ac:dyDescent="0.3">
      <c r="A337">
        <v>335</v>
      </c>
      <c r="B337">
        <v>7696</v>
      </c>
      <c r="C337" t="b">
        <v>1</v>
      </c>
      <c r="D337">
        <v>8060</v>
      </c>
      <c r="E337">
        <v>8105</v>
      </c>
      <c r="F337">
        <v>220.8</v>
      </c>
      <c r="G337">
        <v>185.2</v>
      </c>
      <c r="H337">
        <v>1.1922246000000001</v>
      </c>
      <c r="I337">
        <v>-0.19222465</v>
      </c>
      <c r="J337">
        <v>0.45615761999999999</v>
      </c>
    </row>
    <row r="338" spans="1:10" x14ac:dyDescent="0.3">
      <c r="A338">
        <v>336</v>
      </c>
      <c r="B338">
        <v>7712</v>
      </c>
      <c r="C338" t="b">
        <v>1</v>
      </c>
      <c r="D338">
        <v>8065</v>
      </c>
      <c r="E338">
        <v>8117</v>
      </c>
      <c r="F338">
        <v>220.8</v>
      </c>
      <c r="G338">
        <v>186.4</v>
      </c>
      <c r="H338">
        <v>1.1845494999999999</v>
      </c>
      <c r="I338">
        <v>-0.1845494</v>
      </c>
      <c r="J338">
        <v>0.45776027000000002</v>
      </c>
    </row>
    <row r="339" spans="1:10" x14ac:dyDescent="0.3">
      <c r="A339">
        <v>337</v>
      </c>
      <c r="B339">
        <v>7728</v>
      </c>
      <c r="C339" t="b">
        <v>1</v>
      </c>
      <c r="D339">
        <v>8077</v>
      </c>
      <c r="E339">
        <v>8123</v>
      </c>
      <c r="F339">
        <v>220.46665999999999</v>
      </c>
      <c r="G339">
        <v>187.6</v>
      </c>
      <c r="H339">
        <v>1.1751952999999999</v>
      </c>
      <c r="I339">
        <v>-0.17519538000000001</v>
      </c>
      <c r="J339">
        <v>0.45972884000000003</v>
      </c>
    </row>
    <row r="340" spans="1:10" x14ac:dyDescent="0.3">
      <c r="A340">
        <v>338</v>
      </c>
      <c r="B340">
        <v>7744</v>
      </c>
      <c r="C340" t="b">
        <v>1</v>
      </c>
      <c r="D340">
        <v>8065</v>
      </c>
      <c r="E340">
        <v>8105</v>
      </c>
      <c r="F340">
        <v>220.46665999999999</v>
      </c>
      <c r="G340">
        <v>188.8</v>
      </c>
      <c r="H340">
        <v>1.1677259</v>
      </c>
      <c r="I340">
        <v>-0.16772593999999999</v>
      </c>
      <c r="J340">
        <v>0.46131292000000002</v>
      </c>
    </row>
    <row r="341" spans="1:10" x14ac:dyDescent="0.3">
      <c r="A341">
        <v>339</v>
      </c>
      <c r="B341">
        <v>7776</v>
      </c>
      <c r="C341" t="b">
        <v>1</v>
      </c>
      <c r="D341">
        <v>8054</v>
      </c>
      <c r="E341">
        <v>8105</v>
      </c>
      <c r="F341">
        <v>220.06666999999999</v>
      </c>
      <c r="G341">
        <v>188.8</v>
      </c>
      <c r="H341">
        <v>1.1656073</v>
      </c>
      <c r="I341">
        <v>-0.16560732</v>
      </c>
      <c r="J341">
        <v>0.46176424999999999</v>
      </c>
    </row>
    <row r="342" spans="1:10" x14ac:dyDescent="0.3">
      <c r="A342">
        <v>340</v>
      </c>
      <c r="B342">
        <v>7807</v>
      </c>
      <c r="C342" t="b">
        <v>1</v>
      </c>
      <c r="D342">
        <v>8065</v>
      </c>
      <c r="E342">
        <v>8081</v>
      </c>
      <c r="F342">
        <v>220.06666999999999</v>
      </c>
      <c r="G342">
        <v>188.8</v>
      </c>
      <c r="H342">
        <v>1.1656073</v>
      </c>
      <c r="I342">
        <v>-0.16560732</v>
      </c>
      <c r="J342">
        <v>0.46176424999999999</v>
      </c>
    </row>
    <row r="343" spans="1:10" x14ac:dyDescent="0.3">
      <c r="A343">
        <v>341</v>
      </c>
      <c r="B343">
        <v>7839</v>
      </c>
      <c r="C343" t="b">
        <v>1</v>
      </c>
      <c r="D343">
        <v>8083</v>
      </c>
      <c r="E343">
        <v>8099</v>
      </c>
      <c r="F343">
        <v>220.06666999999999</v>
      </c>
      <c r="G343">
        <v>188.8</v>
      </c>
      <c r="H343">
        <v>1.1656073</v>
      </c>
      <c r="I343">
        <v>-0.16560732</v>
      </c>
      <c r="J343">
        <v>0.46176424999999999</v>
      </c>
    </row>
    <row r="344" spans="1:10" x14ac:dyDescent="0.3">
      <c r="A344">
        <v>342</v>
      </c>
      <c r="B344">
        <v>7855</v>
      </c>
      <c r="C344" t="b">
        <v>1</v>
      </c>
      <c r="D344">
        <v>8065</v>
      </c>
      <c r="E344">
        <v>8099</v>
      </c>
      <c r="F344">
        <v>219.66667000000001</v>
      </c>
      <c r="G344">
        <v>188.4</v>
      </c>
      <c r="H344">
        <v>1.165959</v>
      </c>
      <c r="I344">
        <v>-0.16595902000000001</v>
      </c>
      <c r="J344">
        <v>0.46168925999999999</v>
      </c>
    </row>
    <row r="345" spans="1:10" x14ac:dyDescent="0.3">
      <c r="A345">
        <v>343</v>
      </c>
      <c r="B345">
        <v>7871</v>
      </c>
      <c r="C345" t="b">
        <v>1</v>
      </c>
      <c r="D345">
        <v>8065</v>
      </c>
      <c r="E345">
        <v>8081</v>
      </c>
      <c r="F345">
        <v>220</v>
      </c>
      <c r="G345">
        <v>188</v>
      </c>
      <c r="H345">
        <v>1.1702127</v>
      </c>
      <c r="I345">
        <v>-0.17021275999999999</v>
      </c>
      <c r="J345">
        <v>0.46078432000000002</v>
      </c>
    </row>
    <row r="346" spans="1:10" x14ac:dyDescent="0.3">
      <c r="A346">
        <v>344</v>
      </c>
      <c r="B346">
        <v>7903</v>
      </c>
      <c r="C346" t="b">
        <v>1</v>
      </c>
      <c r="D346">
        <v>8083</v>
      </c>
      <c r="E346">
        <v>8117</v>
      </c>
      <c r="F346">
        <v>220.33332999999999</v>
      </c>
      <c r="G346">
        <v>187.6</v>
      </c>
      <c r="H346">
        <v>1.1744846</v>
      </c>
      <c r="I346">
        <v>-0.17448466000000001</v>
      </c>
      <c r="J346">
        <v>0.45987907</v>
      </c>
    </row>
    <row r="347" spans="1:10" x14ac:dyDescent="0.3">
      <c r="A347">
        <v>345</v>
      </c>
      <c r="B347">
        <v>7935</v>
      </c>
      <c r="C347" t="b">
        <v>1</v>
      </c>
      <c r="D347">
        <v>8065</v>
      </c>
      <c r="E347">
        <v>8117</v>
      </c>
      <c r="F347">
        <v>220.66667000000001</v>
      </c>
      <c r="G347">
        <v>187.2</v>
      </c>
      <c r="H347">
        <v>1.1787749999999999</v>
      </c>
      <c r="I347">
        <v>-0.17877497000000001</v>
      </c>
      <c r="J347">
        <v>0.45897349999999998</v>
      </c>
    </row>
    <row r="348" spans="1:10" x14ac:dyDescent="0.3">
      <c r="A348">
        <v>346</v>
      </c>
      <c r="B348">
        <v>7966</v>
      </c>
      <c r="C348" t="b">
        <v>1</v>
      </c>
      <c r="D348">
        <v>8060</v>
      </c>
      <c r="E348">
        <v>8117</v>
      </c>
      <c r="F348">
        <v>221.4</v>
      </c>
      <c r="G348">
        <v>188</v>
      </c>
      <c r="H348">
        <v>1.1776595000000001</v>
      </c>
      <c r="I348">
        <v>-0.17765954</v>
      </c>
      <c r="J348">
        <v>0.45920860000000002</v>
      </c>
    </row>
    <row r="349" spans="1:10" x14ac:dyDescent="0.3">
      <c r="A349">
        <v>347</v>
      </c>
      <c r="B349">
        <v>7998</v>
      </c>
      <c r="C349" t="b">
        <v>1</v>
      </c>
      <c r="D349">
        <v>8065</v>
      </c>
      <c r="E349">
        <v>8099</v>
      </c>
      <c r="F349">
        <v>222.13333</v>
      </c>
      <c r="G349">
        <v>189.2</v>
      </c>
      <c r="H349">
        <v>1.1740663</v>
      </c>
      <c r="I349">
        <v>-0.17406625000000001</v>
      </c>
      <c r="J349">
        <v>0.45996759999999998</v>
      </c>
    </row>
    <row r="350" spans="1:10" x14ac:dyDescent="0.3">
      <c r="A350">
        <v>348</v>
      </c>
      <c r="B350">
        <v>8030</v>
      </c>
      <c r="C350" t="b">
        <v>1</v>
      </c>
      <c r="D350">
        <v>8054</v>
      </c>
      <c r="E350">
        <v>8117</v>
      </c>
      <c r="F350">
        <v>222.86667</v>
      </c>
      <c r="G350">
        <v>190.8</v>
      </c>
      <c r="H350">
        <v>1.1680642000000001</v>
      </c>
      <c r="I350">
        <v>-0.16806428000000001</v>
      </c>
      <c r="J350">
        <v>0.46124092</v>
      </c>
    </row>
    <row r="351" spans="1:10" x14ac:dyDescent="0.3">
      <c r="A351">
        <v>349</v>
      </c>
      <c r="B351">
        <v>8062</v>
      </c>
      <c r="C351" t="b">
        <v>1</v>
      </c>
      <c r="D351">
        <v>8037</v>
      </c>
      <c r="E351">
        <v>8093</v>
      </c>
      <c r="F351">
        <v>223.26666</v>
      </c>
      <c r="G351">
        <v>192.4</v>
      </c>
      <c r="H351">
        <v>1.1604296999999999</v>
      </c>
      <c r="I351">
        <v>-0.16042967</v>
      </c>
      <c r="J351">
        <v>0.46287089999999997</v>
      </c>
    </row>
    <row r="352" spans="1:10" x14ac:dyDescent="0.3">
      <c r="A352">
        <v>350</v>
      </c>
      <c r="B352">
        <v>8077</v>
      </c>
      <c r="C352" t="b">
        <v>1</v>
      </c>
      <c r="D352">
        <v>8054</v>
      </c>
      <c r="E352">
        <v>8105</v>
      </c>
      <c r="F352">
        <v>223.26666</v>
      </c>
      <c r="G352">
        <v>193.2</v>
      </c>
      <c r="H352">
        <v>1.1556245000000001</v>
      </c>
      <c r="I352">
        <v>-0.15562456999999999</v>
      </c>
      <c r="J352">
        <v>0.46390265000000003</v>
      </c>
    </row>
    <row r="353" spans="1:10" x14ac:dyDescent="0.3">
      <c r="A353">
        <v>351</v>
      </c>
      <c r="B353">
        <v>8093</v>
      </c>
      <c r="C353" t="b">
        <v>1</v>
      </c>
      <c r="D353">
        <v>8054</v>
      </c>
      <c r="E353">
        <v>8105</v>
      </c>
      <c r="F353">
        <v>222.86667</v>
      </c>
      <c r="G353">
        <v>193.2</v>
      </c>
      <c r="H353">
        <v>1.1535542000000001</v>
      </c>
      <c r="I353">
        <v>-0.1535542</v>
      </c>
      <c r="J353">
        <v>0.46434867000000002</v>
      </c>
    </row>
    <row r="354" spans="1:10" x14ac:dyDescent="0.3">
      <c r="A354">
        <v>352</v>
      </c>
      <c r="B354">
        <v>8125</v>
      </c>
      <c r="C354" t="b">
        <v>1</v>
      </c>
      <c r="D354">
        <v>8054</v>
      </c>
      <c r="E354">
        <v>8087</v>
      </c>
      <c r="F354">
        <v>222.46665999999999</v>
      </c>
      <c r="G354">
        <v>192.4</v>
      </c>
      <c r="H354">
        <v>1.1562717</v>
      </c>
      <c r="I354">
        <v>-0.15627165000000001</v>
      </c>
      <c r="J354">
        <v>0.46376348000000001</v>
      </c>
    </row>
    <row r="355" spans="1:10" x14ac:dyDescent="0.3">
      <c r="A355">
        <v>353</v>
      </c>
      <c r="B355">
        <v>8157</v>
      </c>
      <c r="C355" t="b">
        <v>1</v>
      </c>
      <c r="D355">
        <v>8071</v>
      </c>
      <c r="E355">
        <v>8111</v>
      </c>
      <c r="F355">
        <v>221.73334</v>
      </c>
      <c r="G355">
        <v>191.6</v>
      </c>
      <c r="H355">
        <v>1.1572720999999999</v>
      </c>
      <c r="I355">
        <v>-0.15727209</v>
      </c>
      <c r="J355">
        <v>0.46354840000000003</v>
      </c>
    </row>
    <row r="356" spans="1:10" x14ac:dyDescent="0.3">
      <c r="A356">
        <v>354</v>
      </c>
      <c r="B356">
        <v>8188</v>
      </c>
      <c r="C356" t="b">
        <v>1</v>
      </c>
      <c r="D356">
        <v>8060</v>
      </c>
      <c r="E356">
        <v>8105</v>
      </c>
      <c r="F356">
        <v>221</v>
      </c>
      <c r="G356">
        <v>191.6</v>
      </c>
      <c r="H356">
        <v>1.1534446</v>
      </c>
      <c r="I356">
        <v>-0.15344463</v>
      </c>
      <c r="J356">
        <v>0.46437228000000003</v>
      </c>
    </row>
    <row r="357" spans="1:10" x14ac:dyDescent="0.3">
      <c r="A357">
        <v>355</v>
      </c>
      <c r="B357">
        <v>8204</v>
      </c>
      <c r="C357" t="b">
        <v>1</v>
      </c>
      <c r="D357">
        <v>8054</v>
      </c>
      <c r="E357">
        <v>8099</v>
      </c>
      <c r="F357">
        <v>220.26666</v>
      </c>
      <c r="G357">
        <v>191.6</v>
      </c>
      <c r="H357">
        <v>1.1496172</v>
      </c>
      <c r="I357">
        <v>-0.14961720000000001</v>
      </c>
      <c r="J357">
        <v>0.46519909999999998</v>
      </c>
    </row>
    <row r="358" spans="1:10" x14ac:dyDescent="0.3">
      <c r="A358">
        <v>356</v>
      </c>
      <c r="B358">
        <v>8220</v>
      </c>
      <c r="C358" t="b">
        <v>1</v>
      </c>
      <c r="D358">
        <v>8042</v>
      </c>
      <c r="E358">
        <v>8105</v>
      </c>
      <c r="F358">
        <v>219.53334000000001</v>
      </c>
      <c r="G358">
        <v>191.6</v>
      </c>
      <c r="H358">
        <v>1.1457899</v>
      </c>
      <c r="I358">
        <v>-0.14578985</v>
      </c>
      <c r="J358">
        <v>0.46602884</v>
      </c>
    </row>
    <row r="359" spans="1:10" x14ac:dyDescent="0.3">
      <c r="A359">
        <v>357</v>
      </c>
      <c r="B359">
        <v>8235</v>
      </c>
      <c r="C359" t="b">
        <v>1</v>
      </c>
      <c r="D359">
        <v>8048</v>
      </c>
      <c r="E359">
        <v>8099</v>
      </c>
      <c r="F359">
        <v>218.8</v>
      </c>
      <c r="G359">
        <v>192</v>
      </c>
      <c r="H359">
        <v>1.1395833</v>
      </c>
      <c r="I359">
        <v>-0.13958334999999999</v>
      </c>
      <c r="J359">
        <v>0.46738073000000002</v>
      </c>
    </row>
    <row r="360" spans="1:10" x14ac:dyDescent="0.3">
      <c r="A360">
        <v>358</v>
      </c>
      <c r="B360">
        <v>8251</v>
      </c>
      <c r="C360" t="b">
        <v>1</v>
      </c>
      <c r="D360">
        <v>8077</v>
      </c>
      <c r="E360">
        <v>8093</v>
      </c>
      <c r="F360">
        <v>218.06666999999999</v>
      </c>
      <c r="G360">
        <v>192</v>
      </c>
      <c r="H360">
        <v>1.1357638999999999</v>
      </c>
      <c r="I360">
        <v>-0.13576388</v>
      </c>
      <c r="J360">
        <v>0.46821657</v>
      </c>
    </row>
    <row r="361" spans="1:10" x14ac:dyDescent="0.3">
      <c r="A361">
        <v>359</v>
      </c>
      <c r="B361">
        <v>8267</v>
      </c>
      <c r="C361" t="b">
        <v>1</v>
      </c>
      <c r="D361">
        <v>8054</v>
      </c>
      <c r="E361">
        <v>8117</v>
      </c>
      <c r="F361">
        <v>217.33332999999999</v>
      </c>
      <c r="G361">
        <v>192</v>
      </c>
      <c r="H361">
        <v>1.1319444000000001</v>
      </c>
      <c r="I361">
        <v>-0.13194442000000001</v>
      </c>
      <c r="J361">
        <v>0.46905538000000002</v>
      </c>
    </row>
    <row r="362" spans="1:10" x14ac:dyDescent="0.3">
      <c r="A362">
        <v>360</v>
      </c>
      <c r="B362">
        <v>8283</v>
      </c>
      <c r="C362" t="b">
        <v>1</v>
      </c>
      <c r="D362">
        <v>8030</v>
      </c>
      <c r="E362">
        <v>8117</v>
      </c>
      <c r="F362">
        <v>216.2</v>
      </c>
      <c r="G362">
        <v>192.4</v>
      </c>
      <c r="H362">
        <v>1.1237006</v>
      </c>
      <c r="I362">
        <v>-0.12370064</v>
      </c>
      <c r="J362">
        <v>0.47087620000000002</v>
      </c>
    </row>
    <row r="363" spans="1:10" x14ac:dyDescent="0.3">
      <c r="A363">
        <v>361</v>
      </c>
      <c r="B363">
        <v>8315</v>
      </c>
      <c r="C363" t="b">
        <v>1</v>
      </c>
      <c r="D363">
        <v>8060</v>
      </c>
      <c r="E363">
        <v>8105</v>
      </c>
      <c r="F363">
        <v>215.46665999999999</v>
      </c>
      <c r="G363">
        <v>191.6</v>
      </c>
      <c r="H363">
        <v>1.124565</v>
      </c>
      <c r="I363">
        <v>-0.12456499</v>
      </c>
      <c r="J363">
        <v>0.47068462</v>
      </c>
    </row>
    <row r="364" spans="1:10" x14ac:dyDescent="0.3">
      <c r="A364">
        <v>362</v>
      </c>
      <c r="B364">
        <v>8331</v>
      </c>
      <c r="C364" t="b">
        <v>1</v>
      </c>
      <c r="D364">
        <v>8071</v>
      </c>
      <c r="E364">
        <v>8111</v>
      </c>
      <c r="F364">
        <v>215.13333</v>
      </c>
      <c r="G364">
        <v>191.2</v>
      </c>
      <c r="H364">
        <v>1.1251743999999999</v>
      </c>
      <c r="I364">
        <v>-0.12517434</v>
      </c>
      <c r="J364">
        <v>0.47054963999999999</v>
      </c>
    </row>
    <row r="365" spans="1:10" x14ac:dyDescent="0.3">
      <c r="A365">
        <v>363</v>
      </c>
      <c r="B365">
        <v>8347</v>
      </c>
      <c r="C365" t="b">
        <v>1</v>
      </c>
      <c r="D365">
        <v>8060</v>
      </c>
      <c r="E365">
        <v>8105</v>
      </c>
      <c r="F365">
        <v>214.8</v>
      </c>
      <c r="G365">
        <v>190.8</v>
      </c>
      <c r="H365">
        <v>1.1257862000000001</v>
      </c>
      <c r="I365">
        <v>-0.12578616000000001</v>
      </c>
      <c r="J365">
        <v>0.4704142</v>
      </c>
    </row>
    <row r="366" spans="1:10" x14ac:dyDescent="0.3">
      <c r="A366">
        <v>364</v>
      </c>
      <c r="B366">
        <v>8363</v>
      </c>
      <c r="C366" t="b">
        <v>1</v>
      </c>
      <c r="D366">
        <v>8054</v>
      </c>
      <c r="E366">
        <v>8081</v>
      </c>
      <c r="F366">
        <v>214.8</v>
      </c>
      <c r="G366">
        <v>190</v>
      </c>
      <c r="H366">
        <v>1.1305263000000001</v>
      </c>
      <c r="I366">
        <v>-0.13052633</v>
      </c>
      <c r="J366">
        <v>0.4693676</v>
      </c>
    </row>
    <row r="367" spans="1:10" x14ac:dyDescent="0.3">
      <c r="A367">
        <v>365</v>
      </c>
      <c r="B367">
        <v>8379</v>
      </c>
      <c r="C367" t="b">
        <v>1</v>
      </c>
      <c r="D367">
        <v>8060</v>
      </c>
      <c r="E367">
        <v>8093</v>
      </c>
      <c r="F367">
        <v>215.2</v>
      </c>
      <c r="G367">
        <v>190</v>
      </c>
      <c r="H367">
        <v>1.1326315</v>
      </c>
      <c r="I367">
        <v>-0.13263157</v>
      </c>
      <c r="J367">
        <v>0.46890422999999998</v>
      </c>
    </row>
    <row r="368" spans="1:10" x14ac:dyDescent="0.3">
      <c r="A368">
        <v>366</v>
      </c>
      <c r="B368">
        <v>8410</v>
      </c>
      <c r="C368" t="b">
        <v>1</v>
      </c>
      <c r="D368">
        <v>8065</v>
      </c>
      <c r="E368">
        <v>8129</v>
      </c>
      <c r="F368">
        <v>215.6</v>
      </c>
      <c r="G368">
        <v>190</v>
      </c>
      <c r="H368">
        <v>1.1347369</v>
      </c>
      <c r="I368">
        <v>-0.13473688</v>
      </c>
      <c r="J368">
        <v>0.46844180000000002</v>
      </c>
    </row>
    <row r="369" spans="1:10" x14ac:dyDescent="0.3">
      <c r="A369">
        <v>367</v>
      </c>
      <c r="B369">
        <v>8442</v>
      </c>
      <c r="C369" t="b">
        <v>1</v>
      </c>
      <c r="D369">
        <v>8054</v>
      </c>
      <c r="E369">
        <v>8093</v>
      </c>
      <c r="F369">
        <v>216</v>
      </c>
      <c r="G369">
        <v>189.2</v>
      </c>
      <c r="H369">
        <v>1.1416489999999999</v>
      </c>
      <c r="I369">
        <v>-0.14164906999999999</v>
      </c>
      <c r="J369">
        <v>0.46692988000000002</v>
      </c>
    </row>
    <row r="370" spans="1:10" x14ac:dyDescent="0.3">
      <c r="A370">
        <v>368</v>
      </c>
      <c r="B370">
        <v>8474</v>
      </c>
      <c r="C370" t="b">
        <v>1</v>
      </c>
      <c r="D370">
        <v>8071</v>
      </c>
      <c r="E370">
        <v>8123</v>
      </c>
      <c r="F370">
        <v>216.4</v>
      </c>
      <c r="G370">
        <v>188.4</v>
      </c>
      <c r="H370">
        <v>1.14862</v>
      </c>
      <c r="I370">
        <v>-0.14861996</v>
      </c>
      <c r="J370">
        <v>0.46541503000000001</v>
      </c>
    </row>
    <row r="371" spans="1:10" x14ac:dyDescent="0.3">
      <c r="A371">
        <v>369</v>
      </c>
      <c r="B371">
        <v>8505</v>
      </c>
      <c r="C371" t="b">
        <v>1</v>
      </c>
      <c r="D371">
        <v>8088</v>
      </c>
      <c r="E371">
        <v>8093</v>
      </c>
      <c r="F371">
        <v>217.13333</v>
      </c>
      <c r="G371">
        <v>187.6</v>
      </c>
      <c r="H371">
        <v>1.1574271</v>
      </c>
      <c r="I371">
        <v>-0.15742709999999999</v>
      </c>
      <c r="J371">
        <v>0.46351506999999997</v>
      </c>
    </row>
    <row r="372" spans="1:10" x14ac:dyDescent="0.3">
      <c r="A372">
        <v>370</v>
      </c>
      <c r="B372">
        <v>8537</v>
      </c>
      <c r="C372" t="b">
        <v>1</v>
      </c>
      <c r="D372">
        <v>8077</v>
      </c>
      <c r="E372">
        <v>8093</v>
      </c>
      <c r="F372">
        <v>218.26666</v>
      </c>
      <c r="G372">
        <v>186.8</v>
      </c>
      <c r="H372">
        <v>1.1684511</v>
      </c>
      <c r="I372">
        <v>-0.16845107000000001</v>
      </c>
      <c r="J372">
        <v>0.46115869999999998</v>
      </c>
    </row>
    <row r="373" spans="1:10" x14ac:dyDescent="0.3">
      <c r="A373">
        <v>371</v>
      </c>
      <c r="B373">
        <v>8553</v>
      </c>
      <c r="C373" t="b">
        <v>1</v>
      </c>
      <c r="D373">
        <v>8060</v>
      </c>
      <c r="E373">
        <v>8093</v>
      </c>
      <c r="F373">
        <v>219.4</v>
      </c>
      <c r="G373">
        <v>186</v>
      </c>
      <c r="H373">
        <v>1.1795697999999999</v>
      </c>
      <c r="I373">
        <v>-0.17956986</v>
      </c>
      <c r="J373">
        <v>0.45880612999999998</v>
      </c>
    </row>
    <row r="374" spans="1:10" x14ac:dyDescent="0.3">
      <c r="A374">
        <v>372</v>
      </c>
      <c r="B374">
        <v>8569</v>
      </c>
      <c r="C374" t="b">
        <v>1</v>
      </c>
      <c r="D374">
        <v>8065</v>
      </c>
      <c r="E374">
        <v>8087</v>
      </c>
      <c r="F374">
        <v>220.53334000000001</v>
      </c>
      <c r="G374">
        <v>185.2</v>
      </c>
      <c r="H374">
        <v>1.1907848000000001</v>
      </c>
      <c r="I374">
        <v>-0.1907848</v>
      </c>
      <c r="J374">
        <v>0.45645743999999999</v>
      </c>
    </row>
    <row r="375" spans="1:10" x14ac:dyDescent="0.3">
      <c r="A375">
        <v>373</v>
      </c>
      <c r="B375">
        <v>8600</v>
      </c>
      <c r="C375" t="b">
        <v>1</v>
      </c>
      <c r="D375">
        <v>8054</v>
      </c>
      <c r="E375">
        <v>8099</v>
      </c>
      <c r="F375">
        <v>221.26666</v>
      </c>
      <c r="G375">
        <v>184.8</v>
      </c>
      <c r="H375">
        <v>1.1973304</v>
      </c>
      <c r="I375">
        <v>-0.19733039999999999</v>
      </c>
      <c r="J375">
        <v>0.45509769999999999</v>
      </c>
    </row>
    <row r="376" spans="1:10" x14ac:dyDescent="0.3">
      <c r="A376">
        <v>374</v>
      </c>
      <c r="B376">
        <v>8616</v>
      </c>
      <c r="C376" t="b">
        <v>1</v>
      </c>
      <c r="D376">
        <v>8048</v>
      </c>
      <c r="E376">
        <v>8099</v>
      </c>
      <c r="F376">
        <v>221.66667000000001</v>
      </c>
      <c r="G376">
        <v>184.4</v>
      </c>
      <c r="H376">
        <v>1.2020968999999999</v>
      </c>
      <c r="I376">
        <v>-0.20209695</v>
      </c>
      <c r="J376">
        <v>0.45411262000000002</v>
      </c>
    </row>
    <row r="377" spans="1:10" x14ac:dyDescent="0.3">
      <c r="A377">
        <v>375</v>
      </c>
      <c r="B377">
        <v>8648</v>
      </c>
      <c r="C377" t="b">
        <v>1</v>
      </c>
      <c r="D377">
        <v>8094</v>
      </c>
      <c r="E377">
        <v>8117</v>
      </c>
      <c r="F377">
        <v>222.46665999999999</v>
      </c>
      <c r="G377">
        <v>184</v>
      </c>
      <c r="H377">
        <v>1.2090578999999999</v>
      </c>
      <c r="I377">
        <v>-0.20905793</v>
      </c>
      <c r="J377">
        <v>0.45268163</v>
      </c>
    </row>
    <row r="378" spans="1:10" x14ac:dyDescent="0.3">
      <c r="A378">
        <v>376</v>
      </c>
      <c r="B378">
        <v>8680</v>
      </c>
      <c r="C378" t="b">
        <v>1</v>
      </c>
      <c r="D378">
        <v>8060</v>
      </c>
      <c r="E378">
        <v>8117</v>
      </c>
      <c r="F378">
        <v>222.86667</v>
      </c>
      <c r="G378">
        <v>183.6</v>
      </c>
      <c r="H378">
        <v>1.2138708</v>
      </c>
      <c r="I378">
        <v>-0.2138707</v>
      </c>
      <c r="J378">
        <v>0.45169756</v>
      </c>
    </row>
    <row r="379" spans="1:10" x14ac:dyDescent="0.3">
      <c r="A379">
        <v>377</v>
      </c>
      <c r="B379">
        <v>8712</v>
      </c>
      <c r="C379" t="b">
        <v>1</v>
      </c>
      <c r="D379">
        <v>8065</v>
      </c>
      <c r="E379">
        <v>8105</v>
      </c>
      <c r="F379">
        <v>222.86667</v>
      </c>
      <c r="G379">
        <v>183.2</v>
      </c>
      <c r="H379">
        <v>1.2165211</v>
      </c>
      <c r="I379">
        <v>-0.21652114</v>
      </c>
      <c r="J379">
        <v>0.45115745000000002</v>
      </c>
    </row>
    <row r="380" spans="1:10" x14ac:dyDescent="0.3">
      <c r="A380">
        <v>378</v>
      </c>
      <c r="B380">
        <v>8727</v>
      </c>
      <c r="C380" t="b">
        <v>1</v>
      </c>
      <c r="D380">
        <v>8065</v>
      </c>
      <c r="E380">
        <v>8093</v>
      </c>
      <c r="F380">
        <v>223.2</v>
      </c>
      <c r="G380">
        <v>182.8</v>
      </c>
      <c r="H380">
        <v>1.2210065000000001</v>
      </c>
      <c r="I380">
        <v>-0.22100653000000001</v>
      </c>
      <c r="J380">
        <v>0.45024629999999999</v>
      </c>
    </row>
    <row r="381" spans="1:10" x14ac:dyDescent="0.3">
      <c r="A381">
        <v>379</v>
      </c>
      <c r="B381">
        <v>8743</v>
      </c>
      <c r="C381" t="b">
        <v>1</v>
      </c>
      <c r="D381">
        <v>8048</v>
      </c>
      <c r="E381">
        <v>8105</v>
      </c>
      <c r="F381">
        <v>223.53334000000001</v>
      </c>
      <c r="G381">
        <v>182.8</v>
      </c>
      <c r="H381">
        <v>1.2228300000000001</v>
      </c>
      <c r="I381">
        <v>-0.22283006999999999</v>
      </c>
      <c r="J381">
        <v>0.44987693000000001</v>
      </c>
    </row>
    <row r="382" spans="1:10" x14ac:dyDescent="0.3">
      <c r="A382">
        <v>380</v>
      </c>
      <c r="B382">
        <v>8759</v>
      </c>
      <c r="C382" t="b">
        <v>1</v>
      </c>
      <c r="D382">
        <v>8048</v>
      </c>
      <c r="E382">
        <v>8123</v>
      </c>
      <c r="F382">
        <v>223.53334000000001</v>
      </c>
      <c r="G382">
        <v>182.8</v>
      </c>
      <c r="H382">
        <v>1.2228300000000001</v>
      </c>
      <c r="I382">
        <v>-0.22283006999999999</v>
      </c>
      <c r="J382">
        <v>0.44987693000000001</v>
      </c>
    </row>
    <row r="383" spans="1:10" x14ac:dyDescent="0.3">
      <c r="A383">
        <v>381</v>
      </c>
      <c r="B383">
        <v>8791</v>
      </c>
      <c r="C383" t="b">
        <v>1</v>
      </c>
      <c r="D383">
        <v>8065</v>
      </c>
      <c r="E383">
        <v>8075</v>
      </c>
      <c r="F383">
        <v>223.86667</v>
      </c>
      <c r="G383">
        <v>182.8</v>
      </c>
      <c r="H383">
        <v>1.2246535000000001</v>
      </c>
      <c r="I383">
        <v>-0.22465352999999999</v>
      </c>
      <c r="J383">
        <v>0.44950820000000002</v>
      </c>
    </row>
    <row r="384" spans="1:10" x14ac:dyDescent="0.3">
      <c r="A384">
        <v>382</v>
      </c>
      <c r="B384">
        <v>8823</v>
      </c>
      <c r="C384" t="b">
        <v>1</v>
      </c>
      <c r="D384">
        <v>8065</v>
      </c>
      <c r="E384">
        <v>8105</v>
      </c>
      <c r="F384">
        <v>224.2</v>
      </c>
      <c r="G384">
        <v>183.6</v>
      </c>
      <c r="H384">
        <v>1.2211329</v>
      </c>
      <c r="I384">
        <v>-0.22113284</v>
      </c>
      <c r="J384">
        <v>0.45022073000000001</v>
      </c>
    </row>
    <row r="385" spans="1:10" x14ac:dyDescent="0.3">
      <c r="A385">
        <v>383</v>
      </c>
      <c r="B385">
        <v>8839</v>
      </c>
      <c r="C385" t="b">
        <v>1</v>
      </c>
      <c r="D385">
        <v>8054</v>
      </c>
      <c r="E385">
        <v>8105</v>
      </c>
      <c r="F385">
        <v>223.8</v>
      </c>
      <c r="G385">
        <v>184.4</v>
      </c>
      <c r="H385">
        <v>1.2136659999999999</v>
      </c>
      <c r="I385">
        <v>-0.21366599999999999</v>
      </c>
      <c r="J385">
        <v>0.45173930000000001</v>
      </c>
    </row>
    <row r="386" spans="1:10" x14ac:dyDescent="0.3">
      <c r="A386">
        <v>384</v>
      </c>
      <c r="B386">
        <v>8854</v>
      </c>
      <c r="C386" t="b">
        <v>1</v>
      </c>
      <c r="D386">
        <v>8030</v>
      </c>
      <c r="E386">
        <v>8111</v>
      </c>
      <c r="F386">
        <v>223.06666999999999</v>
      </c>
      <c r="G386">
        <v>185.2</v>
      </c>
      <c r="H386">
        <v>1.2044636</v>
      </c>
      <c r="I386">
        <v>-0.20446365999999999</v>
      </c>
      <c r="J386">
        <v>0.45362508000000001</v>
      </c>
    </row>
    <row r="387" spans="1:10" x14ac:dyDescent="0.3">
      <c r="A387">
        <v>385</v>
      </c>
      <c r="B387">
        <v>8870</v>
      </c>
      <c r="C387" t="b">
        <v>1</v>
      </c>
      <c r="D387">
        <v>8054</v>
      </c>
      <c r="E387">
        <v>8129</v>
      </c>
      <c r="F387">
        <v>221.93333000000001</v>
      </c>
      <c r="G387">
        <v>186</v>
      </c>
      <c r="H387">
        <v>1.19319</v>
      </c>
      <c r="I387">
        <v>-0.19318995999999999</v>
      </c>
      <c r="J387">
        <v>0.45595685000000002</v>
      </c>
    </row>
    <row r="388" spans="1:10" x14ac:dyDescent="0.3">
      <c r="A388">
        <v>386</v>
      </c>
      <c r="B388">
        <v>8886</v>
      </c>
      <c r="C388" t="b">
        <v>1</v>
      </c>
      <c r="D388">
        <v>8060</v>
      </c>
      <c r="E388">
        <v>8117</v>
      </c>
      <c r="F388">
        <v>220.8</v>
      </c>
      <c r="G388">
        <v>187.2</v>
      </c>
      <c r="H388">
        <v>1.1794872000000001</v>
      </c>
      <c r="I388">
        <v>-0.17948721000000001</v>
      </c>
      <c r="J388">
        <v>0.45882352999999998</v>
      </c>
    </row>
    <row r="389" spans="1:10" x14ac:dyDescent="0.3">
      <c r="A389">
        <v>387</v>
      </c>
      <c r="B389">
        <v>8918</v>
      </c>
      <c r="C389" t="b">
        <v>1</v>
      </c>
      <c r="D389">
        <v>8048</v>
      </c>
      <c r="E389">
        <v>8117</v>
      </c>
      <c r="F389">
        <v>219.66667000000001</v>
      </c>
      <c r="G389">
        <v>188.8</v>
      </c>
      <c r="H389">
        <v>1.1634887</v>
      </c>
      <c r="I389">
        <v>-0.16348872</v>
      </c>
      <c r="J389">
        <v>0.46221640000000003</v>
      </c>
    </row>
    <row r="390" spans="1:10" x14ac:dyDescent="0.3">
      <c r="A390">
        <v>388</v>
      </c>
      <c r="B390">
        <v>8934</v>
      </c>
      <c r="C390" t="b">
        <v>1</v>
      </c>
      <c r="D390">
        <v>8065</v>
      </c>
      <c r="E390">
        <v>8134</v>
      </c>
      <c r="F390">
        <v>218.93333000000001</v>
      </c>
      <c r="G390">
        <v>190.4</v>
      </c>
      <c r="H390">
        <v>1.1498600000000001</v>
      </c>
      <c r="I390">
        <v>-0.14985998</v>
      </c>
      <c r="J390">
        <v>0.46514660000000002</v>
      </c>
    </row>
    <row r="391" spans="1:10" x14ac:dyDescent="0.3">
      <c r="A391">
        <v>389</v>
      </c>
      <c r="B391">
        <v>8950</v>
      </c>
      <c r="C391" t="b">
        <v>1</v>
      </c>
      <c r="D391">
        <v>8054</v>
      </c>
      <c r="E391">
        <v>8111</v>
      </c>
      <c r="F391">
        <v>218.53334000000001</v>
      </c>
      <c r="G391">
        <v>192</v>
      </c>
      <c r="H391">
        <v>1.1381943999999999</v>
      </c>
      <c r="I391">
        <v>-0.13819449</v>
      </c>
      <c r="J391">
        <v>0.46768432999999998</v>
      </c>
    </row>
    <row r="392" spans="1:10" x14ac:dyDescent="0.3">
      <c r="A392">
        <v>390</v>
      </c>
      <c r="B392">
        <v>8966</v>
      </c>
      <c r="C392" t="b">
        <v>1</v>
      </c>
      <c r="D392">
        <v>8065</v>
      </c>
      <c r="E392">
        <v>8099</v>
      </c>
      <c r="F392">
        <v>218.53334000000001</v>
      </c>
      <c r="G392">
        <v>193.2</v>
      </c>
      <c r="H392">
        <v>1.1311249999999999</v>
      </c>
      <c r="I392">
        <v>-0.13112497000000001</v>
      </c>
      <c r="J392">
        <v>0.46923575000000001</v>
      </c>
    </row>
    <row r="393" spans="1:10" x14ac:dyDescent="0.3">
      <c r="A393">
        <v>391</v>
      </c>
      <c r="B393">
        <v>8982</v>
      </c>
      <c r="C393" t="b">
        <v>1</v>
      </c>
      <c r="D393">
        <v>8037</v>
      </c>
      <c r="E393">
        <v>8105</v>
      </c>
      <c r="F393">
        <v>218.13333</v>
      </c>
      <c r="G393">
        <v>194</v>
      </c>
      <c r="H393">
        <v>1.1243985999999999</v>
      </c>
      <c r="I393">
        <v>-0.12439861000000001</v>
      </c>
      <c r="J393">
        <v>0.47072144999999999</v>
      </c>
    </row>
    <row r="394" spans="1:10" x14ac:dyDescent="0.3">
      <c r="A394">
        <v>392</v>
      </c>
      <c r="B394">
        <v>8998</v>
      </c>
      <c r="C394" t="b">
        <v>1</v>
      </c>
      <c r="D394">
        <v>8060</v>
      </c>
      <c r="E394">
        <v>8117</v>
      </c>
      <c r="F394">
        <v>218.13333</v>
      </c>
      <c r="G394">
        <v>194.4</v>
      </c>
      <c r="H394">
        <v>1.1220851000000001</v>
      </c>
      <c r="I394">
        <v>-0.12208507</v>
      </c>
      <c r="J394">
        <v>0.47123464999999998</v>
      </c>
    </row>
    <row r="395" spans="1:10" x14ac:dyDescent="0.3">
      <c r="A395">
        <v>393</v>
      </c>
      <c r="B395">
        <v>9014</v>
      </c>
      <c r="C395" t="b">
        <v>1</v>
      </c>
      <c r="D395">
        <v>8037</v>
      </c>
      <c r="E395">
        <v>8117</v>
      </c>
      <c r="F395">
        <v>217.4</v>
      </c>
      <c r="G395">
        <v>194.8</v>
      </c>
      <c r="H395">
        <v>1.1160163999999999</v>
      </c>
      <c r="I395">
        <v>-0.11601638</v>
      </c>
      <c r="J395">
        <v>0.47258612999999999</v>
      </c>
    </row>
    <row r="396" spans="1:10" x14ac:dyDescent="0.3">
      <c r="A396">
        <v>394</v>
      </c>
      <c r="B396">
        <v>9029</v>
      </c>
      <c r="C396" t="b">
        <v>1</v>
      </c>
      <c r="D396">
        <v>8048</v>
      </c>
      <c r="E396">
        <v>8117</v>
      </c>
      <c r="F396">
        <v>216.26666</v>
      </c>
      <c r="G396">
        <v>195.6</v>
      </c>
      <c r="H396">
        <v>1.1056577000000001</v>
      </c>
      <c r="I396">
        <v>-0.10565774999999999</v>
      </c>
      <c r="J396">
        <v>0.47491096999999999</v>
      </c>
    </row>
    <row r="397" spans="1:10" x14ac:dyDescent="0.3">
      <c r="A397">
        <v>395</v>
      </c>
      <c r="B397">
        <v>9045</v>
      </c>
      <c r="C397" t="b">
        <v>1</v>
      </c>
      <c r="D397">
        <v>8042</v>
      </c>
      <c r="E397">
        <v>8117</v>
      </c>
      <c r="F397">
        <v>215.06666999999999</v>
      </c>
      <c r="G397">
        <v>196.4</v>
      </c>
      <c r="H397">
        <v>1.0950441</v>
      </c>
      <c r="I397">
        <v>-9.5044160000000003E-2</v>
      </c>
      <c r="J397">
        <v>0.47731689999999999</v>
      </c>
    </row>
    <row r="398" spans="1:10" x14ac:dyDescent="0.3">
      <c r="A398">
        <v>396</v>
      </c>
      <c r="B398">
        <v>9061</v>
      </c>
      <c r="C398" t="b">
        <v>1</v>
      </c>
      <c r="D398">
        <v>8054</v>
      </c>
      <c r="E398">
        <v>8111</v>
      </c>
      <c r="F398">
        <v>213.93333000000001</v>
      </c>
      <c r="G398">
        <v>197.2</v>
      </c>
      <c r="H398">
        <v>1.0848545999999999</v>
      </c>
      <c r="I398">
        <v>-8.4854655000000001E-2</v>
      </c>
      <c r="J398">
        <v>0.47964974999999999</v>
      </c>
    </row>
    <row r="399" spans="1:10" x14ac:dyDescent="0.3">
      <c r="A399">
        <v>397</v>
      </c>
      <c r="B399">
        <v>9077</v>
      </c>
      <c r="C399" t="b">
        <v>1</v>
      </c>
      <c r="D399">
        <v>8083</v>
      </c>
      <c r="E399">
        <v>8117</v>
      </c>
      <c r="F399">
        <v>212.8</v>
      </c>
      <c r="G399">
        <v>198</v>
      </c>
      <c r="H399">
        <v>1.0747473999999999</v>
      </c>
      <c r="I399">
        <v>-7.474749E-2</v>
      </c>
      <c r="J399">
        <v>0.48198637</v>
      </c>
    </row>
    <row r="400" spans="1:10" x14ac:dyDescent="0.3">
      <c r="A400">
        <v>398</v>
      </c>
      <c r="B400">
        <v>9109</v>
      </c>
      <c r="C400" t="b">
        <v>1</v>
      </c>
      <c r="D400">
        <v>8042</v>
      </c>
      <c r="E400">
        <v>8117</v>
      </c>
      <c r="F400">
        <v>212.4</v>
      </c>
      <c r="G400">
        <v>198.8</v>
      </c>
      <c r="H400">
        <v>1.0684104000000001</v>
      </c>
      <c r="I400">
        <v>-6.841042E-2</v>
      </c>
      <c r="J400">
        <v>0.48346302000000002</v>
      </c>
    </row>
    <row r="401" spans="1:10" x14ac:dyDescent="0.3">
      <c r="A401">
        <v>399</v>
      </c>
      <c r="B401">
        <v>9141</v>
      </c>
      <c r="C401" t="b">
        <v>1</v>
      </c>
      <c r="D401">
        <v>8048</v>
      </c>
      <c r="E401">
        <v>8105</v>
      </c>
      <c r="F401">
        <v>212</v>
      </c>
      <c r="G401">
        <v>199.6</v>
      </c>
      <c r="H401">
        <v>1.0621243</v>
      </c>
      <c r="I401">
        <v>-6.2124215000000003E-2</v>
      </c>
      <c r="J401">
        <v>0.48493682999999999</v>
      </c>
    </row>
    <row r="402" spans="1:10" x14ac:dyDescent="0.3">
      <c r="A402">
        <v>400</v>
      </c>
      <c r="B402">
        <v>9172</v>
      </c>
      <c r="C402" t="b">
        <v>1</v>
      </c>
      <c r="D402">
        <v>8077</v>
      </c>
      <c r="E402">
        <v>8111</v>
      </c>
      <c r="F402">
        <v>212</v>
      </c>
      <c r="G402">
        <v>200</v>
      </c>
      <c r="H402">
        <v>1.06</v>
      </c>
      <c r="I402">
        <v>-0.06</v>
      </c>
      <c r="J402">
        <v>0.4854369</v>
      </c>
    </row>
    <row r="403" spans="1:10" x14ac:dyDescent="0.3">
      <c r="A403">
        <v>401</v>
      </c>
      <c r="B403">
        <v>9188</v>
      </c>
      <c r="C403" t="b">
        <v>1</v>
      </c>
      <c r="D403">
        <v>8060</v>
      </c>
      <c r="E403">
        <v>8129</v>
      </c>
      <c r="F403">
        <v>212.4</v>
      </c>
      <c r="G403">
        <v>200.4</v>
      </c>
      <c r="H403">
        <v>1.0598803000000001</v>
      </c>
      <c r="I403">
        <v>-5.9880240000000001E-2</v>
      </c>
      <c r="J403">
        <v>0.48546509999999998</v>
      </c>
    </row>
    <row r="404" spans="1:10" x14ac:dyDescent="0.3">
      <c r="A404">
        <v>402</v>
      </c>
      <c r="B404">
        <v>9220</v>
      </c>
      <c r="C404" t="b">
        <v>1</v>
      </c>
      <c r="D404">
        <v>8065</v>
      </c>
      <c r="E404">
        <v>8087</v>
      </c>
      <c r="F404">
        <v>212.8</v>
      </c>
      <c r="G404">
        <v>200</v>
      </c>
      <c r="H404">
        <v>1.0640000000000001</v>
      </c>
      <c r="I404">
        <v>-6.4000020000000005E-2</v>
      </c>
      <c r="J404">
        <v>0.48449615000000001</v>
      </c>
    </row>
    <row r="405" spans="1:10" x14ac:dyDescent="0.3">
      <c r="A405">
        <v>403</v>
      </c>
      <c r="B405">
        <v>9236</v>
      </c>
      <c r="C405" t="b">
        <v>1</v>
      </c>
      <c r="D405">
        <v>8071</v>
      </c>
      <c r="E405">
        <v>8111</v>
      </c>
      <c r="F405">
        <v>213.53334000000001</v>
      </c>
      <c r="G405">
        <v>199.6</v>
      </c>
      <c r="H405">
        <v>1.0698063</v>
      </c>
      <c r="I405">
        <v>-6.9806284999999996E-2</v>
      </c>
      <c r="J405">
        <v>0.48313697999999999</v>
      </c>
    </row>
    <row r="406" spans="1:10" x14ac:dyDescent="0.3">
      <c r="A406">
        <v>404</v>
      </c>
      <c r="B406">
        <v>9251</v>
      </c>
      <c r="C406" t="b">
        <v>1</v>
      </c>
      <c r="D406">
        <v>8065</v>
      </c>
      <c r="E406">
        <v>8093</v>
      </c>
      <c r="F406">
        <v>214.26666</v>
      </c>
      <c r="G406">
        <v>199.2</v>
      </c>
      <c r="H406">
        <v>1.0756359</v>
      </c>
      <c r="I406">
        <v>-7.5635869999999994E-2</v>
      </c>
      <c r="J406">
        <v>0.48178005000000002</v>
      </c>
    </row>
    <row r="407" spans="1:10" x14ac:dyDescent="0.3">
      <c r="A407">
        <v>405</v>
      </c>
      <c r="B407">
        <v>9267</v>
      </c>
      <c r="C407" t="b">
        <v>1</v>
      </c>
      <c r="D407">
        <v>8065</v>
      </c>
      <c r="E407">
        <v>8111</v>
      </c>
      <c r="F407">
        <v>214.6</v>
      </c>
      <c r="G407">
        <v>198.8</v>
      </c>
      <c r="H407">
        <v>1.0794767999999999</v>
      </c>
      <c r="I407">
        <v>-7.947688E-2</v>
      </c>
      <c r="J407">
        <v>0.48089015000000002</v>
      </c>
    </row>
    <row r="408" spans="1:10" x14ac:dyDescent="0.3">
      <c r="A408">
        <v>406</v>
      </c>
      <c r="B408">
        <v>9283</v>
      </c>
      <c r="C408" t="b">
        <v>1</v>
      </c>
      <c r="D408">
        <v>8077</v>
      </c>
      <c r="E408">
        <v>8093</v>
      </c>
      <c r="F408">
        <v>215.33332999999999</v>
      </c>
      <c r="G408">
        <v>197.6</v>
      </c>
      <c r="H408">
        <v>1.0897435</v>
      </c>
      <c r="I408">
        <v>-8.9743530000000002E-2</v>
      </c>
      <c r="J408">
        <v>0.4785276</v>
      </c>
    </row>
    <row r="409" spans="1:10" x14ac:dyDescent="0.3">
      <c r="A409">
        <v>407</v>
      </c>
      <c r="B409">
        <v>9299</v>
      </c>
      <c r="C409" t="b">
        <v>1</v>
      </c>
      <c r="D409">
        <v>8065</v>
      </c>
      <c r="E409">
        <v>8099</v>
      </c>
      <c r="F409">
        <v>215.66667000000001</v>
      </c>
      <c r="G409">
        <v>196.8</v>
      </c>
      <c r="H409">
        <v>1.0958673000000001</v>
      </c>
      <c r="I409">
        <v>-9.5867220000000003E-2</v>
      </c>
      <c r="J409">
        <v>0.47712946000000001</v>
      </c>
    </row>
    <row r="410" spans="1:10" x14ac:dyDescent="0.3">
      <c r="A410">
        <v>408</v>
      </c>
      <c r="B410">
        <v>9315</v>
      </c>
      <c r="C410" t="b">
        <v>1</v>
      </c>
      <c r="D410">
        <v>8083</v>
      </c>
      <c r="E410">
        <v>8093</v>
      </c>
      <c r="F410">
        <v>216.4</v>
      </c>
      <c r="G410">
        <v>195.6</v>
      </c>
      <c r="H410">
        <v>1.1063395</v>
      </c>
      <c r="I410">
        <v>-0.1063394</v>
      </c>
      <c r="J410">
        <v>0.47475728</v>
      </c>
    </row>
    <row r="411" spans="1:10" x14ac:dyDescent="0.3">
      <c r="A411">
        <v>409</v>
      </c>
      <c r="B411">
        <v>9331</v>
      </c>
      <c r="C411" t="b">
        <v>1</v>
      </c>
      <c r="D411">
        <v>8071</v>
      </c>
      <c r="E411">
        <v>8099</v>
      </c>
      <c r="F411">
        <v>217.93333000000001</v>
      </c>
      <c r="G411">
        <v>194.4</v>
      </c>
      <c r="H411">
        <v>1.1210563</v>
      </c>
      <c r="I411">
        <v>-0.12105628</v>
      </c>
      <c r="J411">
        <v>0.47146323000000001</v>
      </c>
    </row>
    <row r="412" spans="1:10" x14ac:dyDescent="0.3">
      <c r="A412">
        <v>410</v>
      </c>
      <c r="B412">
        <v>9347</v>
      </c>
      <c r="C412" t="b">
        <v>1</v>
      </c>
      <c r="D412">
        <v>8071</v>
      </c>
      <c r="E412">
        <v>8099</v>
      </c>
      <c r="F412">
        <v>219.86667</v>
      </c>
      <c r="G412">
        <v>193.2</v>
      </c>
      <c r="H412">
        <v>1.1380262000000001</v>
      </c>
      <c r="I412">
        <v>-0.13802624999999999</v>
      </c>
      <c r="J412">
        <v>0.46772112999999998</v>
      </c>
    </row>
    <row r="413" spans="1:10" x14ac:dyDescent="0.3">
      <c r="A413">
        <v>411</v>
      </c>
      <c r="B413">
        <v>9363</v>
      </c>
      <c r="C413" t="b">
        <v>1</v>
      </c>
      <c r="D413">
        <v>8065</v>
      </c>
      <c r="E413">
        <v>8105</v>
      </c>
      <c r="F413">
        <v>221.4</v>
      </c>
      <c r="G413">
        <v>192</v>
      </c>
      <c r="H413">
        <v>1.1531248999999999</v>
      </c>
      <c r="I413">
        <v>-0.15312497</v>
      </c>
      <c r="J413">
        <v>0.46444123999999998</v>
      </c>
    </row>
    <row r="414" spans="1:10" x14ac:dyDescent="0.3">
      <c r="A414">
        <v>412</v>
      </c>
      <c r="B414">
        <v>9378</v>
      </c>
      <c r="C414" t="b">
        <v>1</v>
      </c>
      <c r="D414">
        <v>8065</v>
      </c>
      <c r="E414">
        <v>8117</v>
      </c>
      <c r="F414">
        <v>222.93333000000001</v>
      </c>
      <c r="G414">
        <v>190.8</v>
      </c>
      <c r="H414">
        <v>1.1684136000000001</v>
      </c>
      <c r="I414">
        <v>-0.16841368000000001</v>
      </c>
      <c r="J414">
        <v>0.46116662000000003</v>
      </c>
    </row>
    <row r="415" spans="1:10" x14ac:dyDescent="0.3">
      <c r="A415">
        <v>413</v>
      </c>
      <c r="B415">
        <v>9394</v>
      </c>
      <c r="C415" t="b">
        <v>1</v>
      </c>
      <c r="D415">
        <v>8065</v>
      </c>
      <c r="E415">
        <v>8081</v>
      </c>
      <c r="F415">
        <v>224.06666999999999</v>
      </c>
      <c r="G415">
        <v>189.6</v>
      </c>
      <c r="H415">
        <v>1.1817861999999999</v>
      </c>
      <c r="I415">
        <v>-0.18178617999999999</v>
      </c>
      <c r="J415">
        <v>0.45834005</v>
      </c>
    </row>
    <row r="416" spans="1:10" x14ac:dyDescent="0.3">
      <c r="A416">
        <v>414</v>
      </c>
      <c r="B416">
        <v>9410</v>
      </c>
      <c r="C416" t="b">
        <v>1</v>
      </c>
      <c r="D416">
        <v>8054</v>
      </c>
      <c r="E416">
        <v>8099</v>
      </c>
      <c r="F416">
        <v>225.2</v>
      </c>
      <c r="G416">
        <v>188.4</v>
      </c>
      <c r="H416">
        <v>1.1953290999999999</v>
      </c>
      <c r="I416">
        <v>-0.19532911</v>
      </c>
      <c r="J416">
        <v>0.45551258</v>
      </c>
    </row>
    <row r="417" spans="1:10" x14ac:dyDescent="0.3">
      <c r="A417">
        <v>415</v>
      </c>
      <c r="B417">
        <v>9426</v>
      </c>
      <c r="C417" t="b">
        <v>1</v>
      </c>
      <c r="D417">
        <v>8065</v>
      </c>
      <c r="E417">
        <v>8123</v>
      </c>
      <c r="F417">
        <v>225.93333000000001</v>
      </c>
      <c r="G417">
        <v>188</v>
      </c>
      <c r="H417">
        <v>1.201773</v>
      </c>
      <c r="I417">
        <v>-0.20177306</v>
      </c>
      <c r="J417">
        <v>0.45417940000000001</v>
      </c>
    </row>
    <row r="418" spans="1:10" x14ac:dyDescent="0.3">
      <c r="A418">
        <v>416</v>
      </c>
      <c r="B418">
        <v>9442</v>
      </c>
      <c r="C418" t="b">
        <v>1</v>
      </c>
      <c r="D418">
        <v>8071</v>
      </c>
      <c r="E418">
        <v>8117</v>
      </c>
      <c r="F418">
        <v>226.26666</v>
      </c>
      <c r="G418">
        <v>188</v>
      </c>
      <c r="H418">
        <v>1.203546</v>
      </c>
      <c r="I418">
        <v>-0.20354607999999999</v>
      </c>
      <c r="J418">
        <v>0.45381397000000001</v>
      </c>
    </row>
    <row r="419" spans="1:10" x14ac:dyDescent="0.3">
      <c r="A419">
        <v>417</v>
      </c>
      <c r="B419">
        <v>9458</v>
      </c>
      <c r="C419" t="b">
        <v>1</v>
      </c>
      <c r="D419">
        <v>8083</v>
      </c>
      <c r="E419">
        <v>8129</v>
      </c>
      <c r="F419">
        <v>226.6</v>
      </c>
      <c r="G419">
        <v>188.4</v>
      </c>
      <c r="H419">
        <v>1.2027601000000001</v>
      </c>
      <c r="I419">
        <v>-0.20276015999999999</v>
      </c>
      <c r="J419">
        <v>0.45397589999999999</v>
      </c>
    </row>
    <row r="420" spans="1:10" x14ac:dyDescent="0.3">
      <c r="A420">
        <v>418</v>
      </c>
      <c r="B420">
        <v>9474</v>
      </c>
      <c r="C420" t="b">
        <v>1</v>
      </c>
      <c r="D420">
        <v>8071</v>
      </c>
      <c r="E420">
        <v>8105</v>
      </c>
      <c r="F420">
        <v>227</v>
      </c>
      <c r="G420">
        <v>188.8</v>
      </c>
      <c r="H420">
        <v>1.2023305</v>
      </c>
      <c r="I420">
        <v>-0.20233048000000001</v>
      </c>
      <c r="J420">
        <v>0.45406449999999998</v>
      </c>
    </row>
    <row r="421" spans="1:10" x14ac:dyDescent="0.3">
      <c r="A421">
        <v>419</v>
      </c>
      <c r="B421">
        <v>9506</v>
      </c>
      <c r="C421" t="b">
        <v>1</v>
      </c>
      <c r="D421">
        <v>8065</v>
      </c>
      <c r="E421">
        <v>8063</v>
      </c>
      <c r="F421">
        <v>227.4</v>
      </c>
      <c r="G421">
        <v>189.2</v>
      </c>
      <c r="H421">
        <v>1.2019027</v>
      </c>
      <c r="I421">
        <v>-0.20190273</v>
      </c>
      <c r="J421">
        <v>0.45415266999999998</v>
      </c>
    </row>
    <row r="422" spans="1:10" x14ac:dyDescent="0.3">
      <c r="A422">
        <v>420</v>
      </c>
      <c r="B422">
        <v>9537</v>
      </c>
      <c r="C422" t="b">
        <v>1</v>
      </c>
      <c r="D422">
        <v>8071</v>
      </c>
      <c r="E422">
        <v>8117</v>
      </c>
      <c r="F422">
        <v>227.8</v>
      </c>
      <c r="G422">
        <v>189.6</v>
      </c>
      <c r="H422">
        <v>1.2014768</v>
      </c>
      <c r="I422">
        <v>-0.20147677</v>
      </c>
      <c r="J422">
        <v>0.45424052999999998</v>
      </c>
    </row>
    <row r="423" spans="1:10" x14ac:dyDescent="0.3">
      <c r="A423">
        <v>421</v>
      </c>
      <c r="B423">
        <v>9553</v>
      </c>
      <c r="C423" t="b">
        <v>1</v>
      </c>
      <c r="D423">
        <v>8060</v>
      </c>
      <c r="E423">
        <v>8093</v>
      </c>
      <c r="F423">
        <v>228.2</v>
      </c>
      <c r="G423">
        <v>190.4</v>
      </c>
      <c r="H423">
        <v>1.1985295</v>
      </c>
      <c r="I423">
        <v>-0.19852944</v>
      </c>
      <c r="J423">
        <v>0.45484950000000002</v>
      </c>
    </row>
    <row r="424" spans="1:10" x14ac:dyDescent="0.3">
      <c r="A424">
        <v>422</v>
      </c>
      <c r="B424">
        <v>9569</v>
      </c>
      <c r="C424" t="b">
        <v>1</v>
      </c>
      <c r="D424">
        <v>8060</v>
      </c>
      <c r="E424">
        <v>8093</v>
      </c>
      <c r="F424">
        <v>228.2</v>
      </c>
      <c r="G424">
        <v>190</v>
      </c>
      <c r="H424">
        <v>1.2010527</v>
      </c>
      <c r="I424">
        <v>-0.20105261999999999</v>
      </c>
      <c r="J424">
        <v>0.45432805999999998</v>
      </c>
    </row>
    <row r="425" spans="1:10" x14ac:dyDescent="0.3">
      <c r="A425">
        <v>423</v>
      </c>
      <c r="B425">
        <v>9585</v>
      </c>
      <c r="C425" t="b">
        <v>1</v>
      </c>
      <c r="D425">
        <v>8071</v>
      </c>
      <c r="E425">
        <v>8105</v>
      </c>
      <c r="F425">
        <v>228.2</v>
      </c>
      <c r="G425">
        <v>190</v>
      </c>
      <c r="H425">
        <v>1.2010527</v>
      </c>
      <c r="I425">
        <v>-0.20105261999999999</v>
      </c>
      <c r="J425">
        <v>0.45432805999999998</v>
      </c>
    </row>
    <row r="426" spans="1:10" x14ac:dyDescent="0.3">
      <c r="A426">
        <v>424</v>
      </c>
      <c r="B426">
        <v>9617</v>
      </c>
      <c r="C426" t="b">
        <v>1</v>
      </c>
      <c r="D426">
        <v>8060</v>
      </c>
      <c r="E426">
        <v>8105</v>
      </c>
      <c r="F426">
        <v>227.46665999999999</v>
      </c>
      <c r="G426">
        <v>190.4</v>
      </c>
      <c r="H426">
        <v>1.1946778</v>
      </c>
      <c r="I426">
        <v>-0.19467787</v>
      </c>
      <c r="J426">
        <v>0.45564774000000002</v>
      </c>
    </row>
    <row r="427" spans="1:10" x14ac:dyDescent="0.3">
      <c r="A427">
        <v>425</v>
      </c>
      <c r="B427">
        <v>9650</v>
      </c>
      <c r="C427" t="b">
        <v>1</v>
      </c>
      <c r="D427">
        <v>8071</v>
      </c>
      <c r="E427">
        <v>8111</v>
      </c>
      <c r="F427">
        <v>226.73334</v>
      </c>
      <c r="G427">
        <v>190.8</v>
      </c>
      <c r="H427">
        <v>1.1883298</v>
      </c>
      <c r="I427">
        <v>-0.18832984999999999</v>
      </c>
      <c r="J427">
        <v>0.45696953000000001</v>
      </c>
    </row>
    <row r="428" spans="1:10" x14ac:dyDescent="0.3">
      <c r="A428">
        <v>426</v>
      </c>
      <c r="B428">
        <v>9682</v>
      </c>
      <c r="C428" t="b">
        <v>1</v>
      </c>
      <c r="D428">
        <v>8065</v>
      </c>
      <c r="E428">
        <v>8081</v>
      </c>
      <c r="F428">
        <v>226.33332999999999</v>
      </c>
      <c r="G428">
        <v>191.2</v>
      </c>
      <c r="H428">
        <v>1.1837517</v>
      </c>
      <c r="I428">
        <v>-0.18375173</v>
      </c>
      <c r="J428">
        <v>0.45792753000000003</v>
      </c>
    </row>
    <row r="429" spans="1:10" x14ac:dyDescent="0.3">
      <c r="A429">
        <v>427</v>
      </c>
      <c r="B429">
        <v>9697</v>
      </c>
      <c r="C429" t="b">
        <v>1</v>
      </c>
      <c r="D429">
        <v>8077</v>
      </c>
      <c r="E429">
        <v>8117</v>
      </c>
      <c r="F429">
        <v>226.33332999999999</v>
      </c>
      <c r="G429">
        <v>191.6</v>
      </c>
      <c r="H429">
        <v>1.1812803999999999</v>
      </c>
      <c r="I429">
        <v>-0.18128037</v>
      </c>
      <c r="J429">
        <v>0.45844632000000002</v>
      </c>
    </row>
    <row r="430" spans="1:10" x14ac:dyDescent="0.3">
      <c r="A430">
        <v>428</v>
      </c>
      <c r="B430">
        <v>9729</v>
      </c>
      <c r="C430" t="b">
        <v>1</v>
      </c>
      <c r="D430">
        <v>8054</v>
      </c>
      <c r="E430">
        <v>8093</v>
      </c>
      <c r="F430">
        <v>226.33332999999999</v>
      </c>
      <c r="G430">
        <v>192</v>
      </c>
      <c r="H430">
        <v>1.1788194000000001</v>
      </c>
      <c r="I430">
        <v>-0.17881942000000001</v>
      </c>
      <c r="J430">
        <v>0.45896417</v>
      </c>
    </row>
    <row r="431" spans="1:10" x14ac:dyDescent="0.3">
      <c r="A431">
        <v>429</v>
      </c>
      <c r="B431">
        <v>9761</v>
      </c>
      <c r="C431" t="b">
        <v>1</v>
      </c>
      <c r="D431">
        <v>8054</v>
      </c>
      <c r="E431">
        <v>8105</v>
      </c>
      <c r="F431">
        <v>226.33332999999999</v>
      </c>
      <c r="G431">
        <v>192.4</v>
      </c>
      <c r="H431">
        <v>1.1763687</v>
      </c>
      <c r="I431">
        <v>-0.17636868</v>
      </c>
      <c r="J431">
        <v>0.45948094</v>
      </c>
    </row>
    <row r="432" spans="1:10" x14ac:dyDescent="0.3">
      <c r="A432">
        <v>430</v>
      </c>
      <c r="B432">
        <v>9792</v>
      </c>
      <c r="C432" t="b">
        <v>1</v>
      </c>
      <c r="D432">
        <v>8071</v>
      </c>
      <c r="E432">
        <v>8129</v>
      </c>
      <c r="F432">
        <v>226.33332999999999</v>
      </c>
      <c r="G432">
        <v>192.4</v>
      </c>
      <c r="H432">
        <v>1.1763687</v>
      </c>
      <c r="I432">
        <v>-0.17636868</v>
      </c>
      <c r="J432">
        <v>0.45948094</v>
      </c>
    </row>
    <row r="433" spans="1:10" x14ac:dyDescent="0.3">
      <c r="A433">
        <v>431</v>
      </c>
      <c r="B433">
        <v>9824</v>
      </c>
      <c r="C433" t="b">
        <v>1</v>
      </c>
      <c r="D433">
        <v>8054</v>
      </c>
      <c r="E433">
        <v>8146</v>
      </c>
      <c r="F433">
        <v>225.6</v>
      </c>
      <c r="G433">
        <v>192.4</v>
      </c>
      <c r="H433">
        <v>1.1725572</v>
      </c>
      <c r="I433">
        <v>-0.17255723000000001</v>
      </c>
      <c r="J433">
        <v>0.46028706000000003</v>
      </c>
    </row>
    <row r="434" spans="1:10" x14ac:dyDescent="0.3">
      <c r="A434">
        <v>432</v>
      </c>
      <c r="B434">
        <v>9840</v>
      </c>
      <c r="C434" t="b">
        <v>1</v>
      </c>
      <c r="D434">
        <v>8077</v>
      </c>
      <c r="E434">
        <v>8111</v>
      </c>
      <c r="F434">
        <v>224.86667</v>
      </c>
      <c r="G434">
        <v>192</v>
      </c>
      <c r="H434">
        <v>1.1711806</v>
      </c>
      <c r="I434">
        <v>-0.17118056000000001</v>
      </c>
      <c r="J434">
        <v>0.46057892</v>
      </c>
    </row>
    <row r="435" spans="1:10" x14ac:dyDescent="0.3">
      <c r="A435">
        <v>433</v>
      </c>
      <c r="B435">
        <v>9856</v>
      </c>
      <c r="C435" t="b">
        <v>1</v>
      </c>
      <c r="D435">
        <v>8048</v>
      </c>
      <c r="E435">
        <v>8105</v>
      </c>
      <c r="F435">
        <v>223.73334</v>
      </c>
      <c r="G435">
        <v>191.6</v>
      </c>
      <c r="H435">
        <v>1.1677105000000001</v>
      </c>
      <c r="I435">
        <v>-0.16771050000000001</v>
      </c>
      <c r="J435">
        <v>0.46131622999999999</v>
      </c>
    </row>
    <row r="436" spans="1:10" x14ac:dyDescent="0.3">
      <c r="A436">
        <v>434</v>
      </c>
      <c r="B436">
        <v>9872</v>
      </c>
      <c r="C436" t="b">
        <v>1</v>
      </c>
      <c r="D436">
        <v>8060</v>
      </c>
      <c r="E436">
        <v>8099</v>
      </c>
      <c r="F436">
        <v>223</v>
      </c>
      <c r="G436">
        <v>191.2</v>
      </c>
      <c r="H436">
        <v>1.166318</v>
      </c>
      <c r="I436">
        <v>-0.16631800999999999</v>
      </c>
      <c r="J436">
        <v>0.46161273000000003</v>
      </c>
    </row>
    <row r="437" spans="1:10" x14ac:dyDescent="0.3">
      <c r="A437">
        <v>435</v>
      </c>
      <c r="B437">
        <v>9888</v>
      </c>
      <c r="C437" t="b">
        <v>1</v>
      </c>
      <c r="D437">
        <v>8060</v>
      </c>
      <c r="E437">
        <v>8093</v>
      </c>
      <c r="F437">
        <v>222.26666</v>
      </c>
      <c r="G437">
        <v>190.4</v>
      </c>
      <c r="H437">
        <v>1.167367</v>
      </c>
      <c r="I437">
        <v>-0.16736697</v>
      </c>
      <c r="J437">
        <v>0.46138932999999999</v>
      </c>
    </row>
    <row r="438" spans="1:10" x14ac:dyDescent="0.3">
      <c r="A438">
        <v>436</v>
      </c>
      <c r="B438">
        <v>9904</v>
      </c>
      <c r="C438" t="b">
        <v>1</v>
      </c>
      <c r="D438">
        <v>8083</v>
      </c>
      <c r="E438">
        <v>8093</v>
      </c>
      <c r="F438">
        <v>221.53334000000001</v>
      </c>
      <c r="G438">
        <v>190</v>
      </c>
      <c r="H438">
        <v>1.1659649999999999</v>
      </c>
      <c r="I438">
        <v>-0.16596495</v>
      </c>
      <c r="J438">
        <v>0.46168799999999999</v>
      </c>
    </row>
    <row r="439" spans="1:10" x14ac:dyDescent="0.3">
      <c r="A439">
        <v>437</v>
      </c>
      <c r="B439">
        <v>9920</v>
      </c>
      <c r="C439" t="b">
        <v>1</v>
      </c>
      <c r="D439">
        <v>8077</v>
      </c>
      <c r="E439">
        <v>8129</v>
      </c>
      <c r="F439">
        <v>221.2</v>
      </c>
      <c r="G439">
        <v>190.4</v>
      </c>
      <c r="H439">
        <v>1.1617647</v>
      </c>
      <c r="I439">
        <v>-0.16176473</v>
      </c>
      <c r="J439">
        <v>0.46258503000000001</v>
      </c>
    </row>
    <row r="440" spans="1:10" x14ac:dyDescent="0.3">
      <c r="A440">
        <v>438</v>
      </c>
      <c r="B440">
        <v>9951</v>
      </c>
      <c r="C440" t="b">
        <v>1</v>
      </c>
      <c r="D440">
        <v>8060</v>
      </c>
      <c r="E440">
        <v>8111</v>
      </c>
      <c r="F440">
        <v>220.86667</v>
      </c>
      <c r="G440">
        <v>190.8</v>
      </c>
      <c r="H440">
        <v>1.1575820000000001</v>
      </c>
      <c r="I440">
        <v>-0.1575821</v>
      </c>
      <c r="J440">
        <v>0.46348175000000003</v>
      </c>
    </row>
    <row r="441" spans="1:10" x14ac:dyDescent="0.3">
      <c r="A441">
        <v>439</v>
      </c>
      <c r="B441">
        <v>9982</v>
      </c>
      <c r="C441" t="b">
        <v>1</v>
      </c>
      <c r="D441">
        <v>8065</v>
      </c>
      <c r="E441">
        <v>8099</v>
      </c>
      <c r="F441">
        <v>221.2</v>
      </c>
      <c r="G441">
        <v>190.4</v>
      </c>
      <c r="H441">
        <v>1.1617647</v>
      </c>
      <c r="I441">
        <v>-0.16176473</v>
      </c>
      <c r="J441">
        <v>0.46258503000000001</v>
      </c>
    </row>
    <row r="442" spans="1:10" x14ac:dyDescent="0.3">
      <c r="A442">
        <v>440</v>
      </c>
      <c r="B442">
        <v>9998</v>
      </c>
      <c r="C442" t="b">
        <v>1</v>
      </c>
      <c r="D442">
        <v>8071</v>
      </c>
      <c r="E442">
        <v>8099</v>
      </c>
      <c r="F442">
        <v>221.93333000000001</v>
      </c>
      <c r="G442">
        <v>190</v>
      </c>
      <c r="H442">
        <v>1.1680702000000001</v>
      </c>
      <c r="I442">
        <v>-0.16807018000000001</v>
      </c>
      <c r="J442">
        <v>0.46123966999999999</v>
      </c>
    </row>
    <row r="443" spans="1:10" x14ac:dyDescent="0.3">
      <c r="A443">
        <v>441</v>
      </c>
      <c r="B443">
        <v>10030</v>
      </c>
      <c r="C443" t="b">
        <v>1</v>
      </c>
      <c r="D443">
        <v>8083</v>
      </c>
      <c r="E443">
        <v>8105</v>
      </c>
      <c r="F443">
        <v>222.33332999999999</v>
      </c>
      <c r="G443">
        <v>190</v>
      </c>
      <c r="H443">
        <v>1.1701754</v>
      </c>
      <c r="I443">
        <v>-0.17017541999999999</v>
      </c>
      <c r="J443">
        <v>0.46079227</v>
      </c>
    </row>
    <row r="444" spans="1:10" x14ac:dyDescent="0.3">
      <c r="A444">
        <v>442</v>
      </c>
      <c r="B444">
        <v>10062</v>
      </c>
      <c r="C444" t="b">
        <v>1</v>
      </c>
      <c r="D444">
        <v>8054</v>
      </c>
      <c r="E444">
        <v>8105</v>
      </c>
      <c r="F444">
        <v>221.93333000000001</v>
      </c>
      <c r="G444">
        <v>190</v>
      </c>
      <c r="H444">
        <v>1.1680702000000001</v>
      </c>
      <c r="I444">
        <v>-0.16807018000000001</v>
      </c>
      <c r="J444">
        <v>0.46123966999999999</v>
      </c>
    </row>
    <row r="445" spans="1:10" x14ac:dyDescent="0.3">
      <c r="A445">
        <v>443</v>
      </c>
      <c r="B445">
        <v>10094</v>
      </c>
      <c r="C445" t="b">
        <v>1</v>
      </c>
      <c r="D445">
        <v>8065</v>
      </c>
      <c r="E445">
        <v>8087</v>
      </c>
      <c r="F445">
        <v>221.93333000000001</v>
      </c>
      <c r="G445">
        <v>189.6</v>
      </c>
      <c r="H445">
        <v>1.1705344</v>
      </c>
      <c r="I445">
        <v>-0.17053442999999999</v>
      </c>
      <c r="J445">
        <v>0.46071603999999999</v>
      </c>
    </row>
    <row r="446" spans="1:10" x14ac:dyDescent="0.3">
      <c r="A446">
        <v>444</v>
      </c>
      <c r="B446">
        <v>10125</v>
      </c>
      <c r="C446" t="b">
        <v>1</v>
      </c>
      <c r="D446">
        <v>8042</v>
      </c>
      <c r="E446">
        <v>8111</v>
      </c>
      <c r="F446">
        <v>221.93333000000001</v>
      </c>
      <c r="G446">
        <v>189.6</v>
      </c>
      <c r="H446">
        <v>1.1705344</v>
      </c>
      <c r="I446">
        <v>-0.17053442999999999</v>
      </c>
      <c r="J446">
        <v>0.46071603999999999</v>
      </c>
    </row>
    <row r="447" spans="1:10" x14ac:dyDescent="0.3">
      <c r="A447">
        <v>445</v>
      </c>
      <c r="B447">
        <v>10157</v>
      </c>
      <c r="C447" t="b">
        <v>1</v>
      </c>
      <c r="D447">
        <v>8054</v>
      </c>
      <c r="E447">
        <v>8105</v>
      </c>
      <c r="F447">
        <v>221.2</v>
      </c>
      <c r="G447">
        <v>189.6</v>
      </c>
      <c r="H447">
        <v>1.1666666000000001</v>
      </c>
      <c r="I447">
        <v>-0.16666660999999999</v>
      </c>
      <c r="J447">
        <v>0.46153850000000002</v>
      </c>
    </row>
    <row r="448" spans="1:10" x14ac:dyDescent="0.3">
      <c r="A448">
        <v>446</v>
      </c>
      <c r="B448">
        <v>10189</v>
      </c>
      <c r="C448" t="b">
        <v>1</v>
      </c>
      <c r="D448">
        <v>8065</v>
      </c>
      <c r="E448">
        <v>8093</v>
      </c>
      <c r="F448">
        <v>221.2</v>
      </c>
      <c r="G448">
        <v>188.8</v>
      </c>
      <c r="H448">
        <v>1.1716101000000001</v>
      </c>
      <c r="I448">
        <v>-0.17161013</v>
      </c>
      <c r="J448">
        <v>0.4604878</v>
      </c>
    </row>
    <row r="449" spans="1:10" x14ac:dyDescent="0.3">
      <c r="A449">
        <v>447</v>
      </c>
      <c r="B449">
        <v>10205</v>
      </c>
      <c r="C449" t="b">
        <v>1</v>
      </c>
      <c r="D449">
        <v>8071</v>
      </c>
      <c r="E449">
        <v>8099</v>
      </c>
      <c r="F449">
        <v>221.93333000000001</v>
      </c>
      <c r="G449">
        <v>188</v>
      </c>
      <c r="H449">
        <v>1.1804965000000001</v>
      </c>
      <c r="I449">
        <v>-0.18049645</v>
      </c>
      <c r="J449">
        <v>0.45861112999999998</v>
      </c>
    </row>
    <row r="450" spans="1:10" x14ac:dyDescent="0.3">
      <c r="A450">
        <v>448</v>
      </c>
      <c r="B450">
        <v>10236</v>
      </c>
      <c r="C450" t="b">
        <v>1</v>
      </c>
      <c r="D450">
        <v>8060</v>
      </c>
      <c r="E450">
        <v>8129</v>
      </c>
      <c r="F450">
        <v>222.33332999999999</v>
      </c>
      <c r="G450">
        <v>187.6</v>
      </c>
      <c r="H450">
        <v>1.1851456</v>
      </c>
      <c r="I450">
        <v>-0.18514563000000001</v>
      </c>
      <c r="J450">
        <v>0.45763536999999999</v>
      </c>
    </row>
    <row r="451" spans="1:10" x14ac:dyDescent="0.3">
      <c r="A451">
        <v>449</v>
      </c>
      <c r="B451">
        <v>10268</v>
      </c>
      <c r="C451" t="b">
        <v>1</v>
      </c>
      <c r="D451">
        <v>8054</v>
      </c>
      <c r="E451">
        <v>8087</v>
      </c>
      <c r="F451">
        <v>222.33332999999999</v>
      </c>
      <c r="G451">
        <v>186.8</v>
      </c>
      <c r="H451">
        <v>1.1902212000000001</v>
      </c>
      <c r="I451">
        <v>-0.19022122</v>
      </c>
      <c r="J451">
        <v>0.45657490000000001</v>
      </c>
    </row>
    <row r="452" spans="1:10" x14ac:dyDescent="0.3">
      <c r="A452">
        <v>450</v>
      </c>
      <c r="B452">
        <v>10299</v>
      </c>
      <c r="C452" t="b">
        <v>1</v>
      </c>
      <c r="D452">
        <v>8060</v>
      </c>
      <c r="E452">
        <v>8111</v>
      </c>
      <c r="F452">
        <v>222.33332999999999</v>
      </c>
      <c r="G452">
        <v>186.4</v>
      </c>
      <c r="H452">
        <v>1.1927753999999999</v>
      </c>
      <c r="I452">
        <v>-0.19277540000000001</v>
      </c>
      <c r="J452">
        <v>0.45604303000000002</v>
      </c>
    </row>
    <row r="453" spans="1:10" x14ac:dyDescent="0.3">
      <c r="A453">
        <v>451</v>
      </c>
      <c r="B453">
        <v>10331</v>
      </c>
      <c r="C453" t="b">
        <v>1</v>
      </c>
      <c r="D453">
        <v>8042</v>
      </c>
      <c r="E453">
        <v>8087</v>
      </c>
      <c r="F453">
        <v>222.33332999999999</v>
      </c>
      <c r="G453">
        <v>186.4</v>
      </c>
      <c r="H453">
        <v>1.1927753999999999</v>
      </c>
      <c r="I453">
        <v>-0.19277540000000001</v>
      </c>
      <c r="J453">
        <v>0.45604303000000002</v>
      </c>
    </row>
    <row r="454" spans="1:10" x14ac:dyDescent="0.3">
      <c r="A454">
        <v>452</v>
      </c>
      <c r="B454">
        <v>10361</v>
      </c>
      <c r="C454" t="b">
        <v>1</v>
      </c>
      <c r="D454">
        <v>8077</v>
      </c>
      <c r="E454">
        <v>8146</v>
      </c>
      <c r="F454">
        <v>222.33332999999999</v>
      </c>
      <c r="G454">
        <v>187.2</v>
      </c>
      <c r="H454">
        <v>1.1876781000000001</v>
      </c>
      <c r="I454">
        <v>-0.18767805000000001</v>
      </c>
      <c r="J454">
        <v>0.45710563999999998</v>
      </c>
    </row>
    <row r="455" spans="1:10" x14ac:dyDescent="0.3">
      <c r="A455">
        <v>453</v>
      </c>
      <c r="B455">
        <v>10393</v>
      </c>
      <c r="C455" t="b">
        <v>1</v>
      </c>
      <c r="D455">
        <v>8048</v>
      </c>
      <c r="E455">
        <v>8099</v>
      </c>
      <c r="F455">
        <v>221.93333000000001</v>
      </c>
      <c r="G455">
        <v>187.2</v>
      </c>
      <c r="H455">
        <v>1.1855414</v>
      </c>
      <c r="I455">
        <v>-0.18554133</v>
      </c>
      <c r="J455">
        <v>0.45755255</v>
      </c>
    </row>
    <row r="456" spans="1:10" x14ac:dyDescent="0.3">
      <c r="A456">
        <v>454</v>
      </c>
      <c r="B456">
        <v>10425</v>
      </c>
      <c r="C456" t="b">
        <v>1</v>
      </c>
      <c r="D456">
        <v>8071</v>
      </c>
      <c r="E456">
        <v>8117</v>
      </c>
      <c r="F456">
        <v>221.6</v>
      </c>
      <c r="G456">
        <v>188</v>
      </c>
      <c r="H456">
        <v>1.1787235</v>
      </c>
      <c r="I456">
        <v>-0.17872344000000001</v>
      </c>
      <c r="J456">
        <v>0.45898438000000003</v>
      </c>
    </row>
    <row r="457" spans="1:10" x14ac:dyDescent="0.3">
      <c r="A457">
        <v>455</v>
      </c>
      <c r="B457">
        <v>10456</v>
      </c>
      <c r="C457" t="b">
        <v>1</v>
      </c>
      <c r="D457">
        <v>8071</v>
      </c>
      <c r="E457">
        <v>8093</v>
      </c>
      <c r="F457">
        <v>221.6</v>
      </c>
      <c r="G457">
        <v>188</v>
      </c>
      <c r="H457">
        <v>1.1787235</v>
      </c>
      <c r="I457">
        <v>-0.17872344000000001</v>
      </c>
      <c r="J457">
        <v>0.45898438000000003</v>
      </c>
    </row>
    <row r="458" spans="1:10" x14ac:dyDescent="0.3">
      <c r="A458">
        <v>456</v>
      </c>
      <c r="B458">
        <v>10488</v>
      </c>
      <c r="C458" t="b">
        <v>1</v>
      </c>
      <c r="D458">
        <v>8060</v>
      </c>
      <c r="E458">
        <v>8093</v>
      </c>
      <c r="F458">
        <v>221.6</v>
      </c>
      <c r="G458">
        <v>187.6</v>
      </c>
      <c r="H458">
        <v>1.1812366000000001</v>
      </c>
      <c r="I458">
        <v>-0.18123666999999999</v>
      </c>
      <c r="J458">
        <v>0.45845553</v>
      </c>
    </row>
    <row r="459" spans="1:10" x14ac:dyDescent="0.3">
      <c r="A459">
        <v>457</v>
      </c>
      <c r="B459">
        <v>10519</v>
      </c>
      <c r="C459" t="b">
        <v>1</v>
      </c>
      <c r="D459">
        <v>8065</v>
      </c>
      <c r="E459">
        <v>8093</v>
      </c>
      <c r="F459">
        <v>221.6</v>
      </c>
      <c r="G459">
        <v>186.8</v>
      </c>
      <c r="H459">
        <v>1.1862954999999999</v>
      </c>
      <c r="I459">
        <v>-0.18629551</v>
      </c>
      <c r="J459">
        <v>0.45739469999999999</v>
      </c>
    </row>
    <row r="460" spans="1:10" x14ac:dyDescent="0.3">
      <c r="A460">
        <v>458</v>
      </c>
      <c r="B460">
        <v>10535</v>
      </c>
      <c r="C460" t="b">
        <v>1</v>
      </c>
      <c r="D460">
        <v>8060</v>
      </c>
      <c r="E460">
        <v>8081</v>
      </c>
      <c r="F460">
        <v>221.6</v>
      </c>
      <c r="G460">
        <v>186.4</v>
      </c>
      <c r="H460">
        <v>1.1888411999999999</v>
      </c>
      <c r="I460">
        <v>-0.18884127000000001</v>
      </c>
      <c r="J460">
        <v>0.45686272</v>
      </c>
    </row>
    <row r="461" spans="1:10" x14ac:dyDescent="0.3">
      <c r="A461">
        <v>459</v>
      </c>
      <c r="B461">
        <v>10551</v>
      </c>
      <c r="C461" t="b">
        <v>1</v>
      </c>
      <c r="D461">
        <v>8065</v>
      </c>
      <c r="E461">
        <v>8105</v>
      </c>
      <c r="F461">
        <v>221.6</v>
      </c>
      <c r="G461">
        <v>185.6</v>
      </c>
      <c r="H461">
        <v>1.1939656000000001</v>
      </c>
      <c r="I461">
        <v>-0.19396551000000001</v>
      </c>
      <c r="J461">
        <v>0.45579567999999998</v>
      </c>
    </row>
    <row r="462" spans="1:10" x14ac:dyDescent="0.3">
      <c r="A462">
        <v>460</v>
      </c>
      <c r="B462">
        <v>10583</v>
      </c>
      <c r="C462" t="b">
        <v>1</v>
      </c>
      <c r="D462">
        <v>8077</v>
      </c>
      <c r="E462">
        <v>8093</v>
      </c>
      <c r="F462">
        <v>222.33332999999999</v>
      </c>
      <c r="G462">
        <v>184.8</v>
      </c>
      <c r="H462">
        <v>1.2031023999999999</v>
      </c>
      <c r="I462">
        <v>-0.20310241000000001</v>
      </c>
      <c r="J462">
        <v>0.45390536999999997</v>
      </c>
    </row>
    <row r="463" spans="1:10" x14ac:dyDescent="0.3">
      <c r="A463">
        <v>461</v>
      </c>
      <c r="B463">
        <v>10615</v>
      </c>
      <c r="C463" t="b">
        <v>1</v>
      </c>
      <c r="D463">
        <v>8077</v>
      </c>
      <c r="E463">
        <v>8099</v>
      </c>
      <c r="F463">
        <v>223.06666999999999</v>
      </c>
      <c r="G463">
        <v>184</v>
      </c>
      <c r="H463">
        <v>1.2123188</v>
      </c>
      <c r="I463">
        <v>-0.21231884000000001</v>
      </c>
      <c r="J463">
        <v>0.45201441999999997</v>
      </c>
    </row>
    <row r="464" spans="1:10" x14ac:dyDescent="0.3">
      <c r="A464">
        <v>462</v>
      </c>
      <c r="B464">
        <v>10646</v>
      </c>
      <c r="C464" t="b">
        <v>1</v>
      </c>
      <c r="D464">
        <v>8071</v>
      </c>
      <c r="E464">
        <v>8105</v>
      </c>
      <c r="F464">
        <v>223.46665999999999</v>
      </c>
      <c r="G464">
        <v>184</v>
      </c>
      <c r="H464">
        <v>1.2144927000000001</v>
      </c>
      <c r="I464">
        <v>-0.21449271</v>
      </c>
      <c r="J464">
        <v>0.45157066000000001</v>
      </c>
    </row>
    <row r="465" spans="1:10" x14ac:dyDescent="0.3">
      <c r="A465">
        <v>463</v>
      </c>
      <c r="B465">
        <v>10678</v>
      </c>
      <c r="C465" t="b">
        <v>1</v>
      </c>
      <c r="D465">
        <v>8060</v>
      </c>
      <c r="E465">
        <v>8111</v>
      </c>
      <c r="F465">
        <v>224.2</v>
      </c>
      <c r="G465">
        <v>184</v>
      </c>
      <c r="H465">
        <v>1.2184782000000001</v>
      </c>
      <c r="I465">
        <v>-0.21847825000000001</v>
      </c>
      <c r="J465">
        <v>0.45075939999999998</v>
      </c>
    </row>
    <row r="466" spans="1:10" x14ac:dyDescent="0.3">
      <c r="A466">
        <v>464</v>
      </c>
      <c r="B466">
        <v>10709</v>
      </c>
      <c r="C466" t="b">
        <v>1</v>
      </c>
      <c r="D466">
        <v>8065</v>
      </c>
      <c r="E466">
        <v>8099</v>
      </c>
      <c r="F466">
        <v>224.93333000000001</v>
      </c>
      <c r="G466">
        <v>184</v>
      </c>
      <c r="H466">
        <v>1.2224637</v>
      </c>
      <c r="I466">
        <v>-0.22246377000000001</v>
      </c>
      <c r="J466">
        <v>0.44995108</v>
      </c>
    </row>
    <row r="467" spans="1:10" x14ac:dyDescent="0.3">
      <c r="A467">
        <v>465</v>
      </c>
      <c r="B467">
        <v>10740</v>
      </c>
      <c r="C467" t="b">
        <v>1</v>
      </c>
      <c r="D467">
        <v>8071</v>
      </c>
      <c r="E467">
        <v>8111</v>
      </c>
      <c r="F467">
        <v>225.66667000000001</v>
      </c>
      <c r="G467">
        <v>184.4</v>
      </c>
      <c r="H467">
        <v>1.223789</v>
      </c>
      <c r="I467">
        <v>-0.22378893</v>
      </c>
      <c r="J467">
        <v>0.44968298000000001</v>
      </c>
    </row>
    <row r="468" spans="1:10" x14ac:dyDescent="0.3">
      <c r="A468">
        <v>466</v>
      </c>
      <c r="B468">
        <v>10771</v>
      </c>
      <c r="C468" t="b">
        <v>1</v>
      </c>
      <c r="D468">
        <v>8071</v>
      </c>
      <c r="E468">
        <v>8093</v>
      </c>
      <c r="F468">
        <v>226.4</v>
      </c>
      <c r="G468">
        <v>184.8</v>
      </c>
      <c r="H468">
        <v>1.2251080999999999</v>
      </c>
      <c r="I468">
        <v>-0.22510817999999999</v>
      </c>
      <c r="J468">
        <v>0.44941634000000003</v>
      </c>
    </row>
    <row r="469" spans="1:10" x14ac:dyDescent="0.3">
      <c r="A469">
        <v>467</v>
      </c>
      <c r="B469">
        <v>10801</v>
      </c>
      <c r="C469" t="b">
        <v>1</v>
      </c>
      <c r="D469">
        <v>8060</v>
      </c>
      <c r="E469">
        <v>8105</v>
      </c>
      <c r="F469">
        <v>226.73334</v>
      </c>
      <c r="G469">
        <v>184.4</v>
      </c>
      <c r="H469">
        <v>1.2295735000000001</v>
      </c>
      <c r="I469">
        <v>-0.22957346000000001</v>
      </c>
      <c r="J469">
        <v>0.44851627999999999</v>
      </c>
    </row>
    <row r="470" spans="1:10" x14ac:dyDescent="0.3">
      <c r="A470">
        <v>468</v>
      </c>
      <c r="B470">
        <v>10817</v>
      </c>
      <c r="C470" t="b">
        <v>1</v>
      </c>
      <c r="D470">
        <v>8071</v>
      </c>
      <c r="E470">
        <v>8111</v>
      </c>
      <c r="F470">
        <v>227.86667</v>
      </c>
      <c r="G470">
        <v>184.8</v>
      </c>
      <c r="H470">
        <v>1.2330447</v>
      </c>
      <c r="I470">
        <v>-0.23304473000000001</v>
      </c>
      <c r="J470">
        <v>0.44781905</v>
      </c>
    </row>
    <row r="471" spans="1:10" x14ac:dyDescent="0.3">
      <c r="A471">
        <v>469</v>
      </c>
      <c r="B471">
        <v>10849</v>
      </c>
      <c r="C471" t="b">
        <v>1</v>
      </c>
      <c r="D471">
        <v>8071</v>
      </c>
      <c r="E471">
        <v>8099</v>
      </c>
      <c r="F471">
        <v>228.6</v>
      </c>
      <c r="G471">
        <v>184.4</v>
      </c>
      <c r="H471">
        <v>1.2396963999999999</v>
      </c>
      <c r="I471">
        <v>-0.23969637999999999</v>
      </c>
      <c r="J471">
        <v>0.44648910000000003</v>
      </c>
    </row>
    <row r="472" spans="1:10" x14ac:dyDescent="0.3">
      <c r="A472">
        <v>470</v>
      </c>
      <c r="B472">
        <v>10881</v>
      </c>
      <c r="C472" t="b">
        <v>1</v>
      </c>
      <c r="D472">
        <v>8048</v>
      </c>
      <c r="E472">
        <v>8093</v>
      </c>
      <c r="F472">
        <v>228.6</v>
      </c>
      <c r="G472">
        <v>184.4</v>
      </c>
      <c r="H472">
        <v>1.2396963999999999</v>
      </c>
      <c r="I472">
        <v>-0.23969637999999999</v>
      </c>
      <c r="J472">
        <v>0.44648910000000003</v>
      </c>
    </row>
    <row r="473" spans="1:10" x14ac:dyDescent="0.3">
      <c r="A473">
        <v>471</v>
      </c>
      <c r="B473">
        <v>10897</v>
      </c>
      <c r="C473" t="b">
        <v>1</v>
      </c>
      <c r="D473">
        <v>8071</v>
      </c>
      <c r="E473">
        <v>8099</v>
      </c>
      <c r="F473">
        <v>228.6</v>
      </c>
      <c r="G473">
        <v>184.4</v>
      </c>
      <c r="H473">
        <v>1.2396963999999999</v>
      </c>
      <c r="I473">
        <v>-0.23969637999999999</v>
      </c>
      <c r="J473">
        <v>0.44648910000000003</v>
      </c>
    </row>
    <row r="474" spans="1:10" x14ac:dyDescent="0.3">
      <c r="A474">
        <v>472</v>
      </c>
      <c r="B474">
        <v>10929</v>
      </c>
      <c r="C474" t="b">
        <v>1</v>
      </c>
      <c r="D474">
        <v>8060</v>
      </c>
      <c r="E474">
        <v>8093</v>
      </c>
      <c r="F474">
        <v>229</v>
      </c>
      <c r="G474">
        <v>184.8</v>
      </c>
      <c r="H474">
        <v>1.2391775</v>
      </c>
      <c r="I474">
        <v>-0.23917747</v>
      </c>
      <c r="J474">
        <v>0.44659257000000002</v>
      </c>
    </row>
    <row r="475" spans="1:10" x14ac:dyDescent="0.3">
      <c r="A475">
        <v>473</v>
      </c>
      <c r="B475">
        <v>10961</v>
      </c>
      <c r="C475" t="b">
        <v>1</v>
      </c>
      <c r="D475">
        <v>8065</v>
      </c>
      <c r="E475">
        <v>8105</v>
      </c>
      <c r="F475">
        <v>229</v>
      </c>
      <c r="G475">
        <v>185.2</v>
      </c>
      <c r="H475">
        <v>1.2365010999999999</v>
      </c>
      <c r="I475">
        <v>-0.23650109999999999</v>
      </c>
      <c r="J475">
        <v>0.44712698000000001</v>
      </c>
    </row>
    <row r="476" spans="1:10" x14ac:dyDescent="0.3">
      <c r="A476">
        <v>474</v>
      </c>
      <c r="B476">
        <v>10992</v>
      </c>
      <c r="C476" t="b">
        <v>1</v>
      </c>
      <c r="D476">
        <v>8071</v>
      </c>
      <c r="E476">
        <v>8123</v>
      </c>
      <c r="F476">
        <v>229</v>
      </c>
      <c r="G476">
        <v>185.6</v>
      </c>
      <c r="H476">
        <v>1.2338362</v>
      </c>
      <c r="I476">
        <v>-0.23383615999999999</v>
      </c>
      <c r="J476">
        <v>0.44766042</v>
      </c>
    </row>
    <row r="477" spans="1:10" x14ac:dyDescent="0.3">
      <c r="A477">
        <v>475</v>
      </c>
      <c r="B477">
        <v>11008</v>
      </c>
      <c r="C477" t="b">
        <v>1</v>
      </c>
      <c r="D477">
        <v>8042</v>
      </c>
      <c r="E477">
        <v>8129</v>
      </c>
      <c r="F477">
        <v>229</v>
      </c>
      <c r="G477">
        <v>186.4</v>
      </c>
      <c r="H477">
        <v>1.2285408</v>
      </c>
      <c r="I477">
        <v>-0.22854081000000001</v>
      </c>
      <c r="J477">
        <v>0.44872412</v>
      </c>
    </row>
    <row r="478" spans="1:10" x14ac:dyDescent="0.3">
      <c r="A478">
        <v>476</v>
      </c>
      <c r="B478">
        <v>11040</v>
      </c>
      <c r="C478" t="b">
        <v>1</v>
      </c>
      <c r="D478">
        <v>8071</v>
      </c>
      <c r="E478">
        <v>8099</v>
      </c>
      <c r="F478">
        <v>229</v>
      </c>
      <c r="G478">
        <v>187.2</v>
      </c>
      <c r="H478">
        <v>1.2232905999999999</v>
      </c>
      <c r="I478">
        <v>-0.22329062</v>
      </c>
      <c r="J478">
        <v>0.44978373999999999</v>
      </c>
    </row>
    <row r="479" spans="1:10" x14ac:dyDescent="0.3">
      <c r="A479">
        <v>477</v>
      </c>
      <c r="B479">
        <v>11056</v>
      </c>
      <c r="C479" t="b">
        <v>1</v>
      </c>
      <c r="D479">
        <v>8071</v>
      </c>
      <c r="E479">
        <v>8105</v>
      </c>
      <c r="F479">
        <v>229</v>
      </c>
      <c r="G479">
        <v>187.6</v>
      </c>
      <c r="H479">
        <v>1.2206823</v>
      </c>
      <c r="I479">
        <v>-0.22068225999999999</v>
      </c>
      <c r="J479">
        <v>0.45031205000000002</v>
      </c>
    </row>
    <row r="480" spans="1:10" x14ac:dyDescent="0.3">
      <c r="A480">
        <v>478</v>
      </c>
      <c r="B480">
        <v>11072</v>
      </c>
      <c r="C480" t="b">
        <v>1</v>
      </c>
      <c r="D480">
        <v>8083</v>
      </c>
      <c r="E480">
        <v>8105</v>
      </c>
      <c r="F480">
        <v>229</v>
      </c>
      <c r="G480">
        <v>187.6</v>
      </c>
      <c r="H480">
        <v>1.2206823</v>
      </c>
      <c r="I480">
        <v>-0.22068225999999999</v>
      </c>
      <c r="J480">
        <v>0.45031205000000002</v>
      </c>
    </row>
    <row r="481" spans="1:10" x14ac:dyDescent="0.3">
      <c r="A481">
        <v>479</v>
      </c>
      <c r="B481">
        <v>11103</v>
      </c>
      <c r="C481" t="b">
        <v>1</v>
      </c>
      <c r="D481">
        <v>8060</v>
      </c>
      <c r="E481">
        <v>8152</v>
      </c>
      <c r="F481">
        <v>229</v>
      </c>
      <c r="G481">
        <v>188</v>
      </c>
      <c r="H481">
        <v>1.2180850000000001</v>
      </c>
      <c r="I481">
        <v>-0.21808511</v>
      </c>
      <c r="J481">
        <v>0.45083933999999998</v>
      </c>
    </row>
    <row r="482" spans="1:10" x14ac:dyDescent="0.3">
      <c r="A482">
        <v>480</v>
      </c>
      <c r="B482">
        <v>11119</v>
      </c>
      <c r="C482" t="b">
        <v>1</v>
      </c>
      <c r="D482">
        <v>8054</v>
      </c>
      <c r="E482">
        <v>8099</v>
      </c>
      <c r="F482">
        <v>229</v>
      </c>
      <c r="G482">
        <v>188</v>
      </c>
      <c r="H482">
        <v>1.2180850000000001</v>
      </c>
      <c r="I482">
        <v>-0.21808511</v>
      </c>
      <c r="J482">
        <v>0.45083933999999998</v>
      </c>
    </row>
    <row r="483" spans="1:10" x14ac:dyDescent="0.3">
      <c r="A483">
        <v>481</v>
      </c>
      <c r="B483">
        <v>11150</v>
      </c>
      <c r="C483" t="b">
        <v>1</v>
      </c>
      <c r="D483">
        <v>8065</v>
      </c>
      <c r="E483">
        <v>8093</v>
      </c>
      <c r="F483">
        <v>228.6</v>
      </c>
      <c r="G483">
        <v>188</v>
      </c>
      <c r="H483">
        <v>1.2159575</v>
      </c>
      <c r="I483">
        <v>-0.21595748000000001</v>
      </c>
      <c r="J483">
        <v>0.45127220000000001</v>
      </c>
    </row>
    <row r="484" spans="1:10" x14ac:dyDescent="0.3">
      <c r="A484">
        <v>482</v>
      </c>
      <c r="B484">
        <v>11182</v>
      </c>
      <c r="C484" t="b">
        <v>1</v>
      </c>
      <c r="D484">
        <v>8054</v>
      </c>
      <c r="E484">
        <v>8111</v>
      </c>
      <c r="F484">
        <v>228.26666</v>
      </c>
      <c r="G484">
        <v>188</v>
      </c>
      <c r="H484">
        <v>1.2141843999999999</v>
      </c>
      <c r="I484">
        <v>-0.21418437000000001</v>
      </c>
      <c r="J484">
        <v>0.45163356999999998</v>
      </c>
    </row>
    <row r="485" spans="1:10" x14ac:dyDescent="0.3">
      <c r="A485">
        <v>483</v>
      </c>
      <c r="B485">
        <v>11197</v>
      </c>
      <c r="C485" t="b">
        <v>1</v>
      </c>
      <c r="D485">
        <v>8048</v>
      </c>
      <c r="E485">
        <v>8087</v>
      </c>
      <c r="F485">
        <v>227.13333</v>
      </c>
      <c r="G485">
        <v>187.6</v>
      </c>
      <c r="H485">
        <v>1.2107319999999999</v>
      </c>
      <c r="I485">
        <v>-0.210732</v>
      </c>
      <c r="J485">
        <v>0.45233887</v>
      </c>
    </row>
    <row r="486" spans="1:10" x14ac:dyDescent="0.3">
      <c r="A486">
        <v>484</v>
      </c>
      <c r="B486">
        <v>11213</v>
      </c>
      <c r="C486" t="b">
        <v>1</v>
      </c>
      <c r="D486">
        <v>8077</v>
      </c>
      <c r="E486">
        <v>8105</v>
      </c>
      <c r="F486">
        <v>226</v>
      </c>
      <c r="G486">
        <v>187.2</v>
      </c>
      <c r="H486">
        <v>1.207265</v>
      </c>
      <c r="I486">
        <v>-0.20726496999999999</v>
      </c>
      <c r="J486">
        <v>0.45304936000000001</v>
      </c>
    </row>
    <row r="487" spans="1:10" x14ac:dyDescent="0.3">
      <c r="A487">
        <v>485</v>
      </c>
      <c r="B487">
        <v>11229</v>
      </c>
      <c r="C487" t="b">
        <v>1</v>
      </c>
      <c r="D487">
        <v>8060</v>
      </c>
      <c r="E487">
        <v>8105</v>
      </c>
      <c r="F487">
        <v>225.26666</v>
      </c>
      <c r="G487">
        <v>187.6</v>
      </c>
      <c r="H487">
        <v>1.2007817000000001</v>
      </c>
      <c r="I487">
        <v>-0.20078175000000001</v>
      </c>
      <c r="J487">
        <v>0.45438400000000001</v>
      </c>
    </row>
    <row r="488" spans="1:10" x14ac:dyDescent="0.3">
      <c r="A488">
        <v>486</v>
      </c>
      <c r="B488">
        <v>11245</v>
      </c>
      <c r="C488" t="b">
        <v>1</v>
      </c>
      <c r="D488">
        <v>8054</v>
      </c>
      <c r="E488">
        <v>8099</v>
      </c>
      <c r="F488">
        <v>224.13333</v>
      </c>
      <c r="G488">
        <v>188</v>
      </c>
      <c r="H488">
        <v>1.1921984999999999</v>
      </c>
      <c r="I488">
        <v>-0.19219857000000001</v>
      </c>
      <c r="J488">
        <v>0.45616305000000001</v>
      </c>
    </row>
    <row r="489" spans="1:10" x14ac:dyDescent="0.3">
      <c r="A489">
        <v>487</v>
      </c>
      <c r="B489">
        <v>11277</v>
      </c>
      <c r="C489" t="b">
        <v>1</v>
      </c>
      <c r="D489">
        <v>8048</v>
      </c>
      <c r="E489">
        <v>8105</v>
      </c>
      <c r="F489">
        <v>223</v>
      </c>
      <c r="G489">
        <v>188.4</v>
      </c>
      <c r="H489">
        <v>1.1836518</v>
      </c>
      <c r="I489">
        <v>-0.18365185000000001</v>
      </c>
      <c r="J489">
        <v>0.45794845000000001</v>
      </c>
    </row>
    <row r="490" spans="1:10" x14ac:dyDescent="0.3">
      <c r="A490">
        <v>488</v>
      </c>
      <c r="B490">
        <v>11292</v>
      </c>
      <c r="C490" t="b">
        <v>1</v>
      </c>
      <c r="D490">
        <v>8065</v>
      </c>
      <c r="E490">
        <v>8093</v>
      </c>
      <c r="F490">
        <v>222.66667000000001</v>
      </c>
      <c r="G490">
        <v>188.8</v>
      </c>
      <c r="H490">
        <v>1.1793785000000001</v>
      </c>
      <c r="I490">
        <v>-0.17937854</v>
      </c>
      <c r="J490">
        <v>0.45884639999999999</v>
      </c>
    </row>
    <row r="491" spans="1:10" x14ac:dyDescent="0.3">
      <c r="A491">
        <v>489</v>
      </c>
      <c r="B491">
        <v>11308</v>
      </c>
      <c r="C491" t="b">
        <v>1</v>
      </c>
      <c r="D491">
        <v>8065</v>
      </c>
      <c r="E491">
        <v>8093</v>
      </c>
      <c r="F491">
        <v>222.33332999999999</v>
      </c>
      <c r="G491">
        <v>188.8</v>
      </c>
      <c r="H491">
        <v>1.1776129</v>
      </c>
      <c r="I491">
        <v>-0.17761294999999999</v>
      </c>
      <c r="J491">
        <v>0.45921844000000001</v>
      </c>
    </row>
    <row r="492" spans="1:10" x14ac:dyDescent="0.3">
      <c r="A492">
        <v>490</v>
      </c>
      <c r="B492">
        <v>11324</v>
      </c>
      <c r="C492" t="b">
        <v>1</v>
      </c>
      <c r="D492">
        <v>8071</v>
      </c>
      <c r="E492">
        <v>8093</v>
      </c>
      <c r="F492">
        <v>222.33332999999999</v>
      </c>
      <c r="G492">
        <v>188</v>
      </c>
      <c r="H492">
        <v>1.1826241</v>
      </c>
      <c r="I492">
        <v>-0.18262408999999999</v>
      </c>
      <c r="J492">
        <v>0.45816413</v>
      </c>
    </row>
    <row r="493" spans="1:10" x14ac:dyDescent="0.3">
      <c r="A493">
        <v>491</v>
      </c>
      <c r="B493">
        <v>11340</v>
      </c>
      <c r="C493" t="b">
        <v>1</v>
      </c>
      <c r="D493">
        <v>8065</v>
      </c>
      <c r="E493">
        <v>8099</v>
      </c>
      <c r="F493">
        <v>222.33332999999999</v>
      </c>
      <c r="G493">
        <v>187.2</v>
      </c>
      <c r="H493">
        <v>1.1876781000000001</v>
      </c>
      <c r="I493">
        <v>-0.18767805000000001</v>
      </c>
      <c r="J493">
        <v>0.45710563999999998</v>
      </c>
    </row>
    <row r="494" spans="1:10" x14ac:dyDescent="0.3">
      <c r="A494">
        <v>492</v>
      </c>
      <c r="B494">
        <v>11372</v>
      </c>
      <c r="C494" t="b">
        <v>1</v>
      </c>
      <c r="D494">
        <v>8065</v>
      </c>
      <c r="E494">
        <v>8105</v>
      </c>
      <c r="F494">
        <v>221.93333000000001</v>
      </c>
      <c r="G494">
        <v>186.4</v>
      </c>
      <c r="H494">
        <v>1.1906295</v>
      </c>
      <c r="I494">
        <v>-0.19062951</v>
      </c>
      <c r="J494">
        <v>0.4564898</v>
      </c>
    </row>
    <row r="495" spans="1:10" x14ac:dyDescent="0.3">
      <c r="A495">
        <v>493</v>
      </c>
      <c r="B495">
        <v>11387</v>
      </c>
      <c r="C495" t="b">
        <v>1</v>
      </c>
      <c r="D495">
        <v>8042</v>
      </c>
      <c r="E495">
        <v>8093</v>
      </c>
      <c r="F495">
        <v>221.53334000000001</v>
      </c>
      <c r="G495">
        <v>185.6</v>
      </c>
      <c r="H495">
        <v>1.1936064</v>
      </c>
      <c r="I495">
        <v>-0.19360632</v>
      </c>
      <c r="J495">
        <v>0.45587030000000001</v>
      </c>
    </row>
    <row r="496" spans="1:10" x14ac:dyDescent="0.3">
      <c r="A496">
        <v>494</v>
      </c>
      <c r="B496">
        <v>11419</v>
      </c>
      <c r="C496" t="b">
        <v>1</v>
      </c>
      <c r="D496">
        <v>8048</v>
      </c>
      <c r="E496">
        <v>8099</v>
      </c>
      <c r="F496">
        <v>221.13333</v>
      </c>
      <c r="G496">
        <v>185.2</v>
      </c>
      <c r="H496">
        <v>1.1940244</v>
      </c>
      <c r="I496">
        <v>-0.19402448999999999</v>
      </c>
      <c r="J496">
        <v>0.45578345999999997</v>
      </c>
    </row>
    <row r="497" spans="1:10" x14ac:dyDescent="0.3">
      <c r="A497">
        <v>495</v>
      </c>
      <c r="B497">
        <v>11435</v>
      </c>
      <c r="C497" t="b">
        <v>1</v>
      </c>
      <c r="D497">
        <v>8054</v>
      </c>
      <c r="E497">
        <v>8105</v>
      </c>
      <c r="F497">
        <v>220</v>
      </c>
      <c r="G497">
        <v>184.8</v>
      </c>
      <c r="H497">
        <v>1.1904762</v>
      </c>
      <c r="I497">
        <v>-0.19047616000000001</v>
      </c>
      <c r="J497">
        <v>0.45652175</v>
      </c>
    </row>
    <row r="498" spans="1:10" x14ac:dyDescent="0.3">
      <c r="A498">
        <v>496</v>
      </c>
      <c r="B498">
        <v>11451</v>
      </c>
      <c r="C498" t="b">
        <v>1</v>
      </c>
      <c r="D498">
        <v>8042</v>
      </c>
      <c r="E498">
        <v>8099</v>
      </c>
      <c r="F498">
        <v>218.86667</v>
      </c>
      <c r="G498">
        <v>184.4</v>
      </c>
      <c r="H498">
        <v>1.1869125</v>
      </c>
      <c r="I498">
        <v>-0.18691257</v>
      </c>
      <c r="J498">
        <v>0.45726565000000002</v>
      </c>
    </row>
    <row r="499" spans="1:10" x14ac:dyDescent="0.3">
      <c r="A499">
        <v>497</v>
      </c>
      <c r="B499">
        <v>11467</v>
      </c>
      <c r="C499" t="b">
        <v>1</v>
      </c>
      <c r="D499">
        <v>8042</v>
      </c>
      <c r="E499">
        <v>8099</v>
      </c>
      <c r="F499">
        <v>217.66667000000001</v>
      </c>
      <c r="G499">
        <v>184</v>
      </c>
      <c r="H499">
        <v>1.182971</v>
      </c>
      <c r="I499">
        <v>-0.18297105</v>
      </c>
      <c r="J499">
        <v>0.45809126</v>
      </c>
    </row>
    <row r="500" spans="1:10" x14ac:dyDescent="0.3">
      <c r="A500">
        <v>498</v>
      </c>
      <c r="B500">
        <v>11483</v>
      </c>
      <c r="C500" t="b">
        <v>1</v>
      </c>
      <c r="D500">
        <v>8071</v>
      </c>
      <c r="E500">
        <v>8093</v>
      </c>
      <c r="F500">
        <v>217.26666</v>
      </c>
      <c r="G500">
        <v>184</v>
      </c>
      <c r="H500">
        <v>1.1807970999999999</v>
      </c>
      <c r="I500">
        <v>-0.18079708999999999</v>
      </c>
      <c r="J500">
        <v>0.45854794999999998</v>
      </c>
    </row>
    <row r="501" spans="1:10" x14ac:dyDescent="0.3">
      <c r="A501">
        <v>499</v>
      </c>
      <c r="B501">
        <v>11498</v>
      </c>
      <c r="C501" t="b">
        <v>1</v>
      </c>
      <c r="D501">
        <v>8065</v>
      </c>
      <c r="E501">
        <v>8117</v>
      </c>
      <c r="F501">
        <v>217.26666</v>
      </c>
      <c r="G501">
        <v>184</v>
      </c>
      <c r="H501">
        <v>1.1807970999999999</v>
      </c>
      <c r="I501">
        <v>-0.18079708999999999</v>
      </c>
      <c r="J501">
        <v>0.45854794999999998</v>
      </c>
    </row>
    <row r="502" spans="1:10" x14ac:dyDescent="0.3">
      <c r="A502">
        <v>500</v>
      </c>
      <c r="B502">
        <v>11514</v>
      </c>
      <c r="C502" t="b">
        <v>1</v>
      </c>
      <c r="D502">
        <v>8060</v>
      </c>
      <c r="E502">
        <v>8146</v>
      </c>
      <c r="F502">
        <v>217.26666</v>
      </c>
      <c r="G502">
        <v>183.6</v>
      </c>
      <c r="H502">
        <v>1.1833696</v>
      </c>
      <c r="I502">
        <v>-0.18336958</v>
      </c>
      <c r="J502">
        <v>0.45800765999999998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8354F-2604-4B3F-9591-BE573F4A92D2}">
  <dimension ref="A1:J502"/>
  <sheetViews>
    <sheetView workbookViewId="0"/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10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 t="b">
        <v>1</v>
      </c>
      <c r="D2">
        <v>8048</v>
      </c>
      <c r="E2">
        <v>8123</v>
      </c>
      <c r="F2">
        <v>8</v>
      </c>
      <c r="G2">
        <v>8</v>
      </c>
      <c r="H2">
        <v>1</v>
      </c>
      <c r="I2">
        <v>0</v>
      </c>
      <c r="J2">
        <v>0.5</v>
      </c>
    </row>
    <row r="3" spans="1:10" x14ac:dyDescent="0.3">
      <c r="A3">
        <v>1</v>
      </c>
      <c r="B3">
        <v>22</v>
      </c>
      <c r="C3" t="b">
        <v>1</v>
      </c>
      <c r="D3">
        <v>8048</v>
      </c>
      <c r="E3">
        <v>8123</v>
      </c>
      <c r="F3">
        <v>8</v>
      </c>
      <c r="G3">
        <v>8</v>
      </c>
      <c r="H3">
        <v>1</v>
      </c>
      <c r="I3">
        <v>0</v>
      </c>
      <c r="J3">
        <v>0.5</v>
      </c>
    </row>
    <row r="4" spans="1:10" x14ac:dyDescent="0.3">
      <c r="A4">
        <v>2</v>
      </c>
      <c r="B4">
        <v>37</v>
      </c>
      <c r="C4" t="b">
        <v>1</v>
      </c>
      <c r="D4">
        <v>8054</v>
      </c>
      <c r="E4">
        <v>8129</v>
      </c>
      <c r="F4">
        <v>8</v>
      </c>
      <c r="G4">
        <v>8</v>
      </c>
      <c r="H4">
        <v>1</v>
      </c>
      <c r="I4">
        <v>0</v>
      </c>
      <c r="J4">
        <v>0.5</v>
      </c>
    </row>
    <row r="5" spans="1:10" x14ac:dyDescent="0.3">
      <c r="A5">
        <v>3</v>
      </c>
      <c r="B5">
        <v>53</v>
      </c>
      <c r="C5" t="b">
        <v>1</v>
      </c>
      <c r="D5">
        <v>8054</v>
      </c>
      <c r="E5">
        <v>8123</v>
      </c>
      <c r="F5">
        <v>9.5</v>
      </c>
      <c r="G5">
        <v>8</v>
      </c>
      <c r="H5">
        <v>1.1875</v>
      </c>
      <c r="I5">
        <v>-0.1875</v>
      </c>
      <c r="J5">
        <v>0.45714285999999998</v>
      </c>
    </row>
    <row r="6" spans="1:10" x14ac:dyDescent="0.3">
      <c r="A6">
        <v>4</v>
      </c>
      <c r="B6">
        <v>69</v>
      </c>
      <c r="C6" t="b">
        <v>1</v>
      </c>
      <c r="D6">
        <v>8054</v>
      </c>
      <c r="E6">
        <v>8129</v>
      </c>
      <c r="F6">
        <v>10.4</v>
      </c>
      <c r="G6">
        <v>8</v>
      </c>
      <c r="H6">
        <v>1.3</v>
      </c>
      <c r="I6">
        <v>-0.29999995000000002</v>
      </c>
      <c r="J6">
        <v>0.43478262000000001</v>
      </c>
    </row>
    <row r="7" spans="1:10" x14ac:dyDescent="0.3">
      <c r="A7">
        <v>5</v>
      </c>
      <c r="B7">
        <v>86</v>
      </c>
      <c r="C7" t="b">
        <v>1</v>
      </c>
      <c r="D7">
        <v>8054</v>
      </c>
      <c r="E7">
        <v>8123</v>
      </c>
      <c r="F7">
        <v>11</v>
      </c>
      <c r="G7">
        <v>8</v>
      </c>
      <c r="H7">
        <v>1.375</v>
      </c>
      <c r="I7">
        <v>-0.375</v>
      </c>
      <c r="J7">
        <v>0.42105262999999998</v>
      </c>
    </row>
    <row r="8" spans="1:10" x14ac:dyDescent="0.3">
      <c r="A8">
        <v>6</v>
      </c>
      <c r="B8">
        <v>102</v>
      </c>
      <c r="C8" t="b">
        <v>1</v>
      </c>
      <c r="D8">
        <v>8048</v>
      </c>
      <c r="E8">
        <v>8129</v>
      </c>
      <c r="F8">
        <v>11.428572000000001</v>
      </c>
      <c r="G8">
        <v>8.8571419999999996</v>
      </c>
      <c r="H8">
        <v>1.2903226999999999</v>
      </c>
      <c r="I8">
        <v>-0.29032266000000001</v>
      </c>
      <c r="J8">
        <v>0.43661972999999998</v>
      </c>
    </row>
    <row r="9" spans="1:10" x14ac:dyDescent="0.3">
      <c r="A9">
        <v>7</v>
      </c>
      <c r="B9">
        <v>117</v>
      </c>
      <c r="C9" t="b">
        <v>1</v>
      </c>
      <c r="D9">
        <v>8054</v>
      </c>
      <c r="E9">
        <v>8123</v>
      </c>
      <c r="F9">
        <v>11.75</v>
      </c>
      <c r="G9">
        <v>8.75</v>
      </c>
      <c r="H9">
        <v>1.3428571</v>
      </c>
      <c r="I9">
        <v>-0.34285715</v>
      </c>
      <c r="J9">
        <v>0.42682927999999998</v>
      </c>
    </row>
    <row r="10" spans="1:10" x14ac:dyDescent="0.3">
      <c r="A10">
        <v>8</v>
      </c>
      <c r="B10">
        <v>133</v>
      </c>
      <c r="C10" t="b">
        <v>1</v>
      </c>
      <c r="D10">
        <v>8048</v>
      </c>
      <c r="E10">
        <v>8134</v>
      </c>
      <c r="F10">
        <v>12</v>
      </c>
      <c r="G10">
        <v>9.3333329999999997</v>
      </c>
      <c r="H10">
        <v>1.2857144</v>
      </c>
      <c r="I10">
        <v>-0.28571433000000002</v>
      </c>
      <c r="J10">
        <v>0.4375</v>
      </c>
    </row>
    <row r="11" spans="1:10" x14ac:dyDescent="0.3">
      <c r="A11">
        <v>9</v>
      </c>
      <c r="B11">
        <v>149</v>
      </c>
      <c r="C11" t="b">
        <v>1</v>
      </c>
      <c r="D11">
        <v>8054</v>
      </c>
      <c r="E11">
        <v>8129</v>
      </c>
      <c r="F11">
        <v>12.2</v>
      </c>
      <c r="G11">
        <v>9.8000000000000007</v>
      </c>
      <c r="H11">
        <v>1.2448980000000001</v>
      </c>
      <c r="I11">
        <v>-0.24489791999999999</v>
      </c>
      <c r="J11">
        <v>0.44545456999999999</v>
      </c>
    </row>
    <row r="12" spans="1:10" x14ac:dyDescent="0.3">
      <c r="A12">
        <v>10</v>
      </c>
      <c r="B12">
        <v>165</v>
      </c>
      <c r="C12" t="b">
        <v>1</v>
      </c>
      <c r="D12">
        <v>8048</v>
      </c>
      <c r="E12">
        <v>8129</v>
      </c>
      <c r="F12">
        <v>11.818182</v>
      </c>
      <c r="G12">
        <v>10.181818</v>
      </c>
      <c r="H12">
        <v>1.1607143</v>
      </c>
      <c r="I12">
        <v>-0.16071432999999999</v>
      </c>
      <c r="J12">
        <v>0.46280991999999999</v>
      </c>
    </row>
    <row r="13" spans="1:10" x14ac:dyDescent="0.3">
      <c r="A13">
        <v>11</v>
      </c>
      <c r="B13">
        <v>181</v>
      </c>
      <c r="C13" t="b">
        <v>1</v>
      </c>
      <c r="D13">
        <v>8048</v>
      </c>
      <c r="E13">
        <v>8129</v>
      </c>
      <c r="F13">
        <v>11.5</v>
      </c>
      <c r="G13">
        <v>10.5</v>
      </c>
      <c r="H13">
        <v>1.0952381</v>
      </c>
      <c r="I13">
        <v>-9.5238100000000006E-2</v>
      </c>
      <c r="J13">
        <v>0.47727271999999998</v>
      </c>
    </row>
    <row r="14" spans="1:10" x14ac:dyDescent="0.3">
      <c r="A14">
        <v>12</v>
      </c>
      <c r="B14">
        <v>197</v>
      </c>
      <c r="C14" t="b">
        <v>1</v>
      </c>
      <c r="D14">
        <v>8048</v>
      </c>
      <c r="E14">
        <v>8123</v>
      </c>
      <c r="F14">
        <v>11.230769</v>
      </c>
      <c r="G14">
        <v>10.769231</v>
      </c>
      <c r="H14">
        <v>1.0428572</v>
      </c>
      <c r="I14">
        <v>-4.285713E-2</v>
      </c>
      <c r="J14">
        <v>0.48951050000000002</v>
      </c>
    </row>
    <row r="15" spans="1:10" x14ac:dyDescent="0.3">
      <c r="A15">
        <v>13</v>
      </c>
      <c r="B15">
        <v>213</v>
      </c>
      <c r="C15" t="b">
        <v>1</v>
      </c>
      <c r="D15">
        <v>8048</v>
      </c>
      <c r="E15">
        <v>8123</v>
      </c>
      <c r="F15">
        <v>11</v>
      </c>
      <c r="G15">
        <v>11</v>
      </c>
      <c r="H15">
        <v>1</v>
      </c>
      <c r="I15">
        <v>0</v>
      </c>
      <c r="J15">
        <v>0.5</v>
      </c>
    </row>
    <row r="16" spans="1:10" x14ac:dyDescent="0.3">
      <c r="A16">
        <v>14</v>
      </c>
      <c r="B16">
        <v>229</v>
      </c>
      <c r="C16" t="b">
        <v>1</v>
      </c>
      <c r="D16">
        <v>8048</v>
      </c>
      <c r="E16">
        <v>8129</v>
      </c>
      <c r="F16">
        <v>10.8</v>
      </c>
      <c r="G16">
        <v>11.2</v>
      </c>
      <c r="H16">
        <v>0.96428572999999995</v>
      </c>
      <c r="I16">
        <v>3.5714254000000001E-2</v>
      </c>
      <c r="J16">
        <v>0.50909090000000001</v>
      </c>
    </row>
    <row r="17" spans="1:10" x14ac:dyDescent="0.3">
      <c r="A17">
        <v>15</v>
      </c>
      <c r="B17">
        <v>245</v>
      </c>
      <c r="C17" t="b">
        <v>1</v>
      </c>
      <c r="D17">
        <v>8048</v>
      </c>
      <c r="E17">
        <v>8123</v>
      </c>
      <c r="F17">
        <v>10.8</v>
      </c>
      <c r="G17">
        <v>11.2</v>
      </c>
      <c r="H17">
        <v>0.96428572999999995</v>
      </c>
      <c r="I17">
        <v>3.5714254000000001E-2</v>
      </c>
      <c r="J17">
        <v>0.50909090000000001</v>
      </c>
    </row>
    <row r="18" spans="1:10" x14ac:dyDescent="0.3">
      <c r="A18">
        <v>16</v>
      </c>
      <c r="B18">
        <v>261</v>
      </c>
      <c r="C18" t="b">
        <v>1</v>
      </c>
      <c r="D18">
        <v>8042</v>
      </c>
      <c r="E18">
        <v>8123</v>
      </c>
      <c r="F18">
        <v>10.8</v>
      </c>
      <c r="G18">
        <v>11.2</v>
      </c>
      <c r="H18">
        <v>0.96428572999999995</v>
      </c>
      <c r="I18">
        <v>3.5714254000000001E-2</v>
      </c>
      <c r="J18">
        <v>0.50909090000000001</v>
      </c>
    </row>
    <row r="19" spans="1:10" x14ac:dyDescent="0.3">
      <c r="A19">
        <v>17</v>
      </c>
      <c r="B19">
        <v>277</v>
      </c>
      <c r="C19" t="b">
        <v>1</v>
      </c>
      <c r="D19">
        <v>8042</v>
      </c>
      <c r="E19">
        <v>8123</v>
      </c>
      <c r="F19">
        <v>10.8</v>
      </c>
      <c r="G19">
        <v>11.2</v>
      </c>
      <c r="H19">
        <v>0.96428572999999995</v>
      </c>
      <c r="I19">
        <v>3.5714254000000001E-2</v>
      </c>
      <c r="J19">
        <v>0.50909090000000001</v>
      </c>
    </row>
    <row r="20" spans="1:10" x14ac:dyDescent="0.3">
      <c r="A20">
        <v>18</v>
      </c>
      <c r="B20">
        <v>292</v>
      </c>
      <c r="C20" t="b">
        <v>1</v>
      </c>
      <c r="D20">
        <v>8048</v>
      </c>
      <c r="E20">
        <v>8123</v>
      </c>
      <c r="F20">
        <v>10.4</v>
      </c>
      <c r="G20">
        <v>11.2</v>
      </c>
      <c r="H20">
        <v>0.92857140000000005</v>
      </c>
      <c r="I20">
        <v>7.142859E-2</v>
      </c>
      <c r="J20">
        <v>0.51851857000000001</v>
      </c>
    </row>
    <row r="21" spans="1:10" x14ac:dyDescent="0.3">
      <c r="A21">
        <v>19</v>
      </c>
      <c r="B21">
        <v>308</v>
      </c>
      <c r="C21" t="b">
        <v>1</v>
      </c>
      <c r="D21">
        <v>8048</v>
      </c>
      <c r="E21">
        <v>8123</v>
      </c>
      <c r="F21">
        <v>10</v>
      </c>
      <c r="G21">
        <v>11.2</v>
      </c>
      <c r="H21">
        <v>0.89285713</v>
      </c>
      <c r="I21">
        <v>0.10714284</v>
      </c>
      <c r="J21">
        <v>0.52830184000000002</v>
      </c>
    </row>
    <row r="22" spans="1:10" x14ac:dyDescent="0.3">
      <c r="A22">
        <v>20</v>
      </c>
      <c r="B22">
        <v>324</v>
      </c>
      <c r="C22" t="b">
        <v>1</v>
      </c>
      <c r="D22">
        <v>8048</v>
      </c>
      <c r="E22">
        <v>8123</v>
      </c>
      <c r="F22">
        <v>9.6</v>
      </c>
      <c r="G22">
        <v>11.2</v>
      </c>
      <c r="H22">
        <v>0.85714290000000004</v>
      </c>
      <c r="I22">
        <v>0.14285708999999999</v>
      </c>
      <c r="J22">
        <v>0.53846156999999994</v>
      </c>
    </row>
    <row r="23" spans="1:10" x14ac:dyDescent="0.3">
      <c r="A23">
        <v>21</v>
      </c>
      <c r="B23">
        <v>340</v>
      </c>
      <c r="C23" t="b">
        <v>1</v>
      </c>
      <c r="D23">
        <v>8048</v>
      </c>
      <c r="E23">
        <v>8129</v>
      </c>
      <c r="F23">
        <v>9.1999999999999993</v>
      </c>
      <c r="G23">
        <v>10.8</v>
      </c>
      <c r="H23">
        <v>0.85185180000000005</v>
      </c>
      <c r="I23">
        <v>0.14814817999999999</v>
      </c>
      <c r="J23">
        <v>0.54</v>
      </c>
    </row>
    <row r="24" spans="1:10" x14ac:dyDescent="0.3">
      <c r="A24">
        <v>22</v>
      </c>
      <c r="B24">
        <v>355</v>
      </c>
      <c r="C24" t="b">
        <v>1</v>
      </c>
      <c r="D24">
        <v>8048</v>
      </c>
      <c r="E24">
        <v>8123</v>
      </c>
      <c r="F24">
        <v>8.8000000000000007</v>
      </c>
      <c r="G24">
        <v>10.8</v>
      </c>
      <c r="H24">
        <v>0.81481479999999995</v>
      </c>
      <c r="I24">
        <v>0.18518518</v>
      </c>
      <c r="J24">
        <v>0.55102039999999997</v>
      </c>
    </row>
    <row r="25" spans="1:10" x14ac:dyDescent="0.3">
      <c r="A25">
        <v>23</v>
      </c>
      <c r="B25">
        <v>371</v>
      </c>
      <c r="C25" t="b">
        <v>1</v>
      </c>
      <c r="D25">
        <v>8048</v>
      </c>
      <c r="E25">
        <v>8123</v>
      </c>
      <c r="F25">
        <v>8.4</v>
      </c>
      <c r="G25">
        <v>10.4</v>
      </c>
      <c r="H25">
        <v>0.80769230000000003</v>
      </c>
      <c r="I25">
        <v>0.1923077</v>
      </c>
      <c r="J25">
        <v>0.55319149999999995</v>
      </c>
    </row>
    <row r="26" spans="1:10" x14ac:dyDescent="0.3">
      <c r="A26">
        <v>24</v>
      </c>
      <c r="B26">
        <v>387</v>
      </c>
      <c r="C26" t="b">
        <v>1</v>
      </c>
      <c r="D26">
        <v>8048</v>
      </c>
      <c r="E26">
        <v>8129</v>
      </c>
      <c r="F26">
        <v>8</v>
      </c>
      <c r="G26">
        <v>10</v>
      </c>
      <c r="H26">
        <v>0.8</v>
      </c>
      <c r="I26">
        <v>0.2</v>
      </c>
      <c r="J26">
        <v>0.55555560000000004</v>
      </c>
    </row>
    <row r="27" spans="1:10" x14ac:dyDescent="0.3">
      <c r="A27">
        <v>25</v>
      </c>
      <c r="B27">
        <v>403</v>
      </c>
      <c r="C27" t="b">
        <v>1</v>
      </c>
      <c r="D27">
        <v>8048</v>
      </c>
      <c r="E27">
        <v>8123</v>
      </c>
      <c r="F27">
        <v>8</v>
      </c>
      <c r="G27">
        <v>9.6</v>
      </c>
      <c r="H27">
        <v>0.83333330000000005</v>
      </c>
      <c r="I27">
        <v>0.1666667</v>
      </c>
      <c r="J27">
        <v>0.54545456000000003</v>
      </c>
    </row>
    <row r="28" spans="1:10" x14ac:dyDescent="0.3">
      <c r="A28">
        <v>26</v>
      </c>
      <c r="B28">
        <v>419</v>
      </c>
      <c r="C28" t="b">
        <v>1</v>
      </c>
      <c r="D28">
        <v>8042</v>
      </c>
      <c r="E28">
        <v>8123</v>
      </c>
      <c r="F28">
        <v>8</v>
      </c>
      <c r="G28">
        <v>9.1999999999999993</v>
      </c>
      <c r="H28">
        <v>0.86956524999999996</v>
      </c>
      <c r="I28">
        <v>0.13043477000000001</v>
      </c>
      <c r="J28">
        <v>0.53488369999999996</v>
      </c>
    </row>
    <row r="29" spans="1:10" x14ac:dyDescent="0.3">
      <c r="A29">
        <v>27</v>
      </c>
      <c r="B29">
        <v>435</v>
      </c>
      <c r="C29" t="b">
        <v>1</v>
      </c>
      <c r="D29">
        <v>8048</v>
      </c>
      <c r="E29">
        <v>8123</v>
      </c>
      <c r="F29">
        <v>8</v>
      </c>
      <c r="G29">
        <v>8.8000000000000007</v>
      </c>
      <c r="H29">
        <v>0.90909090000000004</v>
      </c>
      <c r="I29">
        <v>9.0909110000000001E-2</v>
      </c>
      <c r="J29">
        <v>0.52380954999999996</v>
      </c>
    </row>
    <row r="30" spans="1:10" x14ac:dyDescent="0.3">
      <c r="A30">
        <v>28</v>
      </c>
      <c r="B30">
        <v>451</v>
      </c>
      <c r="C30" t="b">
        <v>1</v>
      </c>
      <c r="D30">
        <v>8042</v>
      </c>
      <c r="E30">
        <v>8123</v>
      </c>
      <c r="F30">
        <v>8</v>
      </c>
      <c r="G30">
        <v>8.4</v>
      </c>
      <c r="H30">
        <v>0.95238100000000003</v>
      </c>
      <c r="I30">
        <v>4.7619003999999999E-2</v>
      </c>
      <c r="J30">
        <v>0.51219510000000001</v>
      </c>
    </row>
    <row r="31" spans="1:10" x14ac:dyDescent="0.3">
      <c r="A31">
        <v>29</v>
      </c>
      <c r="B31">
        <v>467</v>
      </c>
      <c r="C31" t="b">
        <v>1</v>
      </c>
      <c r="D31">
        <v>8048</v>
      </c>
      <c r="E31">
        <v>8117</v>
      </c>
      <c r="F31">
        <v>8</v>
      </c>
      <c r="G31">
        <v>8</v>
      </c>
      <c r="H31">
        <v>1</v>
      </c>
      <c r="I31">
        <v>0</v>
      </c>
      <c r="J31">
        <v>0.5</v>
      </c>
    </row>
    <row r="32" spans="1:10" x14ac:dyDescent="0.3">
      <c r="A32">
        <v>30</v>
      </c>
      <c r="B32">
        <v>482</v>
      </c>
      <c r="C32" t="b">
        <v>1</v>
      </c>
      <c r="D32">
        <v>8048</v>
      </c>
      <c r="E32">
        <v>8123</v>
      </c>
      <c r="F32">
        <v>8</v>
      </c>
      <c r="G32">
        <v>8</v>
      </c>
      <c r="H32">
        <v>1</v>
      </c>
      <c r="I32">
        <v>0</v>
      </c>
      <c r="J32">
        <v>0.5</v>
      </c>
    </row>
    <row r="33" spans="1:10" x14ac:dyDescent="0.3">
      <c r="A33">
        <v>31</v>
      </c>
      <c r="B33">
        <v>498</v>
      </c>
      <c r="C33" t="b">
        <v>1</v>
      </c>
      <c r="D33">
        <v>8048</v>
      </c>
      <c r="E33">
        <v>8123</v>
      </c>
      <c r="F33">
        <v>8</v>
      </c>
      <c r="G33">
        <v>8</v>
      </c>
      <c r="H33">
        <v>1</v>
      </c>
      <c r="I33">
        <v>0</v>
      </c>
      <c r="J33">
        <v>0.5</v>
      </c>
    </row>
    <row r="34" spans="1:10" x14ac:dyDescent="0.3">
      <c r="A34">
        <v>32</v>
      </c>
      <c r="B34">
        <v>514</v>
      </c>
      <c r="C34" t="b">
        <v>1</v>
      </c>
      <c r="D34">
        <v>8054</v>
      </c>
      <c r="E34">
        <v>8134</v>
      </c>
      <c r="F34">
        <v>8</v>
      </c>
      <c r="G34">
        <v>8</v>
      </c>
      <c r="H34">
        <v>1</v>
      </c>
      <c r="I34">
        <v>0</v>
      </c>
      <c r="J34">
        <v>0.5</v>
      </c>
    </row>
    <row r="35" spans="1:10" x14ac:dyDescent="0.3">
      <c r="A35">
        <v>33</v>
      </c>
      <c r="B35">
        <v>530</v>
      </c>
      <c r="C35" t="b">
        <v>1</v>
      </c>
      <c r="D35">
        <v>8054</v>
      </c>
      <c r="E35">
        <v>8129</v>
      </c>
      <c r="F35">
        <v>8</v>
      </c>
      <c r="G35">
        <v>8</v>
      </c>
      <c r="H35">
        <v>1</v>
      </c>
      <c r="I35">
        <v>0</v>
      </c>
      <c r="J35">
        <v>0.5</v>
      </c>
    </row>
    <row r="36" spans="1:10" x14ac:dyDescent="0.3">
      <c r="A36">
        <v>34</v>
      </c>
      <c r="B36">
        <v>545</v>
      </c>
      <c r="C36" t="b">
        <v>1</v>
      </c>
      <c r="D36">
        <v>8054</v>
      </c>
      <c r="E36">
        <v>8129</v>
      </c>
      <c r="F36">
        <v>8.4</v>
      </c>
      <c r="G36">
        <v>8.4</v>
      </c>
      <c r="H36">
        <v>1</v>
      </c>
      <c r="I36">
        <v>0</v>
      </c>
      <c r="J36">
        <v>0.5</v>
      </c>
    </row>
    <row r="37" spans="1:10" x14ac:dyDescent="0.3">
      <c r="A37">
        <v>35</v>
      </c>
      <c r="B37">
        <v>561</v>
      </c>
      <c r="C37" t="b">
        <v>1</v>
      </c>
      <c r="D37">
        <v>8054</v>
      </c>
      <c r="E37">
        <v>8129</v>
      </c>
      <c r="F37">
        <v>8.8000000000000007</v>
      </c>
      <c r="G37">
        <v>8.8000000000000007</v>
      </c>
      <c r="H37">
        <v>1</v>
      </c>
      <c r="I37">
        <v>0</v>
      </c>
      <c r="J37">
        <v>0.5</v>
      </c>
    </row>
    <row r="38" spans="1:10" x14ac:dyDescent="0.3">
      <c r="A38">
        <v>36</v>
      </c>
      <c r="B38">
        <v>577</v>
      </c>
      <c r="C38" t="b">
        <v>1</v>
      </c>
      <c r="D38">
        <v>8054</v>
      </c>
      <c r="E38">
        <v>8123</v>
      </c>
      <c r="F38">
        <v>9.1999999999999993</v>
      </c>
      <c r="G38">
        <v>9.1999999999999993</v>
      </c>
      <c r="H38">
        <v>1</v>
      </c>
      <c r="I38">
        <v>0</v>
      </c>
      <c r="J38">
        <v>0.5</v>
      </c>
    </row>
    <row r="39" spans="1:10" x14ac:dyDescent="0.3">
      <c r="A39">
        <v>37</v>
      </c>
      <c r="B39">
        <v>593</v>
      </c>
      <c r="C39" t="b">
        <v>1</v>
      </c>
      <c r="D39">
        <v>8048</v>
      </c>
      <c r="E39">
        <v>8129</v>
      </c>
      <c r="F39">
        <v>9.6</v>
      </c>
      <c r="G39">
        <v>9.6</v>
      </c>
      <c r="H39">
        <v>1</v>
      </c>
      <c r="I39">
        <v>0</v>
      </c>
      <c r="J39">
        <v>0.5</v>
      </c>
    </row>
    <row r="40" spans="1:10" x14ac:dyDescent="0.3">
      <c r="A40">
        <v>38</v>
      </c>
      <c r="B40">
        <v>609</v>
      </c>
      <c r="C40" t="b">
        <v>1</v>
      </c>
      <c r="D40">
        <v>8054</v>
      </c>
      <c r="E40">
        <v>8123</v>
      </c>
      <c r="F40">
        <v>10</v>
      </c>
      <c r="G40">
        <v>10</v>
      </c>
      <c r="H40">
        <v>1</v>
      </c>
      <c r="I40">
        <v>0</v>
      </c>
      <c r="J40">
        <v>0.5</v>
      </c>
    </row>
    <row r="41" spans="1:10" x14ac:dyDescent="0.3">
      <c r="A41">
        <v>39</v>
      </c>
      <c r="B41">
        <v>624</v>
      </c>
      <c r="C41" t="b">
        <v>1</v>
      </c>
      <c r="D41">
        <v>8048</v>
      </c>
      <c r="E41">
        <v>8123</v>
      </c>
      <c r="F41">
        <v>10.4</v>
      </c>
      <c r="G41">
        <v>10</v>
      </c>
      <c r="H41">
        <v>1.04</v>
      </c>
      <c r="I41">
        <v>-3.9999960000000001E-2</v>
      </c>
      <c r="J41">
        <v>0.49019607999999998</v>
      </c>
    </row>
    <row r="42" spans="1:10" x14ac:dyDescent="0.3">
      <c r="A42">
        <v>40</v>
      </c>
      <c r="B42">
        <v>640</v>
      </c>
      <c r="C42" t="b">
        <v>1</v>
      </c>
      <c r="D42">
        <v>8048</v>
      </c>
      <c r="E42">
        <v>8123</v>
      </c>
      <c r="F42">
        <v>10.4</v>
      </c>
      <c r="G42">
        <v>10</v>
      </c>
      <c r="H42">
        <v>1.04</v>
      </c>
      <c r="I42">
        <v>-3.9999960000000001E-2</v>
      </c>
      <c r="J42">
        <v>0.49019607999999998</v>
      </c>
    </row>
    <row r="43" spans="1:10" x14ac:dyDescent="0.3">
      <c r="A43">
        <v>41</v>
      </c>
      <c r="B43">
        <v>656</v>
      </c>
      <c r="C43" t="b">
        <v>1</v>
      </c>
      <c r="D43">
        <v>8048</v>
      </c>
      <c r="E43">
        <v>8129</v>
      </c>
      <c r="F43">
        <v>10.4</v>
      </c>
      <c r="G43">
        <v>10</v>
      </c>
      <c r="H43">
        <v>1.04</v>
      </c>
      <c r="I43">
        <v>-3.9999960000000001E-2</v>
      </c>
      <c r="J43">
        <v>0.49019607999999998</v>
      </c>
    </row>
    <row r="44" spans="1:10" x14ac:dyDescent="0.3">
      <c r="A44">
        <v>42</v>
      </c>
      <c r="B44">
        <v>672</v>
      </c>
      <c r="C44" t="b">
        <v>1</v>
      </c>
      <c r="D44">
        <v>8042</v>
      </c>
      <c r="E44">
        <v>8129</v>
      </c>
      <c r="F44">
        <v>10.4</v>
      </c>
      <c r="G44">
        <v>10</v>
      </c>
      <c r="H44">
        <v>1.04</v>
      </c>
      <c r="I44">
        <v>-3.9999960000000001E-2</v>
      </c>
      <c r="J44">
        <v>0.49019607999999998</v>
      </c>
    </row>
    <row r="45" spans="1:10" x14ac:dyDescent="0.3">
      <c r="A45">
        <v>43</v>
      </c>
      <c r="B45">
        <v>687</v>
      </c>
      <c r="C45" t="b">
        <v>1</v>
      </c>
      <c r="D45">
        <v>8048</v>
      </c>
      <c r="E45">
        <v>8134</v>
      </c>
      <c r="F45">
        <v>10.4</v>
      </c>
      <c r="G45">
        <v>10.4</v>
      </c>
      <c r="H45">
        <v>1</v>
      </c>
      <c r="I45">
        <v>0</v>
      </c>
      <c r="J45">
        <v>0.5</v>
      </c>
    </row>
    <row r="46" spans="1:10" x14ac:dyDescent="0.3">
      <c r="A46">
        <v>44</v>
      </c>
      <c r="B46">
        <v>703</v>
      </c>
      <c r="C46" t="b">
        <v>1</v>
      </c>
      <c r="D46">
        <v>8042</v>
      </c>
      <c r="E46">
        <v>8129</v>
      </c>
      <c r="F46">
        <v>10.4</v>
      </c>
      <c r="G46">
        <v>10.8</v>
      </c>
      <c r="H46">
        <v>0.96296289999999996</v>
      </c>
      <c r="I46">
        <v>3.7037090000000002E-2</v>
      </c>
      <c r="J46">
        <v>0.5094339</v>
      </c>
    </row>
    <row r="47" spans="1:10" x14ac:dyDescent="0.3">
      <c r="A47">
        <v>45</v>
      </c>
      <c r="B47">
        <v>719</v>
      </c>
      <c r="C47" t="b">
        <v>1</v>
      </c>
      <c r="D47">
        <v>8048</v>
      </c>
      <c r="E47">
        <v>8123</v>
      </c>
      <c r="F47">
        <v>10.4</v>
      </c>
      <c r="G47">
        <v>11.2</v>
      </c>
      <c r="H47">
        <v>0.92857140000000005</v>
      </c>
      <c r="I47">
        <v>7.142859E-2</v>
      </c>
      <c r="J47">
        <v>0.51851857000000001</v>
      </c>
    </row>
    <row r="48" spans="1:10" x14ac:dyDescent="0.3">
      <c r="A48">
        <v>46</v>
      </c>
      <c r="B48">
        <v>735</v>
      </c>
      <c r="C48" t="b">
        <v>1</v>
      </c>
      <c r="D48">
        <v>8048</v>
      </c>
      <c r="E48">
        <v>8129</v>
      </c>
      <c r="F48">
        <v>10.4</v>
      </c>
      <c r="G48">
        <v>11.6</v>
      </c>
      <c r="H48">
        <v>0.89655167000000002</v>
      </c>
      <c r="I48">
        <v>0.10344834</v>
      </c>
      <c r="J48">
        <v>0.52727276000000001</v>
      </c>
    </row>
    <row r="49" spans="1:10" x14ac:dyDescent="0.3">
      <c r="A49">
        <v>47</v>
      </c>
      <c r="B49">
        <v>751</v>
      </c>
      <c r="C49" t="b">
        <v>1</v>
      </c>
      <c r="D49">
        <v>8048</v>
      </c>
      <c r="E49">
        <v>8129</v>
      </c>
      <c r="F49">
        <v>10.4</v>
      </c>
      <c r="G49">
        <v>12</v>
      </c>
      <c r="H49">
        <v>0.86666659999999995</v>
      </c>
      <c r="I49">
        <v>0.13333337000000001</v>
      </c>
      <c r="J49">
        <v>0.53571427000000005</v>
      </c>
    </row>
    <row r="50" spans="1:10" x14ac:dyDescent="0.3">
      <c r="A50">
        <v>48</v>
      </c>
      <c r="B50">
        <v>767</v>
      </c>
      <c r="C50" t="b">
        <v>1</v>
      </c>
      <c r="D50">
        <v>8048</v>
      </c>
      <c r="E50">
        <v>8123</v>
      </c>
      <c r="F50">
        <v>10.4</v>
      </c>
      <c r="G50">
        <v>12.4</v>
      </c>
      <c r="H50">
        <v>0.83870964999999997</v>
      </c>
      <c r="I50">
        <v>0.16129033000000001</v>
      </c>
      <c r="J50">
        <v>0.54385965999999997</v>
      </c>
    </row>
    <row r="51" spans="1:10" x14ac:dyDescent="0.3">
      <c r="A51">
        <v>49</v>
      </c>
      <c r="B51">
        <v>783</v>
      </c>
      <c r="C51" t="b">
        <v>1</v>
      </c>
      <c r="D51">
        <v>8048</v>
      </c>
      <c r="E51">
        <v>8123</v>
      </c>
      <c r="F51">
        <v>10</v>
      </c>
      <c r="G51">
        <v>12</v>
      </c>
      <c r="H51">
        <v>0.83333330000000005</v>
      </c>
      <c r="I51">
        <v>0.16666666999999999</v>
      </c>
      <c r="J51">
        <v>0.54545456000000003</v>
      </c>
    </row>
    <row r="52" spans="1:10" x14ac:dyDescent="0.3">
      <c r="A52">
        <v>50</v>
      </c>
      <c r="B52">
        <v>799</v>
      </c>
      <c r="C52" t="b">
        <v>1</v>
      </c>
      <c r="D52">
        <v>8048</v>
      </c>
      <c r="E52">
        <v>8123</v>
      </c>
      <c r="F52">
        <v>9.6</v>
      </c>
      <c r="G52">
        <v>11.6</v>
      </c>
      <c r="H52">
        <v>0.82758622999999998</v>
      </c>
      <c r="I52">
        <v>0.17241377999999999</v>
      </c>
      <c r="J52">
        <v>0.54716980000000004</v>
      </c>
    </row>
    <row r="53" spans="1:10" x14ac:dyDescent="0.3">
      <c r="A53">
        <v>51</v>
      </c>
      <c r="B53">
        <v>815</v>
      </c>
      <c r="C53" t="b">
        <v>1</v>
      </c>
      <c r="D53">
        <v>8042</v>
      </c>
      <c r="E53">
        <v>8134</v>
      </c>
      <c r="F53">
        <v>9.1999999999999993</v>
      </c>
      <c r="G53">
        <v>11.2</v>
      </c>
      <c r="H53">
        <v>0.82142859999999995</v>
      </c>
      <c r="I53">
        <v>0.17857143</v>
      </c>
      <c r="J53">
        <v>0.54901962999999998</v>
      </c>
    </row>
    <row r="54" spans="1:10" x14ac:dyDescent="0.3">
      <c r="A54">
        <v>52</v>
      </c>
      <c r="B54">
        <v>831</v>
      </c>
      <c r="C54" t="b">
        <v>1</v>
      </c>
      <c r="D54">
        <v>8048</v>
      </c>
      <c r="E54">
        <v>8123</v>
      </c>
      <c r="F54">
        <v>8.8000000000000007</v>
      </c>
      <c r="G54">
        <v>10.8</v>
      </c>
      <c r="H54">
        <v>0.81481479999999995</v>
      </c>
      <c r="I54">
        <v>0.18518518</v>
      </c>
      <c r="J54">
        <v>0.55102039999999997</v>
      </c>
    </row>
    <row r="55" spans="1:10" x14ac:dyDescent="0.3">
      <c r="A55">
        <v>53</v>
      </c>
      <c r="B55">
        <v>847</v>
      </c>
      <c r="C55" t="b">
        <v>1</v>
      </c>
      <c r="D55">
        <v>8048</v>
      </c>
      <c r="E55">
        <v>8123</v>
      </c>
      <c r="F55">
        <v>8.4</v>
      </c>
      <c r="G55">
        <v>10.4</v>
      </c>
      <c r="H55">
        <v>0.80769230000000003</v>
      </c>
      <c r="I55">
        <v>0.1923077</v>
      </c>
      <c r="J55">
        <v>0.55319149999999995</v>
      </c>
    </row>
    <row r="56" spans="1:10" x14ac:dyDescent="0.3">
      <c r="A56">
        <v>54</v>
      </c>
      <c r="B56">
        <v>863</v>
      </c>
      <c r="C56" t="b">
        <v>1</v>
      </c>
      <c r="D56">
        <v>8048</v>
      </c>
      <c r="E56">
        <v>8123</v>
      </c>
      <c r="F56">
        <v>8</v>
      </c>
      <c r="G56">
        <v>10.4</v>
      </c>
      <c r="H56">
        <v>0.76923079999999999</v>
      </c>
      <c r="I56">
        <v>0.23076920000000001</v>
      </c>
      <c r="J56">
        <v>0.56521739999999998</v>
      </c>
    </row>
    <row r="57" spans="1:10" x14ac:dyDescent="0.3">
      <c r="A57">
        <v>55</v>
      </c>
      <c r="B57">
        <v>878</v>
      </c>
      <c r="C57" t="b">
        <v>1</v>
      </c>
      <c r="D57">
        <v>8048</v>
      </c>
      <c r="E57">
        <v>8129</v>
      </c>
      <c r="F57">
        <v>8</v>
      </c>
      <c r="G57">
        <v>10.4</v>
      </c>
      <c r="H57">
        <v>0.76923079999999999</v>
      </c>
      <c r="I57">
        <v>0.23076920000000001</v>
      </c>
      <c r="J57">
        <v>0.56521739999999998</v>
      </c>
    </row>
    <row r="58" spans="1:10" x14ac:dyDescent="0.3">
      <c r="A58">
        <v>56</v>
      </c>
      <c r="B58">
        <v>894</v>
      </c>
      <c r="C58" t="b">
        <v>1</v>
      </c>
      <c r="D58">
        <v>8048</v>
      </c>
      <c r="E58">
        <v>8123</v>
      </c>
      <c r="F58">
        <v>8</v>
      </c>
      <c r="G58">
        <v>10.4</v>
      </c>
      <c r="H58">
        <v>0.76923079999999999</v>
      </c>
      <c r="I58">
        <v>0.23076920000000001</v>
      </c>
      <c r="J58">
        <v>0.56521739999999998</v>
      </c>
    </row>
    <row r="59" spans="1:10" x14ac:dyDescent="0.3">
      <c r="A59">
        <v>57</v>
      </c>
      <c r="B59">
        <v>910</v>
      </c>
      <c r="C59" t="b">
        <v>1</v>
      </c>
      <c r="D59">
        <v>8048</v>
      </c>
      <c r="E59">
        <v>8129</v>
      </c>
      <c r="F59">
        <v>8</v>
      </c>
      <c r="G59">
        <v>10.4</v>
      </c>
      <c r="H59">
        <v>0.76923079999999999</v>
      </c>
      <c r="I59">
        <v>0.23076920000000001</v>
      </c>
      <c r="J59">
        <v>0.56521739999999998</v>
      </c>
    </row>
    <row r="60" spans="1:10" x14ac:dyDescent="0.3">
      <c r="A60">
        <v>58</v>
      </c>
      <c r="B60">
        <v>926</v>
      </c>
      <c r="C60" t="b">
        <v>1</v>
      </c>
      <c r="D60">
        <v>8048</v>
      </c>
      <c r="E60">
        <v>8123</v>
      </c>
      <c r="F60">
        <v>8</v>
      </c>
      <c r="G60">
        <v>10</v>
      </c>
      <c r="H60">
        <v>0.8</v>
      </c>
      <c r="I60">
        <v>0.2</v>
      </c>
      <c r="J60">
        <v>0.55555560000000004</v>
      </c>
    </row>
    <row r="61" spans="1:10" x14ac:dyDescent="0.3">
      <c r="A61">
        <v>59</v>
      </c>
      <c r="B61">
        <v>941</v>
      </c>
      <c r="C61" t="b">
        <v>1</v>
      </c>
      <c r="D61">
        <v>8048</v>
      </c>
      <c r="E61">
        <v>8123</v>
      </c>
      <c r="F61">
        <v>8</v>
      </c>
      <c r="G61">
        <v>9.6</v>
      </c>
      <c r="H61">
        <v>0.83333330000000005</v>
      </c>
      <c r="I61">
        <v>0.1666667</v>
      </c>
      <c r="J61">
        <v>0.54545456000000003</v>
      </c>
    </row>
    <row r="62" spans="1:10" x14ac:dyDescent="0.3">
      <c r="A62">
        <v>60</v>
      </c>
      <c r="B62">
        <v>957</v>
      </c>
      <c r="C62" t="b">
        <v>1</v>
      </c>
      <c r="D62">
        <v>8048</v>
      </c>
      <c r="E62">
        <v>8129</v>
      </c>
      <c r="F62">
        <v>8</v>
      </c>
      <c r="G62">
        <v>9.1999999999999993</v>
      </c>
      <c r="H62">
        <v>0.86956524999999996</v>
      </c>
      <c r="I62">
        <v>0.13043477000000001</v>
      </c>
      <c r="J62">
        <v>0.53488369999999996</v>
      </c>
    </row>
    <row r="63" spans="1:10" x14ac:dyDescent="0.3">
      <c r="A63">
        <v>61</v>
      </c>
      <c r="B63">
        <v>973</v>
      </c>
      <c r="C63" t="b">
        <v>1</v>
      </c>
      <c r="D63">
        <v>8048</v>
      </c>
      <c r="E63">
        <v>8123</v>
      </c>
      <c r="F63">
        <v>8</v>
      </c>
      <c r="G63">
        <v>8.8000000000000007</v>
      </c>
      <c r="H63">
        <v>0.90909090000000004</v>
      </c>
      <c r="I63">
        <v>9.0909110000000001E-2</v>
      </c>
      <c r="J63">
        <v>0.52380954999999996</v>
      </c>
    </row>
    <row r="64" spans="1:10" x14ac:dyDescent="0.3">
      <c r="A64">
        <v>62</v>
      </c>
      <c r="B64">
        <v>988</v>
      </c>
      <c r="C64" t="b">
        <v>1</v>
      </c>
      <c r="D64">
        <v>8048</v>
      </c>
      <c r="E64">
        <v>8123</v>
      </c>
      <c r="F64">
        <v>8</v>
      </c>
      <c r="G64">
        <v>8.4</v>
      </c>
      <c r="H64">
        <v>0.95238100000000003</v>
      </c>
      <c r="I64">
        <v>4.7619003999999999E-2</v>
      </c>
      <c r="J64">
        <v>0.51219510000000001</v>
      </c>
    </row>
    <row r="65" spans="1:10" x14ac:dyDescent="0.3">
      <c r="A65">
        <v>63</v>
      </c>
      <c r="B65">
        <v>1004</v>
      </c>
      <c r="C65" t="b">
        <v>1</v>
      </c>
      <c r="D65">
        <v>8048</v>
      </c>
      <c r="E65">
        <v>8123</v>
      </c>
      <c r="F65">
        <v>8</v>
      </c>
      <c r="G65">
        <v>8</v>
      </c>
      <c r="H65">
        <v>1</v>
      </c>
      <c r="I65">
        <v>0</v>
      </c>
      <c r="J65">
        <v>0.5</v>
      </c>
    </row>
    <row r="66" spans="1:10" x14ac:dyDescent="0.3">
      <c r="A66">
        <v>64</v>
      </c>
      <c r="B66">
        <v>1020</v>
      </c>
      <c r="C66" t="b">
        <v>1</v>
      </c>
      <c r="D66">
        <v>8048</v>
      </c>
      <c r="E66">
        <v>8123</v>
      </c>
      <c r="F66">
        <v>8</v>
      </c>
      <c r="G66">
        <v>8</v>
      </c>
      <c r="H66">
        <v>1</v>
      </c>
      <c r="I66">
        <v>0</v>
      </c>
      <c r="J66">
        <v>0.5</v>
      </c>
    </row>
    <row r="67" spans="1:10" x14ac:dyDescent="0.3">
      <c r="A67">
        <v>65</v>
      </c>
      <c r="B67">
        <v>1036</v>
      </c>
      <c r="C67" t="b">
        <v>1</v>
      </c>
      <c r="D67">
        <v>8048</v>
      </c>
      <c r="E67">
        <v>8123</v>
      </c>
      <c r="F67">
        <v>8</v>
      </c>
      <c r="G67">
        <v>8</v>
      </c>
      <c r="H67">
        <v>1</v>
      </c>
      <c r="I67">
        <v>0</v>
      </c>
      <c r="J67">
        <v>0.5</v>
      </c>
    </row>
    <row r="68" spans="1:10" x14ac:dyDescent="0.3">
      <c r="A68">
        <v>66</v>
      </c>
      <c r="B68">
        <v>1052</v>
      </c>
      <c r="C68" t="b">
        <v>1</v>
      </c>
      <c r="D68">
        <v>8048</v>
      </c>
      <c r="E68">
        <v>8123</v>
      </c>
      <c r="F68">
        <v>8</v>
      </c>
      <c r="G68">
        <v>8</v>
      </c>
      <c r="H68">
        <v>1</v>
      </c>
      <c r="I68">
        <v>0</v>
      </c>
      <c r="J68">
        <v>0.5</v>
      </c>
    </row>
    <row r="69" spans="1:10" x14ac:dyDescent="0.3">
      <c r="A69">
        <v>67</v>
      </c>
      <c r="B69">
        <v>1068</v>
      </c>
      <c r="C69" t="b">
        <v>1</v>
      </c>
      <c r="D69">
        <v>8048</v>
      </c>
      <c r="E69">
        <v>8129</v>
      </c>
      <c r="F69">
        <v>8</v>
      </c>
      <c r="G69">
        <v>8</v>
      </c>
      <c r="H69">
        <v>1</v>
      </c>
      <c r="I69">
        <v>0</v>
      </c>
      <c r="J69">
        <v>0.5</v>
      </c>
    </row>
    <row r="70" spans="1:10" x14ac:dyDescent="0.3">
      <c r="A70">
        <v>68</v>
      </c>
      <c r="B70">
        <v>1084</v>
      </c>
      <c r="C70" t="b">
        <v>1</v>
      </c>
      <c r="D70">
        <v>8054</v>
      </c>
      <c r="E70">
        <v>8123</v>
      </c>
      <c r="F70">
        <v>8</v>
      </c>
      <c r="G70">
        <v>8</v>
      </c>
      <c r="H70">
        <v>1</v>
      </c>
      <c r="I70">
        <v>0</v>
      </c>
      <c r="J70">
        <v>0.5</v>
      </c>
    </row>
    <row r="71" spans="1:10" x14ac:dyDescent="0.3">
      <c r="A71">
        <v>69</v>
      </c>
      <c r="B71">
        <v>1116</v>
      </c>
      <c r="C71" t="b">
        <v>1</v>
      </c>
      <c r="D71">
        <v>8048</v>
      </c>
      <c r="E71">
        <v>8123</v>
      </c>
      <c r="F71">
        <v>8</v>
      </c>
      <c r="G71">
        <v>8</v>
      </c>
      <c r="H71">
        <v>1</v>
      </c>
      <c r="I71">
        <v>0</v>
      </c>
      <c r="J71">
        <v>0.5</v>
      </c>
    </row>
    <row r="72" spans="1:10" x14ac:dyDescent="0.3">
      <c r="A72">
        <v>70</v>
      </c>
      <c r="B72">
        <v>1131</v>
      </c>
      <c r="C72" t="b">
        <v>1</v>
      </c>
      <c r="D72">
        <v>8048</v>
      </c>
      <c r="E72">
        <v>8129</v>
      </c>
      <c r="F72">
        <v>8</v>
      </c>
      <c r="G72">
        <v>8</v>
      </c>
      <c r="H72">
        <v>1</v>
      </c>
      <c r="I72">
        <v>0</v>
      </c>
      <c r="J72">
        <v>0.5</v>
      </c>
    </row>
    <row r="73" spans="1:10" x14ac:dyDescent="0.3">
      <c r="A73">
        <v>71</v>
      </c>
      <c r="B73">
        <v>1147</v>
      </c>
      <c r="C73" t="b">
        <v>1</v>
      </c>
      <c r="D73">
        <v>8048</v>
      </c>
      <c r="E73">
        <v>8123</v>
      </c>
      <c r="F73">
        <v>8</v>
      </c>
      <c r="G73">
        <v>8</v>
      </c>
      <c r="H73">
        <v>1</v>
      </c>
      <c r="I73">
        <v>0</v>
      </c>
      <c r="J73">
        <v>0.5</v>
      </c>
    </row>
    <row r="74" spans="1:10" x14ac:dyDescent="0.3">
      <c r="A74">
        <v>72</v>
      </c>
      <c r="B74">
        <v>1163</v>
      </c>
      <c r="C74" t="b">
        <v>1</v>
      </c>
      <c r="D74">
        <v>8048</v>
      </c>
      <c r="E74">
        <v>8123</v>
      </c>
      <c r="F74">
        <v>8</v>
      </c>
      <c r="G74">
        <v>8</v>
      </c>
      <c r="H74">
        <v>1</v>
      </c>
      <c r="I74">
        <v>0</v>
      </c>
      <c r="J74">
        <v>0.5</v>
      </c>
    </row>
    <row r="75" spans="1:10" x14ac:dyDescent="0.3">
      <c r="A75">
        <v>73</v>
      </c>
      <c r="B75">
        <v>1179</v>
      </c>
      <c r="C75" t="b">
        <v>1</v>
      </c>
      <c r="D75">
        <v>8048</v>
      </c>
      <c r="E75">
        <v>8123</v>
      </c>
      <c r="F75">
        <v>8</v>
      </c>
      <c r="G75">
        <v>8</v>
      </c>
      <c r="H75">
        <v>1</v>
      </c>
      <c r="I75">
        <v>0</v>
      </c>
      <c r="J75">
        <v>0.5</v>
      </c>
    </row>
    <row r="76" spans="1:10" x14ac:dyDescent="0.3">
      <c r="A76">
        <v>74</v>
      </c>
      <c r="B76">
        <v>1195</v>
      </c>
      <c r="C76" t="b">
        <v>1</v>
      </c>
      <c r="D76">
        <v>8048</v>
      </c>
      <c r="E76">
        <v>8123</v>
      </c>
      <c r="F76">
        <v>8</v>
      </c>
      <c r="G76">
        <v>8</v>
      </c>
      <c r="H76">
        <v>1</v>
      </c>
      <c r="I76">
        <v>0</v>
      </c>
      <c r="J76">
        <v>0.5</v>
      </c>
    </row>
    <row r="77" spans="1:10" x14ac:dyDescent="0.3">
      <c r="A77">
        <v>75</v>
      </c>
      <c r="B77">
        <v>1211</v>
      </c>
      <c r="C77" t="b">
        <v>1</v>
      </c>
      <c r="D77">
        <v>8048</v>
      </c>
      <c r="E77">
        <v>8123</v>
      </c>
      <c r="F77">
        <v>8</v>
      </c>
      <c r="G77">
        <v>8</v>
      </c>
      <c r="H77">
        <v>1</v>
      </c>
      <c r="I77">
        <v>0</v>
      </c>
      <c r="J77">
        <v>0.5</v>
      </c>
    </row>
    <row r="78" spans="1:10" x14ac:dyDescent="0.3">
      <c r="A78">
        <v>76</v>
      </c>
      <c r="B78">
        <v>1227</v>
      </c>
      <c r="C78" t="b">
        <v>1</v>
      </c>
      <c r="D78">
        <v>8037</v>
      </c>
      <c r="E78">
        <v>8123</v>
      </c>
      <c r="F78">
        <v>8</v>
      </c>
      <c r="G78">
        <v>8</v>
      </c>
      <c r="H78">
        <v>1</v>
      </c>
      <c r="I78">
        <v>0</v>
      </c>
      <c r="J78">
        <v>0.5</v>
      </c>
    </row>
    <row r="79" spans="1:10" x14ac:dyDescent="0.3">
      <c r="A79">
        <v>77</v>
      </c>
      <c r="B79">
        <v>1242</v>
      </c>
      <c r="C79" t="b">
        <v>1</v>
      </c>
      <c r="D79">
        <v>8042</v>
      </c>
      <c r="E79">
        <v>8123</v>
      </c>
      <c r="F79">
        <v>8</v>
      </c>
      <c r="G79">
        <v>8</v>
      </c>
      <c r="H79">
        <v>1</v>
      </c>
      <c r="I79">
        <v>0</v>
      </c>
      <c r="J79">
        <v>0.5</v>
      </c>
    </row>
    <row r="80" spans="1:10" x14ac:dyDescent="0.3">
      <c r="A80">
        <v>78</v>
      </c>
      <c r="B80">
        <v>1258</v>
      </c>
      <c r="C80" t="b">
        <v>1</v>
      </c>
      <c r="D80">
        <v>8042</v>
      </c>
      <c r="E80">
        <v>8123</v>
      </c>
      <c r="F80">
        <v>7.6</v>
      </c>
      <c r="G80">
        <v>8</v>
      </c>
      <c r="H80">
        <v>0.95</v>
      </c>
      <c r="I80">
        <v>5.0000012000000003E-2</v>
      </c>
      <c r="J80">
        <v>0.51282050000000001</v>
      </c>
    </row>
    <row r="81" spans="1:10" x14ac:dyDescent="0.3">
      <c r="A81">
        <v>79</v>
      </c>
      <c r="B81">
        <v>1274</v>
      </c>
      <c r="C81" t="b">
        <v>1</v>
      </c>
      <c r="D81">
        <v>8042</v>
      </c>
      <c r="E81">
        <v>8123</v>
      </c>
      <c r="F81">
        <v>7.2</v>
      </c>
      <c r="G81">
        <v>8</v>
      </c>
      <c r="H81">
        <v>0.9</v>
      </c>
      <c r="I81">
        <v>0.10000002400000001</v>
      </c>
      <c r="J81">
        <v>0.5263158</v>
      </c>
    </row>
    <row r="82" spans="1:10" x14ac:dyDescent="0.3">
      <c r="A82">
        <v>80</v>
      </c>
      <c r="B82">
        <v>1290</v>
      </c>
      <c r="C82" t="b">
        <v>1</v>
      </c>
      <c r="D82">
        <v>8042</v>
      </c>
      <c r="E82">
        <v>8123</v>
      </c>
      <c r="F82">
        <v>6.8</v>
      </c>
      <c r="G82">
        <v>8</v>
      </c>
      <c r="H82">
        <v>0.85</v>
      </c>
      <c r="I82">
        <v>0.14999998</v>
      </c>
      <c r="J82">
        <v>0.54054049999999998</v>
      </c>
    </row>
    <row r="83" spans="1:10" x14ac:dyDescent="0.3">
      <c r="A83">
        <v>81</v>
      </c>
      <c r="B83">
        <v>1306</v>
      </c>
      <c r="C83" t="b">
        <v>1</v>
      </c>
      <c r="D83">
        <v>8042</v>
      </c>
      <c r="E83">
        <v>8129</v>
      </c>
      <c r="F83">
        <v>6.4</v>
      </c>
      <c r="G83">
        <v>8</v>
      </c>
      <c r="H83">
        <v>0.8</v>
      </c>
      <c r="I83">
        <v>0.19999998999999999</v>
      </c>
      <c r="J83">
        <v>0.55555560000000004</v>
      </c>
    </row>
    <row r="84" spans="1:10" x14ac:dyDescent="0.3">
      <c r="A84">
        <v>82</v>
      </c>
      <c r="B84">
        <v>1322</v>
      </c>
      <c r="C84" t="b">
        <v>1</v>
      </c>
      <c r="D84">
        <v>8048</v>
      </c>
      <c r="E84">
        <v>8129</v>
      </c>
      <c r="F84">
        <v>6</v>
      </c>
      <c r="G84">
        <v>8</v>
      </c>
      <c r="H84">
        <v>0.75</v>
      </c>
      <c r="I84">
        <v>0.25</v>
      </c>
      <c r="J84">
        <v>0.57142859999999995</v>
      </c>
    </row>
    <row r="85" spans="1:10" x14ac:dyDescent="0.3">
      <c r="A85">
        <v>83</v>
      </c>
      <c r="B85">
        <v>1338</v>
      </c>
      <c r="C85" t="b">
        <v>1</v>
      </c>
      <c r="D85">
        <v>8048</v>
      </c>
      <c r="E85">
        <v>8123</v>
      </c>
      <c r="F85">
        <v>5.6</v>
      </c>
      <c r="G85">
        <v>8</v>
      </c>
      <c r="H85">
        <v>0.7</v>
      </c>
      <c r="I85">
        <v>0.3</v>
      </c>
      <c r="J85">
        <v>0.58823526000000004</v>
      </c>
    </row>
    <row r="86" spans="1:10" x14ac:dyDescent="0.3">
      <c r="A86">
        <v>84</v>
      </c>
      <c r="B86">
        <v>1354</v>
      </c>
      <c r="C86" t="b">
        <v>1</v>
      </c>
      <c r="D86">
        <v>8048</v>
      </c>
      <c r="E86">
        <v>8123</v>
      </c>
      <c r="F86">
        <v>5.6</v>
      </c>
      <c r="G86">
        <v>8</v>
      </c>
      <c r="H86">
        <v>0.7</v>
      </c>
      <c r="I86">
        <v>0.3</v>
      </c>
      <c r="J86">
        <v>0.58823526000000004</v>
      </c>
    </row>
    <row r="87" spans="1:10" x14ac:dyDescent="0.3">
      <c r="A87">
        <v>85</v>
      </c>
      <c r="B87">
        <v>1370</v>
      </c>
      <c r="C87" t="b">
        <v>1</v>
      </c>
      <c r="D87">
        <v>8048</v>
      </c>
      <c r="E87">
        <v>8117</v>
      </c>
      <c r="F87">
        <v>5.6</v>
      </c>
      <c r="G87">
        <v>8</v>
      </c>
      <c r="H87">
        <v>0.7</v>
      </c>
      <c r="I87">
        <v>0.3</v>
      </c>
      <c r="J87">
        <v>0.58823526000000004</v>
      </c>
    </row>
    <row r="88" spans="1:10" x14ac:dyDescent="0.3">
      <c r="A88">
        <v>86</v>
      </c>
      <c r="B88">
        <v>1386</v>
      </c>
      <c r="C88" t="b">
        <v>1</v>
      </c>
      <c r="D88">
        <v>8048</v>
      </c>
      <c r="E88">
        <v>8117</v>
      </c>
      <c r="F88">
        <v>5.6</v>
      </c>
      <c r="G88">
        <v>8</v>
      </c>
      <c r="H88">
        <v>0.7</v>
      </c>
      <c r="I88">
        <v>0.3</v>
      </c>
      <c r="J88">
        <v>0.58823526000000004</v>
      </c>
    </row>
    <row r="89" spans="1:10" x14ac:dyDescent="0.3">
      <c r="A89">
        <v>87</v>
      </c>
      <c r="B89">
        <v>1402</v>
      </c>
      <c r="C89" t="b">
        <v>1</v>
      </c>
      <c r="D89">
        <v>8048</v>
      </c>
      <c r="E89">
        <v>8117</v>
      </c>
      <c r="F89">
        <v>5.6</v>
      </c>
      <c r="G89">
        <v>7.6</v>
      </c>
      <c r="H89">
        <v>0.73684210000000006</v>
      </c>
      <c r="I89">
        <v>0.2631579</v>
      </c>
      <c r="J89">
        <v>0.57575756</v>
      </c>
    </row>
    <row r="90" spans="1:10" x14ac:dyDescent="0.3">
      <c r="A90">
        <v>88</v>
      </c>
      <c r="B90">
        <v>1418</v>
      </c>
      <c r="C90" t="b">
        <v>1</v>
      </c>
      <c r="D90">
        <v>8048</v>
      </c>
      <c r="E90">
        <v>8117</v>
      </c>
      <c r="F90">
        <v>5.6</v>
      </c>
      <c r="G90">
        <v>7.2</v>
      </c>
      <c r="H90">
        <v>0.77777779999999996</v>
      </c>
      <c r="I90">
        <v>0.22222221</v>
      </c>
      <c r="J90">
        <v>0.5625</v>
      </c>
    </row>
    <row r="91" spans="1:10" x14ac:dyDescent="0.3">
      <c r="A91">
        <v>89</v>
      </c>
      <c r="B91">
        <v>1434</v>
      </c>
      <c r="C91" t="b">
        <v>1</v>
      </c>
      <c r="D91">
        <v>8048</v>
      </c>
      <c r="E91">
        <v>8117</v>
      </c>
      <c r="F91">
        <v>5.6</v>
      </c>
      <c r="G91">
        <v>6.8</v>
      </c>
      <c r="H91">
        <v>0.82352935999999999</v>
      </c>
      <c r="I91">
        <v>0.17647061999999999</v>
      </c>
      <c r="J91">
        <v>0.54838710000000002</v>
      </c>
    </row>
    <row r="92" spans="1:10" x14ac:dyDescent="0.3">
      <c r="A92">
        <v>90</v>
      </c>
      <c r="B92">
        <v>1450</v>
      </c>
      <c r="C92" t="b">
        <v>1</v>
      </c>
      <c r="D92">
        <v>8048</v>
      </c>
      <c r="E92">
        <v>8117</v>
      </c>
      <c r="F92">
        <v>5.6</v>
      </c>
      <c r="G92">
        <v>6.4</v>
      </c>
      <c r="H92">
        <v>0.875</v>
      </c>
      <c r="I92">
        <v>0.12500003000000001</v>
      </c>
      <c r="J92">
        <v>0.53333335999999998</v>
      </c>
    </row>
    <row r="93" spans="1:10" x14ac:dyDescent="0.3">
      <c r="A93">
        <v>91</v>
      </c>
      <c r="B93">
        <v>1466</v>
      </c>
      <c r="C93" t="b">
        <v>1</v>
      </c>
      <c r="D93">
        <v>8048</v>
      </c>
      <c r="E93">
        <v>8117</v>
      </c>
      <c r="F93">
        <v>5.6</v>
      </c>
      <c r="G93">
        <v>6</v>
      </c>
      <c r="H93">
        <v>0.93333334000000001</v>
      </c>
      <c r="I93">
        <v>6.6666685000000003E-2</v>
      </c>
      <c r="J93">
        <v>0.51724135999999998</v>
      </c>
    </row>
    <row r="94" spans="1:10" x14ac:dyDescent="0.3">
      <c r="A94">
        <v>92</v>
      </c>
      <c r="B94">
        <v>1482</v>
      </c>
      <c r="C94" t="b">
        <v>1</v>
      </c>
      <c r="D94">
        <v>8048</v>
      </c>
      <c r="E94">
        <v>8129</v>
      </c>
      <c r="F94">
        <v>5.6</v>
      </c>
      <c r="G94">
        <v>5.6</v>
      </c>
      <c r="H94">
        <v>1</v>
      </c>
      <c r="I94">
        <v>0</v>
      </c>
      <c r="J94">
        <v>0.5</v>
      </c>
    </row>
    <row r="95" spans="1:10" x14ac:dyDescent="0.3">
      <c r="A95">
        <v>93</v>
      </c>
      <c r="B95">
        <v>1497</v>
      </c>
      <c r="C95" t="b">
        <v>1</v>
      </c>
      <c r="D95">
        <v>8042</v>
      </c>
      <c r="E95">
        <v>8129</v>
      </c>
      <c r="F95">
        <v>6</v>
      </c>
      <c r="G95">
        <v>5.2</v>
      </c>
      <c r="H95">
        <v>1.1538461</v>
      </c>
      <c r="I95">
        <v>-0.15384618999999999</v>
      </c>
      <c r="J95">
        <v>0.46428570000000002</v>
      </c>
    </row>
    <row r="96" spans="1:10" x14ac:dyDescent="0.3">
      <c r="A96">
        <v>94</v>
      </c>
      <c r="B96">
        <v>1513</v>
      </c>
      <c r="C96" t="b">
        <v>1</v>
      </c>
      <c r="D96">
        <v>8048</v>
      </c>
      <c r="E96">
        <v>8129</v>
      </c>
      <c r="F96">
        <v>6.4</v>
      </c>
      <c r="G96">
        <v>5.6</v>
      </c>
      <c r="H96">
        <v>1.1428571999999999</v>
      </c>
      <c r="I96">
        <v>-0.14285718</v>
      </c>
      <c r="J96">
        <v>0.46666667000000001</v>
      </c>
    </row>
    <row r="97" spans="1:10" x14ac:dyDescent="0.3">
      <c r="A97">
        <v>95</v>
      </c>
      <c r="B97">
        <v>1529</v>
      </c>
      <c r="C97" t="b">
        <v>1</v>
      </c>
      <c r="D97">
        <v>8048</v>
      </c>
      <c r="E97">
        <v>8123</v>
      </c>
      <c r="F97">
        <v>6.8</v>
      </c>
      <c r="G97">
        <v>6</v>
      </c>
      <c r="H97">
        <v>1.1333333000000001</v>
      </c>
      <c r="I97">
        <v>-0.13333337000000001</v>
      </c>
      <c r="J97">
        <v>0.46875</v>
      </c>
    </row>
    <row r="98" spans="1:10" x14ac:dyDescent="0.3">
      <c r="A98">
        <v>96</v>
      </c>
      <c r="B98">
        <v>1545</v>
      </c>
      <c r="C98" t="b">
        <v>1</v>
      </c>
      <c r="D98">
        <v>8048</v>
      </c>
      <c r="E98">
        <v>8123</v>
      </c>
      <c r="F98">
        <v>7.2</v>
      </c>
      <c r="G98">
        <v>6.4</v>
      </c>
      <c r="H98">
        <v>1.125</v>
      </c>
      <c r="I98">
        <v>-0.124999955</v>
      </c>
      <c r="J98">
        <v>0.47058823999999999</v>
      </c>
    </row>
    <row r="99" spans="1:10" x14ac:dyDescent="0.3">
      <c r="A99">
        <v>97</v>
      </c>
      <c r="B99">
        <v>1561</v>
      </c>
      <c r="C99" t="b">
        <v>1</v>
      </c>
      <c r="D99">
        <v>8042</v>
      </c>
      <c r="E99">
        <v>8123</v>
      </c>
      <c r="F99">
        <v>7.6</v>
      </c>
      <c r="G99">
        <v>6.4</v>
      </c>
      <c r="H99">
        <v>1.1875</v>
      </c>
      <c r="I99">
        <v>-0.18749996999999999</v>
      </c>
      <c r="J99">
        <v>0.45714285999999998</v>
      </c>
    </row>
    <row r="100" spans="1:10" x14ac:dyDescent="0.3">
      <c r="A100">
        <v>98</v>
      </c>
      <c r="B100">
        <v>1577</v>
      </c>
      <c r="C100" t="b">
        <v>1</v>
      </c>
      <c r="D100">
        <v>8048</v>
      </c>
      <c r="E100">
        <v>8123</v>
      </c>
      <c r="F100">
        <v>8</v>
      </c>
      <c r="G100">
        <v>6.4</v>
      </c>
      <c r="H100">
        <v>1.25</v>
      </c>
      <c r="I100">
        <v>-0.24999999000000001</v>
      </c>
      <c r="J100">
        <v>0.44444447999999998</v>
      </c>
    </row>
    <row r="101" spans="1:10" x14ac:dyDescent="0.3">
      <c r="A101">
        <v>99</v>
      </c>
      <c r="B101">
        <v>1593</v>
      </c>
      <c r="C101" t="b">
        <v>1</v>
      </c>
      <c r="D101">
        <v>8048</v>
      </c>
      <c r="E101">
        <v>8129</v>
      </c>
      <c r="F101">
        <v>8</v>
      </c>
      <c r="G101">
        <v>6.4</v>
      </c>
      <c r="H101">
        <v>1.25</v>
      </c>
      <c r="I101">
        <v>-0.24999999000000001</v>
      </c>
      <c r="J101">
        <v>0.44444447999999998</v>
      </c>
    </row>
    <row r="102" spans="1:10" x14ac:dyDescent="0.3">
      <c r="A102">
        <v>100</v>
      </c>
      <c r="B102">
        <v>1609</v>
      </c>
      <c r="C102" t="b">
        <v>1</v>
      </c>
      <c r="D102">
        <v>8048</v>
      </c>
      <c r="E102">
        <v>8123</v>
      </c>
      <c r="F102">
        <v>8</v>
      </c>
      <c r="G102">
        <v>6.4</v>
      </c>
      <c r="H102">
        <v>1.25</v>
      </c>
      <c r="I102">
        <v>-0.24999999000000001</v>
      </c>
      <c r="J102">
        <v>0.44444447999999998</v>
      </c>
    </row>
    <row r="103" spans="1:10" x14ac:dyDescent="0.3">
      <c r="A103">
        <v>101</v>
      </c>
      <c r="B103">
        <v>1625</v>
      </c>
      <c r="C103" t="b">
        <v>1</v>
      </c>
      <c r="D103">
        <v>8042</v>
      </c>
      <c r="E103">
        <v>8129</v>
      </c>
      <c r="F103">
        <v>8</v>
      </c>
      <c r="G103">
        <v>6.4</v>
      </c>
      <c r="H103">
        <v>1.25</v>
      </c>
      <c r="I103">
        <v>-0.24999999000000001</v>
      </c>
      <c r="J103">
        <v>0.44444447999999998</v>
      </c>
    </row>
    <row r="104" spans="1:10" x14ac:dyDescent="0.3">
      <c r="A104">
        <v>102</v>
      </c>
      <c r="B104">
        <v>1641</v>
      </c>
      <c r="C104" t="b">
        <v>1</v>
      </c>
      <c r="D104">
        <v>8042</v>
      </c>
      <c r="E104">
        <v>8123</v>
      </c>
      <c r="F104">
        <v>8</v>
      </c>
      <c r="G104">
        <v>6.8</v>
      </c>
      <c r="H104">
        <v>1.1764705</v>
      </c>
      <c r="I104">
        <v>-0.17647055</v>
      </c>
      <c r="J104">
        <v>0.45945944999999999</v>
      </c>
    </row>
    <row r="105" spans="1:10" x14ac:dyDescent="0.3">
      <c r="A105">
        <v>103</v>
      </c>
      <c r="B105">
        <v>1656</v>
      </c>
      <c r="C105" t="b">
        <v>1</v>
      </c>
      <c r="D105">
        <v>8048</v>
      </c>
      <c r="E105">
        <v>8123</v>
      </c>
      <c r="F105">
        <v>8</v>
      </c>
      <c r="G105">
        <v>7.2</v>
      </c>
      <c r="H105">
        <v>1.1111112000000001</v>
      </c>
      <c r="I105">
        <v>-0.11111114</v>
      </c>
      <c r="J105">
        <v>0.4736842</v>
      </c>
    </row>
    <row r="106" spans="1:10" x14ac:dyDescent="0.3">
      <c r="A106">
        <v>104</v>
      </c>
      <c r="B106">
        <v>1672</v>
      </c>
      <c r="C106" t="b">
        <v>1</v>
      </c>
      <c r="D106">
        <v>8042</v>
      </c>
      <c r="E106">
        <v>8129</v>
      </c>
      <c r="F106">
        <v>7.6</v>
      </c>
      <c r="G106">
        <v>7.6</v>
      </c>
      <c r="H106">
        <v>1</v>
      </c>
      <c r="I106">
        <v>0</v>
      </c>
      <c r="J106">
        <v>0.5</v>
      </c>
    </row>
    <row r="107" spans="1:10" x14ac:dyDescent="0.3">
      <c r="A107">
        <v>105</v>
      </c>
      <c r="B107">
        <v>1688</v>
      </c>
      <c r="C107" t="b">
        <v>1</v>
      </c>
      <c r="D107">
        <v>8042</v>
      </c>
      <c r="E107">
        <v>8123</v>
      </c>
      <c r="F107">
        <v>7.2</v>
      </c>
      <c r="G107">
        <v>8</v>
      </c>
      <c r="H107">
        <v>0.9</v>
      </c>
      <c r="I107">
        <v>0.10000002400000001</v>
      </c>
      <c r="J107">
        <v>0.5263158</v>
      </c>
    </row>
    <row r="108" spans="1:10" x14ac:dyDescent="0.3">
      <c r="A108">
        <v>106</v>
      </c>
      <c r="B108">
        <v>1704</v>
      </c>
      <c r="C108" t="b">
        <v>1</v>
      </c>
      <c r="D108">
        <v>8042</v>
      </c>
      <c r="E108">
        <v>8123</v>
      </c>
      <c r="F108">
        <v>6.8</v>
      </c>
      <c r="G108">
        <v>8.4</v>
      </c>
      <c r="H108">
        <v>0.80952389999999996</v>
      </c>
      <c r="I108">
        <v>0.19047612999999999</v>
      </c>
      <c r="J108">
        <v>0.55263156000000002</v>
      </c>
    </row>
    <row r="109" spans="1:10" x14ac:dyDescent="0.3">
      <c r="A109">
        <v>107</v>
      </c>
      <c r="B109">
        <v>1720</v>
      </c>
      <c r="C109" t="b">
        <v>1</v>
      </c>
      <c r="D109">
        <v>8042</v>
      </c>
      <c r="E109">
        <v>8129</v>
      </c>
      <c r="F109">
        <v>6.4</v>
      </c>
      <c r="G109">
        <v>8.8000000000000007</v>
      </c>
      <c r="H109">
        <v>0.72727275000000002</v>
      </c>
      <c r="I109">
        <v>0.27272728000000002</v>
      </c>
      <c r="J109">
        <v>0.57894736999999996</v>
      </c>
    </row>
    <row r="110" spans="1:10" x14ac:dyDescent="0.3">
      <c r="A110">
        <v>108</v>
      </c>
      <c r="B110">
        <v>1736</v>
      </c>
      <c r="C110" t="b">
        <v>1</v>
      </c>
      <c r="D110">
        <v>8054</v>
      </c>
      <c r="E110">
        <v>8123</v>
      </c>
      <c r="F110">
        <v>6</v>
      </c>
      <c r="G110">
        <v>9.1999999999999993</v>
      </c>
      <c r="H110">
        <v>0.65217393999999995</v>
      </c>
      <c r="I110">
        <v>0.34782605999999999</v>
      </c>
      <c r="J110">
        <v>0.6052632</v>
      </c>
    </row>
    <row r="111" spans="1:10" x14ac:dyDescent="0.3">
      <c r="A111">
        <v>109</v>
      </c>
      <c r="B111">
        <v>1752</v>
      </c>
      <c r="C111" t="b">
        <v>1</v>
      </c>
      <c r="D111">
        <v>8048</v>
      </c>
      <c r="E111">
        <v>8123</v>
      </c>
      <c r="F111">
        <v>5.6</v>
      </c>
      <c r="G111">
        <v>8.8000000000000007</v>
      </c>
      <c r="H111">
        <v>0.63636360000000003</v>
      </c>
      <c r="I111">
        <v>0.36363636999999999</v>
      </c>
      <c r="J111">
        <v>0.61111115999999999</v>
      </c>
    </row>
    <row r="112" spans="1:10" x14ac:dyDescent="0.3">
      <c r="A112">
        <v>110</v>
      </c>
      <c r="B112">
        <v>1768</v>
      </c>
      <c r="C112" t="b">
        <v>1</v>
      </c>
      <c r="D112">
        <v>8048</v>
      </c>
      <c r="E112">
        <v>8123</v>
      </c>
      <c r="F112">
        <v>5.6</v>
      </c>
      <c r="G112">
        <v>8.4</v>
      </c>
      <c r="H112">
        <v>0.66666669999999995</v>
      </c>
      <c r="I112">
        <v>0.3333333</v>
      </c>
      <c r="J112">
        <v>0.59999996</v>
      </c>
    </row>
    <row r="113" spans="1:10" x14ac:dyDescent="0.3">
      <c r="A113">
        <v>111</v>
      </c>
      <c r="B113">
        <v>1784</v>
      </c>
      <c r="C113" t="b">
        <v>1</v>
      </c>
      <c r="D113">
        <v>8048</v>
      </c>
      <c r="E113">
        <v>8129</v>
      </c>
      <c r="F113">
        <v>5.6</v>
      </c>
      <c r="G113">
        <v>8</v>
      </c>
      <c r="H113">
        <v>0.7</v>
      </c>
      <c r="I113">
        <v>0.3</v>
      </c>
      <c r="J113">
        <v>0.58823526000000004</v>
      </c>
    </row>
    <row r="114" spans="1:10" x14ac:dyDescent="0.3">
      <c r="A114">
        <v>112</v>
      </c>
      <c r="B114">
        <v>1800</v>
      </c>
      <c r="C114" t="b">
        <v>1</v>
      </c>
      <c r="D114">
        <v>8048</v>
      </c>
      <c r="E114">
        <v>8129</v>
      </c>
      <c r="F114">
        <v>5.6</v>
      </c>
      <c r="G114">
        <v>8</v>
      </c>
      <c r="H114">
        <v>0.7</v>
      </c>
      <c r="I114">
        <v>0.3</v>
      </c>
      <c r="J114">
        <v>0.58823526000000004</v>
      </c>
    </row>
    <row r="115" spans="1:10" x14ac:dyDescent="0.3">
      <c r="A115">
        <v>113</v>
      </c>
      <c r="B115">
        <v>1816</v>
      </c>
      <c r="C115" t="b">
        <v>1</v>
      </c>
      <c r="D115">
        <v>8048</v>
      </c>
      <c r="E115">
        <v>8123</v>
      </c>
      <c r="F115">
        <v>5.6</v>
      </c>
      <c r="G115">
        <v>8</v>
      </c>
      <c r="H115">
        <v>0.7</v>
      </c>
      <c r="I115">
        <v>0.3</v>
      </c>
      <c r="J115">
        <v>0.58823526000000004</v>
      </c>
    </row>
    <row r="116" spans="1:10" x14ac:dyDescent="0.3">
      <c r="A116">
        <v>114</v>
      </c>
      <c r="B116">
        <v>1832</v>
      </c>
      <c r="C116" t="b">
        <v>1</v>
      </c>
      <c r="D116">
        <v>8042</v>
      </c>
      <c r="E116">
        <v>8123</v>
      </c>
      <c r="F116">
        <v>5.6</v>
      </c>
      <c r="G116">
        <v>8</v>
      </c>
      <c r="H116">
        <v>0.7</v>
      </c>
      <c r="I116">
        <v>0.3</v>
      </c>
      <c r="J116">
        <v>0.58823526000000004</v>
      </c>
    </row>
    <row r="117" spans="1:10" x14ac:dyDescent="0.3">
      <c r="A117">
        <v>115</v>
      </c>
      <c r="B117">
        <v>1848</v>
      </c>
      <c r="C117" t="b">
        <v>1</v>
      </c>
      <c r="D117">
        <v>8048</v>
      </c>
      <c r="E117">
        <v>8123</v>
      </c>
      <c r="F117">
        <v>5.6</v>
      </c>
      <c r="G117">
        <v>8</v>
      </c>
      <c r="H117">
        <v>0.7</v>
      </c>
      <c r="I117">
        <v>0.3</v>
      </c>
      <c r="J117">
        <v>0.58823526000000004</v>
      </c>
    </row>
    <row r="118" spans="1:10" x14ac:dyDescent="0.3">
      <c r="A118">
        <v>116</v>
      </c>
      <c r="B118">
        <v>1864</v>
      </c>
      <c r="C118" t="b">
        <v>1</v>
      </c>
      <c r="D118">
        <v>8048</v>
      </c>
      <c r="E118">
        <v>8123</v>
      </c>
      <c r="F118">
        <v>5.6</v>
      </c>
      <c r="G118">
        <v>8</v>
      </c>
      <c r="H118">
        <v>0.7</v>
      </c>
      <c r="I118">
        <v>0.3</v>
      </c>
      <c r="J118">
        <v>0.58823526000000004</v>
      </c>
    </row>
    <row r="119" spans="1:10" x14ac:dyDescent="0.3">
      <c r="A119">
        <v>117</v>
      </c>
      <c r="B119">
        <v>1879</v>
      </c>
      <c r="C119" t="b">
        <v>1</v>
      </c>
      <c r="D119">
        <v>8048</v>
      </c>
      <c r="E119">
        <v>8123</v>
      </c>
      <c r="F119">
        <v>5.6</v>
      </c>
      <c r="G119">
        <v>8</v>
      </c>
      <c r="H119">
        <v>0.7</v>
      </c>
      <c r="I119">
        <v>0.3</v>
      </c>
      <c r="J119">
        <v>0.58823526000000004</v>
      </c>
    </row>
    <row r="120" spans="1:10" x14ac:dyDescent="0.3">
      <c r="A120">
        <v>118</v>
      </c>
      <c r="B120">
        <v>1895</v>
      </c>
      <c r="C120" t="b">
        <v>1</v>
      </c>
      <c r="D120">
        <v>8048</v>
      </c>
      <c r="E120">
        <v>8129</v>
      </c>
      <c r="F120">
        <v>5.6</v>
      </c>
      <c r="G120">
        <v>8</v>
      </c>
      <c r="H120">
        <v>0.7</v>
      </c>
      <c r="I120">
        <v>0.3</v>
      </c>
      <c r="J120">
        <v>0.58823526000000004</v>
      </c>
    </row>
    <row r="121" spans="1:10" x14ac:dyDescent="0.3">
      <c r="A121">
        <v>119</v>
      </c>
      <c r="B121">
        <v>1911</v>
      </c>
      <c r="C121" t="b">
        <v>1</v>
      </c>
      <c r="D121">
        <v>8048</v>
      </c>
      <c r="E121">
        <v>8129</v>
      </c>
      <c r="F121">
        <v>6</v>
      </c>
      <c r="G121">
        <v>8</v>
      </c>
      <c r="H121">
        <v>0.75</v>
      </c>
      <c r="I121">
        <v>0.25</v>
      </c>
      <c r="J121">
        <v>0.57142859999999995</v>
      </c>
    </row>
    <row r="122" spans="1:10" x14ac:dyDescent="0.3">
      <c r="A122">
        <v>120</v>
      </c>
      <c r="B122">
        <v>1927</v>
      </c>
      <c r="C122" t="b">
        <v>1</v>
      </c>
      <c r="D122">
        <v>8048</v>
      </c>
      <c r="E122">
        <v>8123</v>
      </c>
      <c r="F122">
        <v>6.4</v>
      </c>
      <c r="G122">
        <v>8</v>
      </c>
      <c r="H122">
        <v>0.8</v>
      </c>
      <c r="I122">
        <v>0.19999998999999999</v>
      </c>
      <c r="J122">
        <v>0.55555560000000004</v>
      </c>
    </row>
    <row r="123" spans="1:10" x14ac:dyDescent="0.3">
      <c r="A123">
        <v>121</v>
      </c>
      <c r="B123">
        <v>1943</v>
      </c>
      <c r="C123" t="b">
        <v>1</v>
      </c>
      <c r="D123">
        <v>8048</v>
      </c>
      <c r="E123">
        <v>8123</v>
      </c>
      <c r="F123">
        <v>6.8</v>
      </c>
      <c r="G123">
        <v>8</v>
      </c>
      <c r="H123">
        <v>0.85</v>
      </c>
      <c r="I123">
        <v>0.14999998</v>
      </c>
      <c r="J123">
        <v>0.54054049999999998</v>
      </c>
    </row>
    <row r="124" spans="1:10" x14ac:dyDescent="0.3">
      <c r="A124">
        <v>122</v>
      </c>
      <c r="B124">
        <v>1959</v>
      </c>
      <c r="C124" t="b">
        <v>1</v>
      </c>
      <c r="D124">
        <v>8048</v>
      </c>
      <c r="E124">
        <v>8123</v>
      </c>
      <c r="F124">
        <v>7.2</v>
      </c>
      <c r="G124">
        <v>8</v>
      </c>
      <c r="H124">
        <v>0.9</v>
      </c>
      <c r="I124">
        <v>0.10000002400000001</v>
      </c>
      <c r="J124">
        <v>0.5263158</v>
      </c>
    </row>
    <row r="125" spans="1:10" x14ac:dyDescent="0.3">
      <c r="A125">
        <v>123</v>
      </c>
      <c r="B125">
        <v>1975</v>
      </c>
      <c r="C125" t="b">
        <v>1</v>
      </c>
      <c r="D125">
        <v>8054</v>
      </c>
      <c r="E125">
        <v>8129</v>
      </c>
      <c r="F125">
        <v>7.6</v>
      </c>
      <c r="G125">
        <v>8</v>
      </c>
      <c r="H125">
        <v>0.95</v>
      </c>
      <c r="I125">
        <v>5.0000012000000003E-2</v>
      </c>
      <c r="J125">
        <v>0.51282050000000001</v>
      </c>
    </row>
    <row r="126" spans="1:10" x14ac:dyDescent="0.3">
      <c r="A126">
        <v>124</v>
      </c>
      <c r="B126">
        <v>1991</v>
      </c>
      <c r="C126" t="b">
        <v>1</v>
      </c>
      <c r="D126">
        <v>8048</v>
      </c>
      <c r="E126">
        <v>8123</v>
      </c>
      <c r="F126">
        <v>8</v>
      </c>
      <c r="G126">
        <v>8</v>
      </c>
      <c r="H126">
        <v>1</v>
      </c>
      <c r="I126">
        <v>0</v>
      </c>
      <c r="J126">
        <v>0.5</v>
      </c>
    </row>
    <row r="127" spans="1:10" x14ac:dyDescent="0.3">
      <c r="A127">
        <v>125</v>
      </c>
      <c r="B127">
        <v>2007</v>
      </c>
      <c r="C127" t="b">
        <v>1</v>
      </c>
      <c r="D127">
        <v>8048</v>
      </c>
      <c r="E127">
        <v>8123</v>
      </c>
      <c r="F127">
        <v>8</v>
      </c>
      <c r="G127">
        <v>8</v>
      </c>
      <c r="H127">
        <v>1</v>
      </c>
      <c r="I127">
        <v>0</v>
      </c>
      <c r="J127">
        <v>0.5</v>
      </c>
    </row>
    <row r="128" spans="1:10" x14ac:dyDescent="0.3">
      <c r="A128">
        <v>126</v>
      </c>
      <c r="B128">
        <v>2023</v>
      </c>
      <c r="C128" t="b">
        <v>1</v>
      </c>
      <c r="D128">
        <v>8048</v>
      </c>
      <c r="E128">
        <v>8123</v>
      </c>
      <c r="F128">
        <v>8</v>
      </c>
      <c r="G128">
        <v>8</v>
      </c>
      <c r="H128">
        <v>1</v>
      </c>
      <c r="I128">
        <v>0</v>
      </c>
      <c r="J128">
        <v>0.5</v>
      </c>
    </row>
    <row r="129" spans="1:10" x14ac:dyDescent="0.3">
      <c r="A129">
        <v>127</v>
      </c>
      <c r="B129">
        <v>2039</v>
      </c>
      <c r="C129" t="b">
        <v>1</v>
      </c>
      <c r="D129">
        <v>8048</v>
      </c>
      <c r="E129">
        <v>8123</v>
      </c>
      <c r="F129">
        <v>8</v>
      </c>
      <c r="G129">
        <v>8</v>
      </c>
      <c r="H129">
        <v>1</v>
      </c>
      <c r="I129">
        <v>0</v>
      </c>
      <c r="J129">
        <v>0.5</v>
      </c>
    </row>
    <row r="130" spans="1:10" x14ac:dyDescent="0.3">
      <c r="A130">
        <v>128</v>
      </c>
      <c r="B130">
        <v>2055</v>
      </c>
      <c r="C130" t="b">
        <v>1</v>
      </c>
      <c r="D130">
        <v>8048</v>
      </c>
      <c r="E130">
        <v>8123</v>
      </c>
      <c r="F130">
        <v>8</v>
      </c>
      <c r="G130">
        <v>8</v>
      </c>
      <c r="H130">
        <v>1</v>
      </c>
      <c r="I130">
        <v>0</v>
      </c>
      <c r="J130">
        <v>0.5</v>
      </c>
    </row>
    <row r="131" spans="1:10" x14ac:dyDescent="0.3">
      <c r="A131">
        <v>129</v>
      </c>
      <c r="B131">
        <v>2071</v>
      </c>
      <c r="C131" t="b">
        <v>1</v>
      </c>
      <c r="D131">
        <v>8048</v>
      </c>
      <c r="E131">
        <v>8129</v>
      </c>
      <c r="F131">
        <v>8</v>
      </c>
      <c r="G131">
        <v>8</v>
      </c>
      <c r="H131">
        <v>1</v>
      </c>
      <c r="I131">
        <v>0</v>
      </c>
      <c r="J131">
        <v>0.5</v>
      </c>
    </row>
    <row r="132" spans="1:10" x14ac:dyDescent="0.3">
      <c r="A132">
        <v>130</v>
      </c>
      <c r="B132">
        <v>2087</v>
      </c>
      <c r="C132" t="b">
        <v>1</v>
      </c>
      <c r="D132">
        <v>8048</v>
      </c>
      <c r="E132">
        <v>8123</v>
      </c>
      <c r="F132">
        <v>8</v>
      </c>
      <c r="G132">
        <v>8</v>
      </c>
      <c r="H132">
        <v>1</v>
      </c>
      <c r="I132">
        <v>0</v>
      </c>
      <c r="J132">
        <v>0.5</v>
      </c>
    </row>
    <row r="133" spans="1:10" x14ac:dyDescent="0.3">
      <c r="A133">
        <v>131</v>
      </c>
      <c r="B133">
        <v>2103</v>
      </c>
      <c r="C133" t="b">
        <v>1</v>
      </c>
      <c r="D133">
        <v>8048</v>
      </c>
      <c r="E133">
        <v>8134</v>
      </c>
      <c r="F133">
        <v>8</v>
      </c>
      <c r="G133">
        <v>8</v>
      </c>
      <c r="H133">
        <v>1</v>
      </c>
      <c r="I133">
        <v>0</v>
      </c>
      <c r="J133">
        <v>0.5</v>
      </c>
    </row>
    <row r="134" spans="1:10" x14ac:dyDescent="0.3">
      <c r="A134">
        <v>132</v>
      </c>
      <c r="B134">
        <v>2119</v>
      </c>
      <c r="C134" t="b">
        <v>1</v>
      </c>
      <c r="D134">
        <v>8048</v>
      </c>
      <c r="E134">
        <v>8123</v>
      </c>
      <c r="F134">
        <v>8</v>
      </c>
      <c r="G134">
        <v>8</v>
      </c>
      <c r="H134">
        <v>1</v>
      </c>
      <c r="I134">
        <v>0</v>
      </c>
      <c r="J134">
        <v>0.5</v>
      </c>
    </row>
    <row r="135" spans="1:10" x14ac:dyDescent="0.3">
      <c r="A135">
        <v>133</v>
      </c>
      <c r="B135">
        <v>2134</v>
      </c>
      <c r="C135" t="b">
        <v>1</v>
      </c>
      <c r="D135">
        <v>8048</v>
      </c>
      <c r="E135">
        <v>8123</v>
      </c>
      <c r="F135">
        <v>8</v>
      </c>
      <c r="G135">
        <v>8</v>
      </c>
      <c r="H135">
        <v>1</v>
      </c>
      <c r="I135">
        <v>0</v>
      </c>
      <c r="J135">
        <v>0.5</v>
      </c>
    </row>
    <row r="136" spans="1:10" x14ac:dyDescent="0.3">
      <c r="A136">
        <v>134</v>
      </c>
      <c r="B136">
        <v>2150</v>
      </c>
      <c r="C136" t="b">
        <v>1</v>
      </c>
      <c r="D136">
        <v>8042</v>
      </c>
      <c r="E136">
        <v>8123</v>
      </c>
      <c r="F136">
        <v>8</v>
      </c>
      <c r="G136">
        <v>8</v>
      </c>
      <c r="H136">
        <v>1</v>
      </c>
      <c r="I136">
        <v>0</v>
      </c>
      <c r="J136">
        <v>0.5</v>
      </c>
    </row>
    <row r="137" spans="1:10" x14ac:dyDescent="0.3">
      <c r="A137">
        <v>135</v>
      </c>
      <c r="B137">
        <v>2166</v>
      </c>
      <c r="C137" t="b">
        <v>1</v>
      </c>
      <c r="D137">
        <v>8048</v>
      </c>
      <c r="E137">
        <v>8117</v>
      </c>
      <c r="F137">
        <v>8</v>
      </c>
      <c r="G137">
        <v>8</v>
      </c>
      <c r="H137">
        <v>1</v>
      </c>
      <c r="I137">
        <v>0</v>
      </c>
      <c r="J137">
        <v>0.5</v>
      </c>
    </row>
    <row r="138" spans="1:10" x14ac:dyDescent="0.3">
      <c r="A138">
        <v>136</v>
      </c>
      <c r="B138">
        <v>2182</v>
      </c>
      <c r="C138" t="b">
        <v>1</v>
      </c>
      <c r="D138">
        <v>8048</v>
      </c>
      <c r="E138">
        <v>8117</v>
      </c>
      <c r="F138">
        <v>8</v>
      </c>
      <c r="G138">
        <v>8</v>
      </c>
      <c r="H138">
        <v>1</v>
      </c>
      <c r="I138">
        <v>0</v>
      </c>
      <c r="J138">
        <v>0.5</v>
      </c>
    </row>
    <row r="139" spans="1:10" x14ac:dyDescent="0.3">
      <c r="A139">
        <v>137</v>
      </c>
      <c r="B139">
        <v>2198</v>
      </c>
      <c r="C139" t="b">
        <v>1</v>
      </c>
      <c r="D139">
        <v>8048</v>
      </c>
      <c r="E139">
        <v>8117</v>
      </c>
      <c r="F139">
        <v>8</v>
      </c>
      <c r="G139">
        <v>7.6</v>
      </c>
      <c r="H139">
        <v>1.0526316</v>
      </c>
      <c r="I139">
        <v>-5.2631589999999999E-2</v>
      </c>
      <c r="J139">
        <v>0.48717946000000001</v>
      </c>
    </row>
    <row r="140" spans="1:10" x14ac:dyDescent="0.3">
      <c r="A140">
        <v>138</v>
      </c>
      <c r="B140">
        <v>2214</v>
      </c>
      <c r="C140" t="b">
        <v>1</v>
      </c>
      <c r="D140">
        <v>8048</v>
      </c>
      <c r="E140">
        <v>8123</v>
      </c>
      <c r="F140">
        <v>8</v>
      </c>
      <c r="G140">
        <v>7.2</v>
      </c>
      <c r="H140">
        <v>1.1111112000000001</v>
      </c>
      <c r="I140">
        <v>-0.11111114</v>
      </c>
      <c r="J140">
        <v>0.4736842</v>
      </c>
    </row>
    <row r="141" spans="1:10" x14ac:dyDescent="0.3">
      <c r="A141">
        <v>139</v>
      </c>
      <c r="B141">
        <v>2229</v>
      </c>
      <c r="C141" t="b">
        <v>1</v>
      </c>
      <c r="D141">
        <v>8042</v>
      </c>
      <c r="E141">
        <v>8117</v>
      </c>
      <c r="F141">
        <v>8</v>
      </c>
      <c r="G141">
        <v>6.8</v>
      </c>
      <c r="H141">
        <v>1.1764705</v>
      </c>
      <c r="I141">
        <v>-0.17647055</v>
      </c>
      <c r="J141">
        <v>0.45945944999999999</v>
      </c>
    </row>
    <row r="142" spans="1:10" x14ac:dyDescent="0.3">
      <c r="A142">
        <v>140</v>
      </c>
      <c r="B142">
        <v>2245</v>
      </c>
      <c r="C142" t="b">
        <v>1</v>
      </c>
      <c r="D142">
        <v>8042</v>
      </c>
      <c r="E142">
        <v>8123</v>
      </c>
      <c r="F142">
        <v>8</v>
      </c>
      <c r="G142">
        <v>6.4</v>
      </c>
      <c r="H142">
        <v>1.25</v>
      </c>
      <c r="I142">
        <v>-0.24999999000000001</v>
      </c>
      <c r="J142">
        <v>0.44444447999999998</v>
      </c>
    </row>
    <row r="143" spans="1:10" x14ac:dyDescent="0.3">
      <c r="A143">
        <v>141</v>
      </c>
      <c r="B143">
        <v>2261</v>
      </c>
      <c r="C143" t="b">
        <v>1</v>
      </c>
      <c r="D143">
        <v>8042</v>
      </c>
      <c r="E143">
        <v>8123</v>
      </c>
      <c r="F143">
        <v>7.6</v>
      </c>
      <c r="G143">
        <v>6.4</v>
      </c>
      <c r="H143">
        <v>1.1875</v>
      </c>
      <c r="I143">
        <v>-0.18749996999999999</v>
      </c>
      <c r="J143">
        <v>0.45714285999999998</v>
      </c>
    </row>
    <row r="144" spans="1:10" x14ac:dyDescent="0.3">
      <c r="A144">
        <v>142</v>
      </c>
      <c r="B144">
        <v>2277</v>
      </c>
      <c r="C144" t="b">
        <v>1</v>
      </c>
      <c r="D144">
        <v>8042</v>
      </c>
      <c r="E144">
        <v>8129</v>
      </c>
      <c r="F144">
        <v>7.2</v>
      </c>
      <c r="G144">
        <v>6.4</v>
      </c>
      <c r="H144">
        <v>1.125</v>
      </c>
      <c r="I144">
        <v>-0.124999955</v>
      </c>
      <c r="J144">
        <v>0.47058823999999999</v>
      </c>
    </row>
    <row r="145" spans="1:10" x14ac:dyDescent="0.3">
      <c r="A145">
        <v>143</v>
      </c>
      <c r="B145">
        <v>2293</v>
      </c>
      <c r="C145" t="b">
        <v>1</v>
      </c>
      <c r="D145">
        <v>8042</v>
      </c>
      <c r="E145">
        <v>8123</v>
      </c>
      <c r="F145">
        <v>6.8</v>
      </c>
      <c r="G145">
        <v>6.4</v>
      </c>
      <c r="H145">
        <v>1.0625</v>
      </c>
      <c r="I145">
        <v>-6.2500015000000006E-2</v>
      </c>
      <c r="J145">
        <v>0.48484846999999998</v>
      </c>
    </row>
    <row r="146" spans="1:10" x14ac:dyDescent="0.3">
      <c r="A146">
        <v>144</v>
      </c>
      <c r="B146">
        <v>2309</v>
      </c>
      <c r="C146" t="b">
        <v>1</v>
      </c>
      <c r="D146">
        <v>8042</v>
      </c>
      <c r="E146">
        <v>8123</v>
      </c>
      <c r="F146">
        <v>6.4</v>
      </c>
      <c r="G146">
        <v>6.4</v>
      </c>
      <c r="H146">
        <v>1</v>
      </c>
      <c r="I146">
        <v>0</v>
      </c>
      <c r="J146">
        <v>0.5</v>
      </c>
    </row>
    <row r="147" spans="1:10" x14ac:dyDescent="0.3">
      <c r="A147">
        <v>145</v>
      </c>
      <c r="B147">
        <v>2325</v>
      </c>
      <c r="C147" t="b">
        <v>1</v>
      </c>
      <c r="D147">
        <v>8042</v>
      </c>
      <c r="E147">
        <v>8123</v>
      </c>
      <c r="F147">
        <v>6</v>
      </c>
      <c r="G147">
        <v>6.4</v>
      </c>
      <c r="H147">
        <v>0.9375</v>
      </c>
      <c r="I147">
        <v>6.2500015000000006E-2</v>
      </c>
      <c r="J147">
        <v>0.51612910000000001</v>
      </c>
    </row>
    <row r="148" spans="1:10" x14ac:dyDescent="0.3">
      <c r="A148">
        <v>146</v>
      </c>
      <c r="B148">
        <v>2340</v>
      </c>
      <c r="C148" t="b">
        <v>1</v>
      </c>
      <c r="D148">
        <v>8048</v>
      </c>
      <c r="E148">
        <v>8129</v>
      </c>
      <c r="F148">
        <v>5.6</v>
      </c>
      <c r="G148">
        <v>6.4</v>
      </c>
      <c r="H148">
        <v>0.875</v>
      </c>
      <c r="I148">
        <v>0.12500003000000001</v>
      </c>
      <c r="J148">
        <v>0.53333335999999998</v>
      </c>
    </row>
    <row r="149" spans="1:10" x14ac:dyDescent="0.3">
      <c r="A149">
        <v>147</v>
      </c>
      <c r="B149">
        <v>2357</v>
      </c>
      <c r="C149" t="b">
        <v>1</v>
      </c>
      <c r="D149">
        <v>8048</v>
      </c>
      <c r="E149">
        <v>8123</v>
      </c>
      <c r="F149">
        <v>5.2</v>
      </c>
      <c r="G149">
        <v>6.4</v>
      </c>
      <c r="H149">
        <v>0.81249994000000003</v>
      </c>
      <c r="I149">
        <v>0.18750004000000001</v>
      </c>
      <c r="J149">
        <v>0.55172414000000003</v>
      </c>
    </row>
    <row r="150" spans="1:10" x14ac:dyDescent="0.3">
      <c r="A150">
        <v>148</v>
      </c>
      <c r="B150">
        <v>2372</v>
      </c>
      <c r="C150" t="b">
        <v>1</v>
      </c>
      <c r="D150">
        <v>8048</v>
      </c>
      <c r="E150">
        <v>8123</v>
      </c>
      <c r="F150">
        <v>5.2</v>
      </c>
      <c r="G150">
        <v>6.4</v>
      </c>
      <c r="H150">
        <v>0.81249994000000003</v>
      </c>
      <c r="I150">
        <v>0.18750004000000001</v>
      </c>
      <c r="J150">
        <v>0.55172414000000003</v>
      </c>
    </row>
    <row r="151" spans="1:10" x14ac:dyDescent="0.3">
      <c r="A151">
        <v>149</v>
      </c>
      <c r="B151">
        <v>2388</v>
      </c>
      <c r="C151" t="b">
        <v>1</v>
      </c>
      <c r="D151">
        <v>8048</v>
      </c>
      <c r="E151">
        <v>8117</v>
      </c>
      <c r="F151">
        <v>5.2</v>
      </c>
      <c r="G151">
        <v>6.4</v>
      </c>
      <c r="H151">
        <v>0.81249994000000003</v>
      </c>
      <c r="I151">
        <v>0.18750004000000001</v>
      </c>
      <c r="J151">
        <v>0.55172414000000003</v>
      </c>
    </row>
    <row r="152" spans="1:10" x14ac:dyDescent="0.3">
      <c r="A152">
        <v>150</v>
      </c>
      <c r="B152">
        <v>2404</v>
      </c>
      <c r="C152" t="b">
        <v>1</v>
      </c>
      <c r="D152">
        <v>8048</v>
      </c>
      <c r="E152">
        <v>8123</v>
      </c>
      <c r="F152">
        <v>5.2</v>
      </c>
      <c r="G152">
        <v>6.4</v>
      </c>
      <c r="H152">
        <v>0.81249994000000003</v>
      </c>
      <c r="I152">
        <v>0.18750004000000001</v>
      </c>
      <c r="J152">
        <v>0.55172414000000003</v>
      </c>
    </row>
    <row r="153" spans="1:10" x14ac:dyDescent="0.3">
      <c r="A153">
        <v>151</v>
      </c>
      <c r="B153">
        <v>2420</v>
      </c>
      <c r="C153" t="b">
        <v>1</v>
      </c>
      <c r="D153">
        <v>8048</v>
      </c>
      <c r="E153">
        <v>8123</v>
      </c>
      <c r="F153">
        <v>5.2</v>
      </c>
      <c r="G153">
        <v>6.4</v>
      </c>
      <c r="H153">
        <v>0.81249994000000003</v>
      </c>
      <c r="I153">
        <v>0.18750004000000001</v>
      </c>
      <c r="J153">
        <v>0.55172414000000003</v>
      </c>
    </row>
    <row r="154" spans="1:10" x14ac:dyDescent="0.3">
      <c r="A154">
        <v>152</v>
      </c>
      <c r="B154">
        <v>2435</v>
      </c>
      <c r="C154" t="b">
        <v>1</v>
      </c>
      <c r="D154">
        <v>8042</v>
      </c>
      <c r="E154">
        <v>8129</v>
      </c>
      <c r="F154">
        <v>5.2</v>
      </c>
      <c r="G154">
        <v>6.8</v>
      </c>
      <c r="H154">
        <v>0.76470583999999997</v>
      </c>
      <c r="I154">
        <v>0.23529416</v>
      </c>
      <c r="J154">
        <v>0.56666665999999999</v>
      </c>
    </row>
    <row r="155" spans="1:10" x14ac:dyDescent="0.3">
      <c r="A155">
        <v>153</v>
      </c>
      <c r="B155">
        <v>2451</v>
      </c>
      <c r="C155" t="b">
        <v>1</v>
      </c>
      <c r="D155">
        <v>8042</v>
      </c>
      <c r="E155">
        <v>8129</v>
      </c>
      <c r="F155">
        <v>5.2</v>
      </c>
      <c r="G155">
        <v>7.2</v>
      </c>
      <c r="H155">
        <v>0.72222220000000004</v>
      </c>
      <c r="I155">
        <v>0.27777780000000002</v>
      </c>
      <c r="J155">
        <v>0.58064514</v>
      </c>
    </row>
    <row r="156" spans="1:10" x14ac:dyDescent="0.3">
      <c r="A156">
        <v>154</v>
      </c>
      <c r="B156">
        <v>2467</v>
      </c>
      <c r="C156" t="b">
        <v>1</v>
      </c>
      <c r="D156">
        <v>8048</v>
      </c>
      <c r="E156">
        <v>8123</v>
      </c>
      <c r="F156">
        <v>5.2</v>
      </c>
      <c r="G156">
        <v>7.6</v>
      </c>
      <c r="H156">
        <v>0.68421054000000003</v>
      </c>
      <c r="I156">
        <v>0.3157895</v>
      </c>
      <c r="J156">
        <v>0.59375</v>
      </c>
    </row>
    <row r="157" spans="1:10" x14ac:dyDescent="0.3">
      <c r="A157">
        <v>155</v>
      </c>
      <c r="B157">
        <v>2483</v>
      </c>
      <c r="C157" t="b">
        <v>1</v>
      </c>
      <c r="D157">
        <v>8048</v>
      </c>
      <c r="E157">
        <v>8123</v>
      </c>
      <c r="F157">
        <v>5.2</v>
      </c>
      <c r="G157">
        <v>8</v>
      </c>
      <c r="H157">
        <v>0.65</v>
      </c>
      <c r="I157">
        <v>0.35000002000000002</v>
      </c>
      <c r="J157">
        <v>0.60606059999999995</v>
      </c>
    </row>
    <row r="158" spans="1:10" x14ac:dyDescent="0.3">
      <c r="A158">
        <v>156</v>
      </c>
      <c r="B158">
        <v>2499</v>
      </c>
      <c r="C158" t="b">
        <v>1</v>
      </c>
      <c r="D158">
        <v>8048</v>
      </c>
      <c r="E158">
        <v>8129</v>
      </c>
      <c r="F158">
        <v>5.6</v>
      </c>
      <c r="G158">
        <v>8.4</v>
      </c>
      <c r="H158">
        <v>0.66666669999999995</v>
      </c>
      <c r="I158">
        <v>0.3333333</v>
      </c>
      <c r="J158">
        <v>0.59999996</v>
      </c>
    </row>
    <row r="159" spans="1:10" x14ac:dyDescent="0.3">
      <c r="A159">
        <v>157</v>
      </c>
      <c r="B159">
        <v>2515</v>
      </c>
      <c r="C159" t="b">
        <v>1</v>
      </c>
      <c r="D159">
        <v>8048</v>
      </c>
      <c r="E159">
        <v>8129</v>
      </c>
      <c r="F159">
        <v>6</v>
      </c>
      <c r="G159">
        <v>8.8000000000000007</v>
      </c>
      <c r="H159">
        <v>0.68181820000000004</v>
      </c>
      <c r="I159">
        <v>0.31818183999999999</v>
      </c>
      <c r="J159">
        <v>0.59459459999999997</v>
      </c>
    </row>
    <row r="160" spans="1:10" x14ac:dyDescent="0.3">
      <c r="A160">
        <v>158</v>
      </c>
      <c r="B160">
        <v>2531</v>
      </c>
      <c r="C160" t="b">
        <v>1</v>
      </c>
      <c r="D160">
        <v>8048</v>
      </c>
      <c r="E160">
        <v>8129</v>
      </c>
      <c r="F160">
        <v>6.4</v>
      </c>
      <c r="G160">
        <v>9.1999999999999993</v>
      </c>
      <c r="H160">
        <v>0.69565220000000005</v>
      </c>
      <c r="I160">
        <v>0.3043478</v>
      </c>
      <c r="J160">
        <v>0.58974355000000001</v>
      </c>
    </row>
    <row r="161" spans="1:10" x14ac:dyDescent="0.3">
      <c r="A161">
        <v>159</v>
      </c>
      <c r="B161">
        <v>2547</v>
      </c>
      <c r="C161" t="b">
        <v>1</v>
      </c>
      <c r="D161">
        <v>8048</v>
      </c>
      <c r="E161">
        <v>8123</v>
      </c>
      <c r="F161">
        <v>6.8</v>
      </c>
      <c r="G161">
        <v>9.6</v>
      </c>
      <c r="H161">
        <v>0.70833330000000005</v>
      </c>
      <c r="I161">
        <v>0.2916667</v>
      </c>
      <c r="J161">
        <v>0.58536582999999998</v>
      </c>
    </row>
    <row r="162" spans="1:10" x14ac:dyDescent="0.3">
      <c r="A162">
        <v>160</v>
      </c>
      <c r="B162">
        <v>2563</v>
      </c>
      <c r="C162" t="b">
        <v>1</v>
      </c>
      <c r="D162">
        <v>8048</v>
      </c>
      <c r="E162">
        <v>8129</v>
      </c>
      <c r="F162">
        <v>7.2</v>
      </c>
      <c r="G162">
        <v>10</v>
      </c>
      <c r="H162">
        <v>0.71999997000000004</v>
      </c>
      <c r="I162">
        <v>0.28000003000000001</v>
      </c>
      <c r="J162">
        <v>0.58139529999999995</v>
      </c>
    </row>
    <row r="163" spans="1:10" x14ac:dyDescent="0.3">
      <c r="A163">
        <v>161</v>
      </c>
      <c r="B163">
        <v>2578</v>
      </c>
      <c r="C163" t="b">
        <v>1</v>
      </c>
      <c r="D163">
        <v>8048</v>
      </c>
      <c r="E163">
        <v>8123</v>
      </c>
      <c r="F163">
        <v>7.6</v>
      </c>
      <c r="G163">
        <v>10.4</v>
      </c>
      <c r="H163">
        <v>0.73076929999999996</v>
      </c>
      <c r="I163">
        <v>0.26923075000000002</v>
      </c>
      <c r="J163">
        <v>0.57777774000000004</v>
      </c>
    </row>
    <row r="164" spans="1:10" x14ac:dyDescent="0.3">
      <c r="A164">
        <v>162</v>
      </c>
      <c r="B164">
        <v>2594</v>
      </c>
      <c r="C164" t="b">
        <v>1</v>
      </c>
      <c r="D164">
        <v>8048</v>
      </c>
      <c r="E164">
        <v>8123</v>
      </c>
      <c r="F164">
        <v>8</v>
      </c>
      <c r="G164">
        <v>10.4</v>
      </c>
      <c r="H164">
        <v>0.76923079999999999</v>
      </c>
      <c r="I164">
        <v>0.23076920000000001</v>
      </c>
      <c r="J164">
        <v>0.56521739999999998</v>
      </c>
    </row>
    <row r="165" spans="1:10" x14ac:dyDescent="0.3">
      <c r="A165">
        <v>163</v>
      </c>
      <c r="B165">
        <v>2610</v>
      </c>
      <c r="C165" t="b">
        <v>1</v>
      </c>
      <c r="D165">
        <v>8048</v>
      </c>
      <c r="E165">
        <v>8123</v>
      </c>
      <c r="F165">
        <v>8</v>
      </c>
      <c r="G165">
        <v>10.4</v>
      </c>
      <c r="H165">
        <v>0.76923079999999999</v>
      </c>
      <c r="I165">
        <v>0.23076920000000001</v>
      </c>
      <c r="J165">
        <v>0.56521739999999998</v>
      </c>
    </row>
    <row r="166" spans="1:10" x14ac:dyDescent="0.3">
      <c r="A166">
        <v>164</v>
      </c>
      <c r="B166">
        <v>2626</v>
      </c>
      <c r="C166" t="b">
        <v>1</v>
      </c>
      <c r="D166">
        <v>8048</v>
      </c>
      <c r="E166">
        <v>8129</v>
      </c>
      <c r="F166">
        <v>8</v>
      </c>
      <c r="G166">
        <v>10.4</v>
      </c>
      <c r="H166">
        <v>0.76923079999999999</v>
      </c>
      <c r="I166">
        <v>0.23076920000000001</v>
      </c>
      <c r="J166">
        <v>0.56521739999999998</v>
      </c>
    </row>
    <row r="167" spans="1:10" x14ac:dyDescent="0.3">
      <c r="A167">
        <v>165</v>
      </c>
      <c r="B167">
        <v>2642</v>
      </c>
      <c r="C167" t="b">
        <v>1</v>
      </c>
      <c r="D167">
        <v>8048</v>
      </c>
      <c r="E167">
        <v>8129</v>
      </c>
      <c r="F167">
        <v>8</v>
      </c>
      <c r="G167">
        <v>10.4</v>
      </c>
      <c r="H167">
        <v>0.76923079999999999</v>
      </c>
      <c r="I167">
        <v>0.23076920000000001</v>
      </c>
      <c r="J167">
        <v>0.56521739999999998</v>
      </c>
    </row>
    <row r="168" spans="1:10" x14ac:dyDescent="0.3">
      <c r="A168">
        <v>166</v>
      </c>
      <c r="B168">
        <v>2658</v>
      </c>
      <c r="C168" t="b">
        <v>1</v>
      </c>
      <c r="D168">
        <v>8048</v>
      </c>
      <c r="E168">
        <v>8129</v>
      </c>
      <c r="F168">
        <v>8</v>
      </c>
      <c r="G168">
        <v>10.8</v>
      </c>
      <c r="H168">
        <v>0.74074070000000003</v>
      </c>
      <c r="I168">
        <v>0.25925927999999998</v>
      </c>
      <c r="J168">
        <v>0.57446814000000002</v>
      </c>
    </row>
    <row r="169" spans="1:10" x14ac:dyDescent="0.3">
      <c r="A169">
        <v>167</v>
      </c>
      <c r="B169">
        <v>2674</v>
      </c>
      <c r="C169" t="b">
        <v>1</v>
      </c>
      <c r="D169">
        <v>8048</v>
      </c>
      <c r="E169">
        <v>8134</v>
      </c>
      <c r="F169">
        <v>8</v>
      </c>
      <c r="G169">
        <v>11.2</v>
      </c>
      <c r="H169">
        <v>0.71428572999999995</v>
      </c>
      <c r="I169">
        <v>0.28571426999999999</v>
      </c>
      <c r="J169">
        <v>0.58333330000000005</v>
      </c>
    </row>
    <row r="170" spans="1:10" x14ac:dyDescent="0.3">
      <c r="A170">
        <v>168</v>
      </c>
      <c r="B170">
        <v>2690</v>
      </c>
      <c r="C170" t="b">
        <v>1</v>
      </c>
      <c r="D170">
        <v>8042</v>
      </c>
      <c r="E170">
        <v>8123</v>
      </c>
      <c r="F170">
        <v>8</v>
      </c>
      <c r="G170">
        <v>11.6</v>
      </c>
      <c r="H170">
        <v>0.68965509999999997</v>
      </c>
      <c r="I170">
        <v>0.31034485000000001</v>
      </c>
      <c r="J170">
        <v>0.59183675000000002</v>
      </c>
    </row>
    <row r="171" spans="1:10" x14ac:dyDescent="0.3">
      <c r="A171">
        <v>169</v>
      </c>
      <c r="B171">
        <v>2705</v>
      </c>
      <c r="C171" t="b">
        <v>1</v>
      </c>
      <c r="D171">
        <v>8048</v>
      </c>
      <c r="E171">
        <v>8123</v>
      </c>
      <c r="F171">
        <v>8</v>
      </c>
      <c r="G171">
        <v>12</v>
      </c>
      <c r="H171">
        <v>0.66666669999999995</v>
      </c>
      <c r="I171">
        <v>0.33333333999999998</v>
      </c>
      <c r="J171">
        <v>0.6</v>
      </c>
    </row>
    <row r="172" spans="1:10" x14ac:dyDescent="0.3">
      <c r="A172">
        <v>170</v>
      </c>
      <c r="B172">
        <v>2721</v>
      </c>
      <c r="C172" t="b">
        <v>1</v>
      </c>
      <c r="D172">
        <v>8042</v>
      </c>
      <c r="E172">
        <v>8129</v>
      </c>
      <c r="F172">
        <v>8</v>
      </c>
      <c r="G172">
        <v>12.4</v>
      </c>
      <c r="H172">
        <v>0.64516132999999998</v>
      </c>
      <c r="I172">
        <v>0.35483870000000001</v>
      </c>
      <c r="J172">
        <v>0.60784309999999997</v>
      </c>
    </row>
    <row r="173" spans="1:10" x14ac:dyDescent="0.3">
      <c r="A173">
        <v>171</v>
      </c>
      <c r="B173">
        <v>2737</v>
      </c>
      <c r="C173" t="b">
        <v>1</v>
      </c>
      <c r="D173">
        <v>8048</v>
      </c>
      <c r="E173">
        <v>8123</v>
      </c>
      <c r="F173">
        <v>8</v>
      </c>
      <c r="G173">
        <v>12</v>
      </c>
      <c r="H173">
        <v>0.66666669999999995</v>
      </c>
      <c r="I173">
        <v>0.33333333999999998</v>
      </c>
      <c r="J173">
        <v>0.6</v>
      </c>
    </row>
    <row r="174" spans="1:10" x14ac:dyDescent="0.3">
      <c r="A174">
        <v>172</v>
      </c>
      <c r="B174">
        <v>2752</v>
      </c>
      <c r="C174" t="b">
        <v>1</v>
      </c>
      <c r="D174">
        <v>8048</v>
      </c>
      <c r="E174">
        <v>8123</v>
      </c>
      <c r="F174">
        <v>8</v>
      </c>
      <c r="G174">
        <v>11.6</v>
      </c>
      <c r="H174">
        <v>0.68965509999999997</v>
      </c>
      <c r="I174">
        <v>0.31034485000000001</v>
      </c>
      <c r="J174">
        <v>0.59183675000000002</v>
      </c>
    </row>
    <row r="175" spans="1:10" x14ac:dyDescent="0.3">
      <c r="A175">
        <v>173</v>
      </c>
      <c r="B175">
        <v>2768</v>
      </c>
      <c r="C175" t="b">
        <v>1</v>
      </c>
      <c r="D175">
        <v>8048</v>
      </c>
      <c r="E175">
        <v>8123</v>
      </c>
      <c r="F175">
        <v>8</v>
      </c>
      <c r="G175">
        <v>11.2</v>
      </c>
      <c r="H175">
        <v>0.71428572999999995</v>
      </c>
      <c r="I175">
        <v>0.28571426999999999</v>
      </c>
      <c r="J175">
        <v>0.58333330000000005</v>
      </c>
    </row>
    <row r="176" spans="1:10" x14ac:dyDescent="0.3">
      <c r="A176">
        <v>174</v>
      </c>
      <c r="B176">
        <v>2784</v>
      </c>
      <c r="C176" t="b">
        <v>1</v>
      </c>
      <c r="D176">
        <v>8048</v>
      </c>
      <c r="E176">
        <v>8123</v>
      </c>
      <c r="F176">
        <v>8</v>
      </c>
      <c r="G176">
        <v>10.8</v>
      </c>
      <c r="H176">
        <v>0.74074070000000003</v>
      </c>
      <c r="I176">
        <v>0.25925927999999998</v>
      </c>
      <c r="J176">
        <v>0.57446814000000002</v>
      </c>
    </row>
    <row r="177" spans="1:10" x14ac:dyDescent="0.3">
      <c r="A177">
        <v>175</v>
      </c>
      <c r="B177">
        <v>2800</v>
      </c>
      <c r="C177" t="b">
        <v>1</v>
      </c>
      <c r="D177">
        <v>8048</v>
      </c>
      <c r="E177">
        <v>8123</v>
      </c>
      <c r="F177">
        <v>8</v>
      </c>
      <c r="G177">
        <v>10.4</v>
      </c>
      <c r="H177">
        <v>0.76923079999999999</v>
      </c>
      <c r="I177">
        <v>0.23076920000000001</v>
      </c>
      <c r="J177">
        <v>0.56521739999999998</v>
      </c>
    </row>
    <row r="178" spans="1:10" x14ac:dyDescent="0.3">
      <c r="A178">
        <v>176</v>
      </c>
      <c r="B178">
        <v>2816</v>
      </c>
      <c r="C178" t="b">
        <v>1</v>
      </c>
      <c r="D178">
        <v>8048</v>
      </c>
      <c r="E178">
        <v>8123</v>
      </c>
      <c r="F178">
        <v>8</v>
      </c>
      <c r="G178">
        <v>10</v>
      </c>
      <c r="H178">
        <v>0.8</v>
      </c>
      <c r="I178">
        <v>0.2</v>
      </c>
      <c r="J178">
        <v>0.55555560000000004</v>
      </c>
    </row>
    <row r="179" spans="1:10" x14ac:dyDescent="0.3">
      <c r="A179">
        <v>177</v>
      </c>
      <c r="B179">
        <v>2831</v>
      </c>
      <c r="C179" t="b">
        <v>1</v>
      </c>
      <c r="D179">
        <v>8048</v>
      </c>
      <c r="E179">
        <v>8123</v>
      </c>
      <c r="F179">
        <v>8</v>
      </c>
      <c r="G179">
        <v>10</v>
      </c>
      <c r="H179">
        <v>0.8</v>
      </c>
      <c r="I179">
        <v>0.2</v>
      </c>
      <c r="J179">
        <v>0.55555560000000004</v>
      </c>
    </row>
    <row r="180" spans="1:10" x14ac:dyDescent="0.3">
      <c r="A180">
        <v>178</v>
      </c>
      <c r="B180">
        <v>2847</v>
      </c>
      <c r="C180" t="b">
        <v>1</v>
      </c>
      <c r="D180">
        <v>8037</v>
      </c>
      <c r="E180">
        <v>8123</v>
      </c>
      <c r="F180">
        <v>8</v>
      </c>
      <c r="G180">
        <v>10</v>
      </c>
      <c r="H180">
        <v>0.8</v>
      </c>
      <c r="I180">
        <v>0.2</v>
      </c>
      <c r="J180">
        <v>0.55555560000000004</v>
      </c>
    </row>
    <row r="181" spans="1:10" x14ac:dyDescent="0.3">
      <c r="A181">
        <v>179</v>
      </c>
      <c r="B181">
        <v>2863</v>
      </c>
      <c r="C181" t="b">
        <v>1</v>
      </c>
      <c r="D181">
        <v>8037</v>
      </c>
      <c r="E181">
        <v>8123</v>
      </c>
      <c r="F181">
        <v>8</v>
      </c>
      <c r="G181">
        <v>10</v>
      </c>
      <c r="H181">
        <v>0.8</v>
      </c>
      <c r="I181">
        <v>0.2</v>
      </c>
      <c r="J181">
        <v>0.55555560000000004</v>
      </c>
    </row>
    <row r="182" spans="1:10" x14ac:dyDescent="0.3">
      <c r="A182">
        <v>180</v>
      </c>
      <c r="B182">
        <v>2879</v>
      </c>
      <c r="C182" t="b">
        <v>1</v>
      </c>
      <c r="D182">
        <v>8042</v>
      </c>
      <c r="E182">
        <v>8123</v>
      </c>
      <c r="F182">
        <v>7.6</v>
      </c>
      <c r="G182">
        <v>10</v>
      </c>
      <c r="H182">
        <v>0.76</v>
      </c>
      <c r="I182">
        <v>0.24000001000000001</v>
      </c>
      <c r="J182">
        <v>0.56818179999999996</v>
      </c>
    </row>
    <row r="183" spans="1:10" x14ac:dyDescent="0.3">
      <c r="A183">
        <v>181</v>
      </c>
      <c r="B183">
        <v>2894</v>
      </c>
      <c r="C183" t="b">
        <v>1</v>
      </c>
      <c r="D183">
        <v>8042</v>
      </c>
      <c r="E183">
        <v>8129</v>
      </c>
      <c r="F183">
        <v>7.2</v>
      </c>
      <c r="G183">
        <v>9.6</v>
      </c>
      <c r="H183">
        <v>0.74999994000000003</v>
      </c>
      <c r="I183">
        <v>0.25000006000000002</v>
      </c>
      <c r="J183">
        <v>0.57142859999999995</v>
      </c>
    </row>
    <row r="184" spans="1:10" x14ac:dyDescent="0.3">
      <c r="A184">
        <v>182</v>
      </c>
      <c r="B184">
        <v>2910</v>
      </c>
      <c r="C184" t="b">
        <v>1</v>
      </c>
      <c r="D184">
        <v>8042</v>
      </c>
      <c r="E184">
        <v>8123</v>
      </c>
      <c r="F184">
        <v>6.8</v>
      </c>
      <c r="G184">
        <v>9.1999999999999993</v>
      </c>
      <c r="H184">
        <v>0.73913050000000002</v>
      </c>
      <c r="I184">
        <v>0.26086953000000002</v>
      </c>
      <c r="J184">
        <v>0.57499999999999996</v>
      </c>
    </row>
    <row r="185" spans="1:10" x14ac:dyDescent="0.3">
      <c r="A185">
        <v>183</v>
      </c>
      <c r="B185">
        <v>2925</v>
      </c>
      <c r="C185" t="b">
        <v>1</v>
      </c>
      <c r="D185">
        <v>8042</v>
      </c>
      <c r="E185">
        <v>8123</v>
      </c>
      <c r="F185">
        <v>6.4</v>
      </c>
      <c r="G185">
        <v>8.8000000000000007</v>
      </c>
      <c r="H185">
        <v>0.72727275000000002</v>
      </c>
      <c r="I185">
        <v>0.27272728000000002</v>
      </c>
      <c r="J185">
        <v>0.57894736999999996</v>
      </c>
    </row>
    <row r="186" spans="1:10" x14ac:dyDescent="0.3">
      <c r="A186">
        <v>184</v>
      </c>
      <c r="B186">
        <v>2942</v>
      </c>
      <c r="C186" t="b">
        <v>1</v>
      </c>
      <c r="D186">
        <v>8048</v>
      </c>
      <c r="E186">
        <v>8129</v>
      </c>
      <c r="F186">
        <v>6</v>
      </c>
      <c r="G186">
        <v>8.4</v>
      </c>
      <c r="H186">
        <v>0.71428572999999995</v>
      </c>
      <c r="I186">
        <v>0.28571424000000001</v>
      </c>
      <c r="J186">
        <v>0.58333330000000005</v>
      </c>
    </row>
    <row r="187" spans="1:10" x14ac:dyDescent="0.3">
      <c r="A187">
        <v>185</v>
      </c>
      <c r="B187">
        <v>2957</v>
      </c>
      <c r="C187" t="b">
        <v>1</v>
      </c>
      <c r="D187">
        <v>8048</v>
      </c>
      <c r="E187">
        <v>8123</v>
      </c>
      <c r="F187">
        <v>5.6</v>
      </c>
      <c r="G187">
        <v>8</v>
      </c>
      <c r="H187">
        <v>0.7</v>
      </c>
      <c r="I187">
        <v>0.3</v>
      </c>
      <c r="J187">
        <v>0.58823526000000004</v>
      </c>
    </row>
    <row r="188" spans="1:10" x14ac:dyDescent="0.3">
      <c r="A188">
        <v>186</v>
      </c>
      <c r="B188">
        <v>2973</v>
      </c>
      <c r="C188" t="b">
        <v>1</v>
      </c>
      <c r="D188">
        <v>8048</v>
      </c>
      <c r="E188">
        <v>8123</v>
      </c>
      <c r="F188">
        <v>5.6</v>
      </c>
      <c r="G188">
        <v>8</v>
      </c>
      <c r="H188">
        <v>0.7</v>
      </c>
      <c r="I188">
        <v>0.3</v>
      </c>
      <c r="J188">
        <v>0.58823526000000004</v>
      </c>
    </row>
    <row r="189" spans="1:10" x14ac:dyDescent="0.3">
      <c r="A189">
        <v>187</v>
      </c>
      <c r="B189">
        <v>2989</v>
      </c>
      <c r="C189" t="b">
        <v>1</v>
      </c>
      <c r="D189">
        <v>8048</v>
      </c>
      <c r="E189">
        <v>8123</v>
      </c>
      <c r="F189">
        <v>5.6</v>
      </c>
      <c r="G189">
        <v>8</v>
      </c>
      <c r="H189">
        <v>0.7</v>
      </c>
      <c r="I189">
        <v>0.3</v>
      </c>
      <c r="J189">
        <v>0.58823526000000004</v>
      </c>
    </row>
    <row r="190" spans="1:10" x14ac:dyDescent="0.3">
      <c r="A190">
        <v>188</v>
      </c>
      <c r="B190">
        <v>3005</v>
      </c>
      <c r="C190" t="b">
        <v>1</v>
      </c>
      <c r="D190">
        <v>8048</v>
      </c>
      <c r="E190">
        <v>8123</v>
      </c>
      <c r="F190">
        <v>5.6</v>
      </c>
      <c r="G190">
        <v>8</v>
      </c>
      <c r="H190">
        <v>0.7</v>
      </c>
      <c r="I190">
        <v>0.3</v>
      </c>
      <c r="J190">
        <v>0.58823526000000004</v>
      </c>
    </row>
    <row r="191" spans="1:10" x14ac:dyDescent="0.3">
      <c r="A191">
        <v>189</v>
      </c>
      <c r="B191">
        <v>3021</v>
      </c>
      <c r="C191" t="b">
        <v>1</v>
      </c>
      <c r="D191">
        <v>8048</v>
      </c>
      <c r="E191">
        <v>8129</v>
      </c>
      <c r="F191">
        <v>5.6</v>
      </c>
      <c r="G191">
        <v>8</v>
      </c>
      <c r="H191">
        <v>0.7</v>
      </c>
      <c r="I191">
        <v>0.3</v>
      </c>
      <c r="J191">
        <v>0.58823526000000004</v>
      </c>
    </row>
    <row r="192" spans="1:10" x14ac:dyDescent="0.3">
      <c r="A192">
        <v>190</v>
      </c>
      <c r="B192">
        <v>3037</v>
      </c>
      <c r="C192" t="b">
        <v>1</v>
      </c>
      <c r="D192">
        <v>8048</v>
      </c>
      <c r="E192">
        <v>8123</v>
      </c>
      <c r="F192">
        <v>5.6</v>
      </c>
      <c r="G192">
        <v>8</v>
      </c>
      <c r="H192">
        <v>0.7</v>
      </c>
      <c r="I192">
        <v>0.3</v>
      </c>
      <c r="J192">
        <v>0.58823526000000004</v>
      </c>
    </row>
    <row r="193" spans="1:10" x14ac:dyDescent="0.3">
      <c r="A193">
        <v>191</v>
      </c>
      <c r="B193">
        <v>3052</v>
      </c>
      <c r="C193" t="b">
        <v>1</v>
      </c>
      <c r="D193">
        <v>8048</v>
      </c>
      <c r="E193">
        <v>8123</v>
      </c>
      <c r="F193">
        <v>5.6</v>
      </c>
      <c r="G193">
        <v>8</v>
      </c>
      <c r="H193">
        <v>0.7</v>
      </c>
      <c r="I193">
        <v>0.3</v>
      </c>
      <c r="J193">
        <v>0.58823526000000004</v>
      </c>
    </row>
    <row r="194" spans="1:10" x14ac:dyDescent="0.3">
      <c r="A194">
        <v>192</v>
      </c>
      <c r="B194">
        <v>3067</v>
      </c>
      <c r="C194" t="b">
        <v>1</v>
      </c>
      <c r="D194">
        <v>8054</v>
      </c>
      <c r="E194">
        <v>8123</v>
      </c>
      <c r="F194">
        <v>5.6</v>
      </c>
      <c r="G194">
        <v>8</v>
      </c>
      <c r="H194">
        <v>0.7</v>
      </c>
      <c r="I194">
        <v>0.3</v>
      </c>
      <c r="J194">
        <v>0.58823526000000004</v>
      </c>
    </row>
    <row r="195" spans="1:10" x14ac:dyDescent="0.3">
      <c r="A195">
        <v>193</v>
      </c>
      <c r="B195">
        <v>3083</v>
      </c>
      <c r="C195" t="b">
        <v>1</v>
      </c>
      <c r="D195">
        <v>8048</v>
      </c>
      <c r="E195">
        <v>8129</v>
      </c>
      <c r="F195">
        <v>5.6</v>
      </c>
      <c r="G195">
        <v>8</v>
      </c>
      <c r="H195">
        <v>0.7</v>
      </c>
      <c r="I195">
        <v>0.3</v>
      </c>
      <c r="J195">
        <v>0.58823526000000004</v>
      </c>
    </row>
    <row r="196" spans="1:10" x14ac:dyDescent="0.3">
      <c r="A196">
        <v>194</v>
      </c>
      <c r="B196">
        <v>3099</v>
      </c>
      <c r="C196" t="b">
        <v>1</v>
      </c>
      <c r="D196">
        <v>8048</v>
      </c>
      <c r="E196">
        <v>8123</v>
      </c>
      <c r="F196">
        <v>5.6</v>
      </c>
      <c r="G196">
        <v>8</v>
      </c>
      <c r="H196">
        <v>0.7</v>
      </c>
      <c r="I196">
        <v>0.3</v>
      </c>
      <c r="J196">
        <v>0.58823526000000004</v>
      </c>
    </row>
    <row r="197" spans="1:10" x14ac:dyDescent="0.3">
      <c r="A197">
        <v>195</v>
      </c>
      <c r="B197">
        <v>3115</v>
      </c>
      <c r="C197" t="b">
        <v>1</v>
      </c>
      <c r="D197">
        <v>8054</v>
      </c>
      <c r="E197">
        <v>8123</v>
      </c>
      <c r="F197">
        <v>6</v>
      </c>
      <c r="G197">
        <v>8</v>
      </c>
      <c r="H197">
        <v>0.75</v>
      </c>
      <c r="I197">
        <v>0.25</v>
      </c>
      <c r="J197">
        <v>0.57142859999999995</v>
      </c>
    </row>
    <row r="198" spans="1:10" x14ac:dyDescent="0.3">
      <c r="A198">
        <v>196</v>
      </c>
      <c r="B198">
        <v>3130</v>
      </c>
      <c r="C198" t="b">
        <v>1</v>
      </c>
      <c r="D198">
        <v>8054</v>
      </c>
      <c r="E198">
        <v>8123</v>
      </c>
      <c r="F198">
        <v>6.8</v>
      </c>
      <c r="G198">
        <v>8</v>
      </c>
      <c r="H198">
        <v>0.85</v>
      </c>
      <c r="I198">
        <v>0.14999998</v>
      </c>
      <c r="J198">
        <v>0.54054049999999998</v>
      </c>
    </row>
    <row r="199" spans="1:10" x14ac:dyDescent="0.3">
      <c r="A199">
        <v>197</v>
      </c>
      <c r="B199">
        <v>3146</v>
      </c>
      <c r="C199" t="b">
        <v>1</v>
      </c>
      <c r="D199">
        <v>8048</v>
      </c>
      <c r="E199">
        <v>8123</v>
      </c>
      <c r="F199">
        <v>7.2</v>
      </c>
      <c r="G199">
        <v>8</v>
      </c>
      <c r="H199">
        <v>0.9</v>
      </c>
      <c r="I199">
        <v>0.10000002400000001</v>
      </c>
      <c r="J199">
        <v>0.5263158</v>
      </c>
    </row>
    <row r="200" spans="1:10" x14ac:dyDescent="0.3">
      <c r="A200">
        <v>198</v>
      </c>
      <c r="B200">
        <v>3162</v>
      </c>
      <c r="C200" t="b">
        <v>1</v>
      </c>
      <c r="D200">
        <v>8048</v>
      </c>
      <c r="E200">
        <v>8129</v>
      </c>
      <c r="F200">
        <v>7.6</v>
      </c>
      <c r="G200">
        <v>8</v>
      </c>
      <c r="H200">
        <v>0.95</v>
      </c>
      <c r="I200">
        <v>5.0000012000000003E-2</v>
      </c>
      <c r="J200">
        <v>0.51282050000000001</v>
      </c>
    </row>
    <row r="201" spans="1:10" x14ac:dyDescent="0.3">
      <c r="A201">
        <v>199</v>
      </c>
      <c r="B201">
        <v>3178</v>
      </c>
      <c r="C201" t="b">
        <v>1</v>
      </c>
      <c r="D201">
        <v>8048</v>
      </c>
      <c r="E201">
        <v>8129</v>
      </c>
      <c r="F201">
        <v>8</v>
      </c>
      <c r="G201">
        <v>8</v>
      </c>
      <c r="H201">
        <v>1</v>
      </c>
      <c r="I201">
        <v>0</v>
      </c>
      <c r="J201">
        <v>0.5</v>
      </c>
    </row>
    <row r="202" spans="1:10" x14ac:dyDescent="0.3">
      <c r="A202">
        <v>200</v>
      </c>
      <c r="B202">
        <v>3193</v>
      </c>
      <c r="C202" t="b">
        <v>1</v>
      </c>
      <c r="D202">
        <v>8048</v>
      </c>
      <c r="E202">
        <v>8134</v>
      </c>
      <c r="F202">
        <v>8.4</v>
      </c>
      <c r="G202">
        <v>8.4</v>
      </c>
      <c r="H202">
        <v>1</v>
      </c>
      <c r="I202">
        <v>0</v>
      </c>
      <c r="J202">
        <v>0.5</v>
      </c>
    </row>
    <row r="203" spans="1:10" x14ac:dyDescent="0.3">
      <c r="A203">
        <v>201</v>
      </c>
      <c r="B203">
        <v>3209</v>
      </c>
      <c r="C203" t="b">
        <v>1</v>
      </c>
      <c r="D203">
        <v>8048</v>
      </c>
      <c r="E203">
        <v>8123</v>
      </c>
      <c r="F203">
        <v>8.4</v>
      </c>
      <c r="G203">
        <v>8.8000000000000007</v>
      </c>
      <c r="H203">
        <v>0.95454539999999999</v>
      </c>
      <c r="I203">
        <v>4.5454609999999999E-2</v>
      </c>
      <c r="J203">
        <v>0.51162790000000002</v>
      </c>
    </row>
    <row r="204" spans="1:10" x14ac:dyDescent="0.3">
      <c r="A204">
        <v>202</v>
      </c>
      <c r="B204">
        <v>3225</v>
      </c>
      <c r="C204" t="b">
        <v>1</v>
      </c>
      <c r="D204">
        <v>8048</v>
      </c>
      <c r="E204">
        <v>8129</v>
      </c>
      <c r="F204">
        <v>8.4</v>
      </c>
      <c r="G204">
        <v>9.1999999999999993</v>
      </c>
      <c r="H204">
        <v>0.91304344000000004</v>
      </c>
      <c r="I204">
        <v>8.6956545999999996E-2</v>
      </c>
      <c r="J204">
        <v>0.52272730000000001</v>
      </c>
    </row>
    <row r="205" spans="1:10" x14ac:dyDescent="0.3">
      <c r="A205">
        <v>203</v>
      </c>
      <c r="B205">
        <v>3241</v>
      </c>
      <c r="C205" t="b">
        <v>1</v>
      </c>
      <c r="D205">
        <v>8048</v>
      </c>
      <c r="E205">
        <v>8117</v>
      </c>
      <c r="F205">
        <v>8.4</v>
      </c>
      <c r="G205">
        <v>9.6</v>
      </c>
      <c r="H205">
        <v>0.87499994000000003</v>
      </c>
      <c r="I205">
        <v>0.12500006999999999</v>
      </c>
      <c r="J205">
        <v>0.53333335999999998</v>
      </c>
    </row>
    <row r="206" spans="1:10" x14ac:dyDescent="0.3">
      <c r="A206">
        <v>204</v>
      </c>
      <c r="B206">
        <v>3256</v>
      </c>
      <c r="C206" t="b">
        <v>1</v>
      </c>
      <c r="D206">
        <v>8042</v>
      </c>
      <c r="E206">
        <v>8123</v>
      </c>
      <c r="F206">
        <v>8.4</v>
      </c>
      <c r="G206">
        <v>9.6</v>
      </c>
      <c r="H206">
        <v>0.87499994000000003</v>
      </c>
      <c r="I206">
        <v>0.12500006999999999</v>
      </c>
      <c r="J206">
        <v>0.53333335999999998</v>
      </c>
    </row>
    <row r="207" spans="1:10" x14ac:dyDescent="0.3">
      <c r="A207">
        <v>205</v>
      </c>
      <c r="B207">
        <v>3272</v>
      </c>
      <c r="C207" t="b">
        <v>1</v>
      </c>
      <c r="D207">
        <v>8048</v>
      </c>
      <c r="E207">
        <v>8123</v>
      </c>
      <c r="F207">
        <v>8.4</v>
      </c>
      <c r="G207">
        <v>9.6</v>
      </c>
      <c r="H207">
        <v>0.87499994000000003</v>
      </c>
      <c r="I207">
        <v>0.12500006999999999</v>
      </c>
      <c r="J207">
        <v>0.53333335999999998</v>
      </c>
    </row>
    <row r="208" spans="1:10" x14ac:dyDescent="0.3">
      <c r="A208">
        <v>206</v>
      </c>
      <c r="B208">
        <v>3288</v>
      </c>
      <c r="C208" t="b">
        <v>1</v>
      </c>
      <c r="D208">
        <v>8042</v>
      </c>
      <c r="E208">
        <v>8123</v>
      </c>
      <c r="F208">
        <v>8.4</v>
      </c>
      <c r="G208">
        <v>9.6</v>
      </c>
      <c r="H208">
        <v>0.87499994000000003</v>
      </c>
      <c r="I208">
        <v>0.12500006999999999</v>
      </c>
      <c r="J208">
        <v>0.53333335999999998</v>
      </c>
    </row>
    <row r="209" spans="1:10" x14ac:dyDescent="0.3">
      <c r="A209">
        <v>207</v>
      </c>
      <c r="B209">
        <v>3303</v>
      </c>
      <c r="C209" t="b">
        <v>1</v>
      </c>
      <c r="D209">
        <v>8048</v>
      </c>
      <c r="E209">
        <v>8123</v>
      </c>
      <c r="F209">
        <v>8.4</v>
      </c>
      <c r="G209">
        <v>9.6</v>
      </c>
      <c r="H209">
        <v>0.87499994000000003</v>
      </c>
      <c r="I209">
        <v>0.12500006999999999</v>
      </c>
      <c r="J209">
        <v>0.53333335999999998</v>
      </c>
    </row>
    <row r="210" spans="1:10" x14ac:dyDescent="0.3">
      <c r="A210">
        <v>208</v>
      </c>
      <c r="B210">
        <v>3319</v>
      </c>
      <c r="C210" t="b">
        <v>1</v>
      </c>
      <c r="D210">
        <v>8042</v>
      </c>
      <c r="E210">
        <v>8123</v>
      </c>
      <c r="F210">
        <v>8</v>
      </c>
      <c r="G210">
        <v>9.6</v>
      </c>
      <c r="H210">
        <v>0.83333330000000005</v>
      </c>
      <c r="I210">
        <v>0.1666667</v>
      </c>
      <c r="J210">
        <v>0.54545456000000003</v>
      </c>
    </row>
    <row r="211" spans="1:10" x14ac:dyDescent="0.3">
      <c r="A211">
        <v>209</v>
      </c>
      <c r="B211">
        <v>3335</v>
      </c>
      <c r="C211" t="b">
        <v>1</v>
      </c>
      <c r="D211">
        <v>8048</v>
      </c>
      <c r="E211">
        <v>8123</v>
      </c>
      <c r="F211">
        <v>8</v>
      </c>
      <c r="G211">
        <v>9.6</v>
      </c>
      <c r="H211">
        <v>0.83333330000000005</v>
      </c>
      <c r="I211">
        <v>0.1666667</v>
      </c>
      <c r="J211">
        <v>0.54545456000000003</v>
      </c>
    </row>
    <row r="212" spans="1:10" x14ac:dyDescent="0.3">
      <c r="A212">
        <v>210</v>
      </c>
      <c r="B212">
        <v>3351</v>
      </c>
      <c r="C212" t="b">
        <v>1</v>
      </c>
      <c r="D212">
        <v>8048</v>
      </c>
      <c r="E212">
        <v>8123</v>
      </c>
      <c r="F212">
        <v>8</v>
      </c>
      <c r="G212">
        <v>9.6</v>
      </c>
      <c r="H212">
        <v>0.83333330000000005</v>
      </c>
      <c r="I212">
        <v>0.1666667</v>
      </c>
      <c r="J212">
        <v>0.54545456000000003</v>
      </c>
    </row>
    <row r="213" spans="1:10" x14ac:dyDescent="0.3">
      <c r="A213">
        <v>211</v>
      </c>
      <c r="B213">
        <v>3367</v>
      </c>
      <c r="C213" t="b">
        <v>1</v>
      </c>
      <c r="D213">
        <v>8048</v>
      </c>
      <c r="E213">
        <v>8117</v>
      </c>
      <c r="F213">
        <v>7.6</v>
      </c>
      <c r="G213">
        <v>9.6</v>
      </c>
      <c r="H213">
        <v>0.7916666</v>
      </c>
      <c r="I213">
        <v>0.20833336999999999</v>
      </c>
      <c r="J213">
        <v>0.55813950000000001</v>
      </c>
    </row>
    <row r="214" spans="1:10" x14ac:dyDescent="0.3">
      <c r="A214">
        <v>212</v>
      </c>
      <c r="B214">
        <v>3382</v>
      </c>
      <c r="C214" t="b">
        <v>1</v>
      </c>
      <c r="D214">
        <v>8048</v>
      </c>
      <c r="E214">
        <v>8117</v>
      </c>
      <c r="F214">
        <v>7.6</v>
      </c>
      <c r="G214">
        <v>9.6</v>
      </c>
      <c r="H214">
        <v>0.7916666</v>
      </c>
      <c r="I214">
        <v>0.20833336999999999</v>
      </c>
      <c r="J214">
        <v>0.55813950000000001</v>
      </c>
    </row>
    <row r="215" spans="1:10" x14ac:dyDescent="0.3">
      <c r="A215">
        <v>213</v>
      </c>
      <c r="B215">
        <v>3398</v>
      </c>
      <c r="C215" t="b">
        <v>1</v>
      </c>
      <c r="D215">
        <v>8048</v>
      </c>
      <c r="E215">
        <v>8123</v>
      </c>
      <c r="F215">
        <v>7.6</v>
      </c>
      <c r="G215">
        <v>9.6</v>
      </c>
      <c r="H215">
        <v>0.7916666</v>
      </c>
      <c r="I215">
        <v>0.20833336999999999</v>
      </c>
      <c r="J215">
        <v>0.55813950000000001</v>
      </c>
    </row>
    <row r="216" spans="1:10" x14ac:dyDescent="0.3">
      <c r="A216">
        <v>214</v>
      </c>
      <c r="B216">
        <v>3414</v>
      </c>
      <c r="C216" t="b">
        <v>1</v>
      </c>
      <c r="D216">
        <v>8048</v>
      </c>
      <c r="E216">
        <v>8129</v>
      </c>
      <c r="F216">
        <v>7.6</v>
      </c>
      <c r="G216">
        <v>9.6</v>
      </c>
      <c r="H216">
        <v>0.7916666</v>
      </c>
      <c r="I216">
        <v>0.20833336999999999</v>
      </c>
      <c r="J216">
        <v>0.55813950000000001</v>
      </c>
    </row>
    <row r="217" spans="1:10" x14ac:dyDescent="0.3">
      <c r="A217">
        <v>215</v>
      </c>
      <c r="B217">
        <v>3430</v>
      </c>
      <c r="C217" t="b">
        <v>1</v>
      </c>
      <c r="D217">
        <v>8048</v>
      </c>
      <c r="E217">
        <v>8123</v>
      </c>
      <c r="F217">
        <v>7.6</v>
      </c>
      <c r="G217">
        <v>9.1999999999999993</v>
      </c>
      <c r="H217">
        <v>0.82608694000000005</v>
      </c>
      <c r="I217">
        <v>0.17391303</v>
      </c>
      <c r="J217">
        <v>0.54761903999999995</v>
      </c>
    </row>
    <row r="218" spans="1:10" x14ac:dyDescent="0.3">
      <c r="A218">
        <v>216</v>
      </c>
      <c r="B218">
        <v>3446</v>
      </c>
      <c r="C218" t="b">
        <v>1</v>
      </c>
      <c r="D218">
        <v>8048</v>
      </c>
      <c r="E218">
        <v>8123</v>
      </c>
      <c r="F218">
        <v>7.6</v>
      </c>
      <c r="G218">
        <v>8.8000000000000007</v>
      </c>
      <c r="H218">
        <v>0.86363630000000002</v>
      </c>
      <c r="I218">
        <v>0.13636366999999999</v>
      </c>
      <c r="J218">
        <v>0.53658539999999999</v>
      </c>
    </row>
    <row r="219" spans="1:10" x14ac:dyDescent="0.3">
      <c r="A219">
        <v>217</v>
      </c>
      <c r="B219">
        <v>3462</v>
      </c>
      <c r="C219" t="b">
        <v>1</v>
      </c>
      <c r="D219">
        <v>8048</v>
      </c>
      <c r="E219">
        <v>8123</v>
      </c>
      <c r="F219">
        <v>7.6</v>
      </c>
      <c r="G219">
        <v>8.4</v>
      </c>
      <c r="H219">
        <v>0.90476190000000001</v>
      </c>
      <c r="I219">
        <v>9.5238069999999994E-2</v>
      </c>
      <c r="J219">
        <v>0.52500000000000002</v>
      </c>
    </row>
    <row r="220" spans="1:10" x14ac:dyDescent="0.3">
      <c r="A220">
        <v>218</v>
      </c>
      <c r="B220">
        <v>3478</v>
      </c>
      <c r="C220" t="b">
        <v>1</v>
      </c>
      <c r="D220">
        <v>8048</v>
      </c>
      <c r="E220">
        <v>8117</v>
      </c>
      <c r="F220">
        <v>7.6</v>
      </c>
      <c r="G220">
        <v>8</v>
      </c>
      <c r="H220">
        <v>0.95</v>
      </c>
      <c r="I220">
        <v>5.0000012000000003E-2</v>
      </c>
      <c r="J220">
        <v>0.51282050000000001</v>
      </c>
    </row>
    <row r="221" spans="1:10" x14ac:dyDescent="0.3">
      <c r="A221">
        <v>219</v>
      </c>
      <c r="B221">
        <v>3493</v>
      </c>
      <c r="C221" t="b">
        <v>1</v>
      </c>
      <c r="D221">
        <v>8048</v>
      </c>
      <c r="E221">
        <v>8123</v>
      </c>
      <c r="F221">
        <v>7.6</v>
      </c>
      <c r="G221">
        <v>8</v>
      </c>
      <c r="H221">
        <v>0.95</v>
      </c>
      <c r="I221">
        <v>5.0000012000000003E-2</v>
      </c>
      <c r="J221">
        <v>0.51282050000000001</v>
      </c>
    </row>
    <row r="222" spans="1:10" x14ac:dyDescent="0.3">
      <c r="A222">
        <v>220</v>
      </c>
      <c r="B222">
        <v>3509</v>
      </c>
      <c r="C222" t="b">
        <v>1</v>
      </c>
      <c r="D222">
        <v>8048</v>
      </c>
      <c r="E222">
        <v>8129</v>
      </c>
      <c r="F222">
        <v>7.6</v>
      </c>
      <c r="G222">
        <v>8</v>
      </c>
      <c r="H222">
        <v>0.95</v>
      </c>
      <c r="I222">
        <v>5.0000012000000003E-2</v>
      </c>
      <c r="J222">
        <v>0.51282050000000001</v>
      </c>
    </row>
    <row r="223" spans="1:10" x14ac:dyDescent="0.3">
      <c r="A223">
        <v>221</v>
      </c>
      <c r="B223">
        <v>3525</v>
      </c>
      <c r="C223" t="b">
        <v>1</v>
      </c>
      <c r="D223">
        <v>8042</v>
      </c>
      <c r="E223">
        <v>8117</v>
      </c>
      <c r="F223">
        <v>7.6</v>
      </c>
      <c r="G223">
        <v>8</v>
      </c>
      <c r="H223">
        <v>0.95</v>
      </c>
      <c r="I223">
        <v>5.0000012000000003E-2</v>
      </c>
      <c r="J223">
        <v>0.51282050000000001</v>
      </c>
    </row>
    <row r="224" spans="1:10" x14ac:dyDescent="0.3">
      <c r="A224">
        <v>222</v>
      </c>
      <c r="B224">
        <v>3541</v>
      </c>
      <c r="C224" t="b">
        <v>1</v>
      </c>
      <c r="D224">
        <v>8048</v>
      </c>
      <c r="E224">
        <v>8129</v>
      </c>
      <c r="F224">
        <v>7.6</v>
      </c>
      <c r="G224">
        <v>8</v>
      </c>
      <c r="H224">
        <v>0.95</v>
      </c>
      <c r="I224">
        <v>5.0000012000000003E-2</v>
      </c>
      <c r="J224">
        <v>0.51282050000000001</v>
      </c>
    </row>
    <row r="225" spans="1:10" x14ac:dyDescent="0.3">
      <c r="A225">
        <v>223</v>
      </c>
      <c r="B225">
        <v>3556</v>
      </c>
      <c r="C225" t="b">
        <v>1</v>
      </c>
      <c r="D225">
        <v>8048</v>
      </c>
      <c r="E225">
        <v>8134</v>
      </c>
      <c r="F225">
        <v>8</v>
      </c>
      <c r="G225">
        <v>8.4</v>
      </c>
      <c r="H225">
        <v>0.95238100000000003</v>
      </c>
      <c r="I225">
        <v>4.7619003999999999E-2</v>
      </c>
      <c r="J225">
        <v>0.51219510000000001</v>
      </c>
    </row>
    <row r="226" spans="1:10" x14ac:dyDescent="0.3">
      <c r="A226">
        <v>224</v>
      </c>
      <c r="B226">
        <v>3572</v>
      </c>
      <c r="C226" t="b">
        <v>1</v>
      </c>
      <c r="D226">
        <v>8048</v>
      </c>
      <c r="E226">
        <v>8123</v>
      </c>
      <c r="F226">
        <v>8</v>
      </c>
      <c r="G226">
        <v>8.8000000000000007</v>
      </c>
      <c r="H226">
        <v>0.90909090000000004</v>
      </c>
      <c r="I226">
        <v>9.0909110000000001E-2</v>
      </c>
      <c r="J226">
        <v>0.52380954999999996</v>
      </c>
    </row>
    <row r="227" spans="1:10" x14ac:dyDescent="0.3">
      <c r="A227">
        <v>225</v>
      </c>
      <c r="B227">
        <v>3588</v>
      </c>
      <c r="C227" t="b">
        <v>1</v>
      </c>
      <c r="D227">
        <v>8048</v>
      </c>
      <c r="E227">
        <v>8123</v>
      </c>
      <c r="F227">
        <v>8</v>
      </c>
      <c r="G227">
        <v>8.8000000000000007</v>
      </c>
      <c r="H227">
        <v>0.90909090000000004</v>
      </c>
      <c r="I227">
        <v>9.0909110000000001E-2</v>
      </c>
      <c r="J227">
        <v>0.52380954999999996</v>
      </c>
    </row>
    <row r="228" spans="1:10" x14ac:dyDescent="0.3">
      <c r="A228">
        <v>226</v>
      </c>
      <c r="B228">
        <v>3604</v>
      </c>
      <c r="C228" t="b">
        <v>1</v>
      </c>
      <c r="D228">
        <v>8042</v>
      </c>
      <c r="E228">
        <v>8123</v>
      </c>
      <c r="F228">
        <v>8</v>
      </c>
      <c r="G228">
        <v>8.8000000000000007</v>
      </c>
      <c r="H228">
        <v>0.90909090000000004</v>
      </c>
      <c r="I228">
        <v>9.0909110000000001E-2</v>
      </c>
      <c r="J228">
        <v>0.52380954999999996</v>
      </c>
    </row>
    <row r="229" spans="1:10" x14ac:dyDescent="0.3">
      <c r="A229">
        <v>227</v>
      </c>
      <c r="B229">
        <v>3619</v>
      </c>
      <c r="C229" t="b">
        <v>1</v>
      </c>
      <c r="D229">
        <v>8048</v>
      </c>
      <c r="E229">
        <v>8129</v>
      </c>
      <c r="F229">
        <v>8</v>
      </c>
      <c r="G229">
        <v>8.8000000000000007</v>
      </c>
      <c r="H229">
        <v>0.90909090000000004</v>
      </c>
      <c r="I229">
        <v>9.0909110000000001E-2</v>
      </c>
      <c r="J229">
        <v>0.52380954999999996</v>
      </c>
    </row>
    <row r="230" spans="1:10" x14ac:dyDescent="0.3">
      <c r="A230">
        <v>228</v>
      </c>
      <c r="B230">
        <v>3635</v>
      </c>
      <c r="C230" t="b">
        <v>1</v>
      </c>
      <c r="D230">
        <v>8048</v>
      </c>
      <c r="E230">
        <v>8123</v>
      </c>
      <c r="F230">
        <v>8</v>
      </c>
      <c r="G230">
        <v>8.8000000000000007</v>
      </c>
      <c r="H230">
        <v>0.90909090000000004</v>
      </c>
      <c r="I230">
        <v>9.0909110000000001E-2</v>
      </c>
      <c r="J230">
        <v>0.52380954999999996</v>
      </c>
    </row>
    <row r="231" spans="1:10" x14ac:dyDescent="0.3">
      <c r="A231">
        <v>229</v>
      </c>
      <c r="B231">
        <v>3651</v>
      </c>
      <c r="C231" t="b">
        <v>1</v>
      </c>
      <c r="D231">
        <v>8042</v>
      </c>
      <c r="E231">
        <v>8123</v>
      </c>
      <c r="F231">
        <v>8</v>
      </c>
      <c r="G231">
        <v>8.8000000000000007</v>
      </c>
      <c r="H231">
        <v>0.90909090000000004</v>
      </c>
      <c r="I231">
        <v>9.0909110000000001E-2</v>
      </c>
      <c r="J231">
        <v>0.52380954999999996</v>
      </c>
    </row>
    <row r="232" spans="1:10" x14ac:dyDescent="0.3">
      <c r="A232">
        <v>230</v>
      </c>
      <c r="B232">
        <v>3667</v>
      </c>
      <c r="C232" t="b">
        <v>1</v>
      </c>
      <c r="D232">
        <v>8042</v>
      </c>
      <c r="E232">
        <v>8129</v>
      </c>
      <c r="F232">
        <v>7.6</v>
      </c>
      <c r="G232">
        <v>8.8000000000000007</v>
      </c>
      <c r="H232">
        <v>0.86363630000000002</v>
      </c>
      <c r="I232">
        <v>0.13636366999999999</v>
      </c>
      <c r="J232">
        <v>0.53658539999999999</v>
      </c>
    </row>
    <row r="233" spans="1:10" x14ac:dyDescent="0.3">
      <c r="A233">
        <v>231</v>
      </c>
      <c r="B233">
        <v>3683</v>
      </c>
      <c r="C233" t="b">
        <v>1</v>
      </c>
      <c r="D233">
        <v>8037</v>
      </c>
      <c r="E233">
        <v>8123</v>
      </c>
      <c r="F233">
        <v>7.2</v>
      </c>
      <c r="G233">
        <v>8.8000000000000007</v>
      </c>
      <c r="H233">
        <v>0.81818175000000004</v>
      </c>
      <c r="I233">
        <v>0.18181822</v>
      </c>
      <c r="J233">
        <v>0.55000000000000004</v>
      </c>
    </row>
    <row r="234" spans="1:10" x14ac:dyDescent="0.3">
      <c r="A234">
        <v>232</v>
      </c>
      <c r="B234">
        <v>3699</v>
      </c>
      <c r="C234" t="b">
        <v>1</v>
      </c>
      <c r="D234">
        <v>8042</v>
      </c>
      <c r="E234">
        <v>8123</v>
      </c>
      <c r="F234">
        <v>6.8</v>
      </c>
      <c r="G234">
        <v>8.8000000000000007</v>
      </c>
      <c r="H234">
        <v>0.77272724999999998</v>
      </c>
      <c r="I234">
        <v>0.22727272000000001</v>
      </c>
      <c r="J234">
        <v>0.56410260000000001</v>
      </c>
    </row>
    <row r="235" spans="1:10" x14ac:dyDescent="0.3">
      <c r="A235">
        <v>233</v>
      </c>
      <c r="B235">
        <v>3715</v>
      </c>
      <c r="C235" t="b">
        <v>1</v>
      </c>
      <c r="D235">
        <v>8042</v>
      </c>
      <c r="E235">
        <v>8123</v>
      </c>
      <c r="F235">
        <v>6.4</v>
      </c>
      <c r="G235">
        <v>8.8000000000000007</v>
      </c>
      <c r="H235">
        <v>0.72727275000000002</v>
      </c>
      <c r="I235">
        <v>0.27272728000000002</v>
      </c>
      <c r="J235">
        <v>0.57894736999999996</v>
      </c>
    </row>
    <row r="236" spans="1:10" x14ac:dyDescent="0.3">
      <c r="A236">
        <v>234</v>
      </c>
      <c r="B236">
        <v>3730</v>
      </c>
      <c r="C236" t="b">
        <v>1</v>
      </c>
      <c r="D236">
        <v>8042</v>
      </c>
      <c r="E236">
        <v>8123</v>
      </c>
      <c r="F236">
        <v>6</v>
      </c>
      <c r="G236">
        <v>8.8000000000000007</v>
      </c>
      <c r="H236">
        <v>0.68181820000000004</v>
      </c>
      <c r="I236">
        <v>0.31818183999999999</v>
      </c>
      <c r="J236">
        <v>0.59459459999999997</v>
      </c>
    </row>
    <row r="237" spans="1:10" x14ac:dyDescent="0.3">
      <c r="A237">
        <v>235</v>
      </c>
      <c r="B237">
        <v>3746</v>
      </c>
      <c r="C237" t="b">
        <v>1</v>
      </c>
      <c r="D237">
        <v>8042</v>
      </c>
      <c r="E237">
        <v>8123</v>
      </c>
      <c r="F237">
        <v>5.6</v>
      </c>
      <c r="G237">
        <v>8.8000000000000007</v>
      </c>
      <c r="H237">
        <v>0.63636360000000003</v>
      </c>
      <c r="I237">
        <v>0.36363636999999999</v>
      </c>
      <c r="J237">
        <v>0.61111115999999999</v>
      </c>
    </row>
    <row r="238" spans="1:10" x14ac:dyDescent="0.3">
      <c r="A238">
        <v>236</v>
      </c>
      <c r="B238">
        <v>3762</v>
      </c>
      <c r="C238" t="b">
        <v>1</v>
      </c>
      <c r="D238">
        <v>8048</v>
      </c>
      <c r="E238">
        <v>8129</v>
      </c>
      <c r="F238">
        <v>5.2</v>
      </c>
      <c r="G238">
        <v>8.8000000000000007</v>
      </c>
      <c r="H238">
        <v>0.59090905999999999</v>
      </c>
      <c r="I238">
        <v>0.40909094000000001</v>
      </c>
      <c r="J238">
        <v>0.62857145000000003</v>
      </c>
    </row>
    <row r="239" spans="1:10" x14ac:dyDescent="0.3">
      <c r="A239">
        <v>237</v>
      </c>
      <c r="B239">
        <v>3778</v>
      </c>
      <c r="C239" t="b">
        <v>1</v>
      </c>
      <c r="D239">
        <v>8042</v>
      </c>
      <c r="E239">
        <v>8129</v>
      </c>
      <c r="F239">
        <v>4.8</v>
      </c>
      <c r="G239">
        <v>8.8000000000000007</v>
      </c>
      <c r="H239">
        <v>0.54545456000000003</v>
      </c>
      <c r="I239">
        <v>0.45454544000000002</v>
      </c>
      <c r="J239">
        <v>0.64705884000000002</v>
      </c>
    </row>
    <row r="240" spans="1:10" x14ac:dyDescent="0.3">
      <c r="A240">
        <v>238</v>
      </c>
      <c r="B240">
        <v>3793</v>
      </c>
      <c r="C240" t="b">
        <v>1</v>
      </c>
      <c r="D240">
        <v>8042</v>
      </c>
      <c r="E240">
        <v>8129</v>
      </c>
      <c r="F240">
        <v>4.4000000000000004</v>
      </c>
      <c r="G240">
        <v>8.8000000000000007</v>
      </c>
      <c r="H240">
        <v>0.5</v>
      </c>
      <c r="I240">
        <v>0.5</v>
      </c>
      <c r="J240">
        <v>0.6666666</v>
      </c>
    </row>
    <row r="241" spans="1:10" x14ac:dyDescent="0.3">
      <c r="A241">
        <v>239</v>
      </c>
      <c r="B241">
        <v>3809</v>
      </c>
      <c r="C241" t="b">
        <v>1</v>
      </c>
      <c r="D241">
        <v>8048</v>
      </c>
      <c r="E241">
        <v>8129</v>
      </c>
      <c r="F241">
        <v>4</v>
      </c>
      <c r="G241">
        <v>8.8000000000000007</v>
      </c>
      <c r="H241">
        <v>0.45454544000000002</v>
      </c>
      <c r="I241">
        <v>0.54545456000000003</v>
      </c>
      <c r="J241">
        <v>0.6875</v>
      </c>
    </row>
    <row r="242" spans="1:10" x14ac:dyDescent="0.3">
      <c r="A242">
        <v>240</v>
      </c>
      <c r="B242">
        <v>3825</v>
      </c>
      <c r="C242" t="b">
        <v>1</v>
      </c>
      <c r="D242">
        <v>8048</v>
      </c>
      <c r="E242">
        <v>8129</v>
      </c>
      <c r="F242">
        <v>4</v>
      </c>
      <c r="G242">
        <v>9.1999999999999993</v>
      </c>
      <c r="H242">
        <v>0.43478262000000001</v>
      </c>
      <c r="I242">
        <v>0.56521739999999998</v>
      </c>
      <c r="J242">
        <v>0.69696970000000003</v>
      </c>
    </row>
    <row r="243" spans="1:10" x14ac:dyDescent="0.3">
      <c r="A243">
        <v>241</v>
      </c>
      <c r="B243">
        <v>3841</v>
      </c>
      <c r="C243" t="b">
        <v>1</v>
      </c>
      <c r="D243">
        <v>8048</v>
      </c>
      <c r="E243">
        <v>8123</v>
      </c>
      <c r="F243">
        <v>4</v>
      </c>
      <c r="G243">
        <v>9.6</v>
      </c>
      <c r="H243">
        <v>0.41666666000000002</v>
      </c>
      <c r="I243">
        <v>0.5833334</v>
      </c>
      <c r="J243">
        <v>0.70588240000000002</v>
      </c>
    </row>
    <row r="244" spans="1:10" x14ac:dyDescent="0.3">
      <c r="A244">
        <v>242</v>
      </c>
      <c r="B244">
        <v>3856</v>
      </c>
      <c r="C244" t="b">
        <v>1</v>
      </c>
      <c r="D244">
        <v>8037</v>
      </c>
      <c r="E244">
        <v>8123</v>
      </c>
      <c r="F244">
        <v>4</v>
      </c>
      <c r="G244">
        <v>10</v>
      </c>
      <c r="H244">
        <v>0.4</v>
      </c>
      <c r="I244">
        <v>0.6</v>
      </c>
      <c r="J244">
        <v>0.71428572999999995</v>
      </c>
    </row>
    <row r="245" spans="1:10" x14ac:dyDescent="0.3">
      <c r="A245">
        <v>243</v>
      </c>
      <c r="B245">
        <v>3872</v>
      </c>
      <c r="C245" t="b">
        <v>1</v>
      </c>
      <c r="D245">
        <v>8042</v>
      </c>
      <c r="E245">
        <v>8123</v>
      </c>
      <c r="F245">
        <v>4</v>
      </c>
      <c r="G245">
        <v>10</v>
      </c>
      <c r="H245">
        <v>0.4</v>
      </c>
      <c r="I245">
        <v>0.6</v>
      </c>
      <c r="J245">
        <v>0.71428572999999995</v>
      </c>
    </row>
    <row r="246" spans="1:10" x14ac:dyDescent="0.3">
      <c r="A246">
        <v>244</v>
      </c>
      <c r="B246">
        <v>3888</v>
      </c>
      <c r="C246" t="b">
        <v>1</v>
      </c>
      <c r="D246">
        <v>8042</v>
      </c>
      <c r="E246">
        <v>8123</v>
      </c>
      <c r="F246">
        <v>3.6</v>
      </c>
      <c r="G246">
        <v>10</v>
      </c>
      <c r="H246">
        <v>0.35999998</v>
      </c>
      <c r="I246">
        <v>0.64</v>
      </c>
      <c r="J246">
        <v>0.73529409999999995</v>
      </c>
    </row>
    <row r="247" spans="1:10" x14ac:dyDescent="0.3">
      <c r="A247">
        <v>245</v>
      </c>
      <c r="B247">
        <v>3903</v>
      </c>
      <c r="C247" t="b">
        <v>1</v>
      </c>
      <c r="D247">
        <v>8042</v>
      </c>
      <c r="E247">
        <v>8123</v>
      </c>
      <c r="F247">
        <v>3.6</v>
      </c>
      <c r="G247">
        <v>10</v>
      </c>
      <c r="H247">
        <v>0.35999998</v>
      </c>
      <c r="I247">
        <v>0.64</v>
      </c>
      <c r="J247">
        <v>0.73529409999999995</v>
      </c>
    </row>
    <row r="248" spans="1:10" x14ac:dyDescent="0.3">
      <c r="A248">
        <v>246</v>
      </c>
      <c r="B248">
        <v>3919</v>
      </c>
      <c r="C248" t="b">
        <v>1</v>
      </c>
      <c r="D248">
        <v>8042</v>
      </c>
      <c r="E248">
        <v>8123</v>
      </c>
      <c r="F248">
        <v>3.6</v>
      </c>
      <c r="G248">
        <v>10</v>
      </c>
      <c r="H248">
        <v>0.35999998</v>
      </c>
      <c r="I248">
        <v>0.64</v>
      </c>
      <c r="J248">
        <v>0.73529409999999995</v>
      </c>
    </row>
    <row r="249" spans="1:10" x14ac:dyDescent="0.3">
      <c r="A249">
        <v>247</v>
      </c>
      <c r="B249">
        <v>3935</v>
      </c>
      <c r="C249" t="b">
        <v>1</v>
      </c>
      <c r="D249">
        <v>8042</v>
      </c>
      <c r="E249">
        <v>8129</v>
      </c>
      <c r="F249">
        <v>3.6</v>
      </c>
      <c r="G249">
        <v>10</v>
      </c>
      <c r="H249">
        <v>0.35999998</v>
      </c>
      <c r="I249">
        <v>0.64</v>
      </c>
      <c r="J249">
        <v>0.73529409999999995</v>
      </c>
    </row>
    <row r="250" spans="1:10" x14ac:dyDescent="0.3">
      <c r="A250">
        <v>248</v>
      </c>
      <c r="B250">
        <v>3951</v>
      </c>
      <c r="C250" t="b">
        <v>1</v>
      </c>
      <c r="D250">
        <v>8042</v>
      </c>
      <c r="E250">
        <v>8129</v>
      </c>
      <c r="F250">
        <v>3.6</v>
      </c>
      <c r="G250">
        <v>10</v>
      </c>
      <c r="H250">
        <v>0.35999998</v>
      </c>
      <c r="I250">
        <v>0.64</v>
      </c>
      <c r="J250">
        <v>0.73529409999999995</v>
      </c>
    </row>
    <row r="251" spans="1:10" x14ac:dyDescent="0.3">
      <c r="A251">
        <v>249</v>
      </c>
      <c r="B251">
        <v>3966</v>
      </c>
      <c r="C251" t="b">
        <v>1</v>
      </c>
      <c r="D251">
        <v>8048</v>
      </c>
      <c r="E251">
        <v>8123</v>
      </c>
      <c r="F251">
        <v>3.6</v>
      </c>
      <c r="G251">
        <v>10</v>
      </c>
      <c r="H251">
        <v>0.35999998</v>
      </c>
      <c r="I251">
        <v>0.64</v>
      </c>
      <c r="J251">
        <v>0.73529409999999995</v>
      </c>
    </row>
    <row r="252" spans="1:10" x14ac:dyDescent="0.3">
      <c r="A252">
        <v>250</v>
      </c>
      <c r="B252">
        <v>3982</v>
      </c>
      <c r="C252" t="b">
        <v>1</v>
      </c>
      <c r="D252">
        <v>8048</v>
      </c>
      <c r="E252">
        <v>8123</v>
      </c>
      <c r="F252">
        <v>3.6</v>
      </c>
      <c r="G252">
        <v>10</v>
      </c>
      <c r="H252">
        <v>0.35999998</v>
      </c>
      <c r="I252">
        <v>0.64</v>
      </c>
      <c r="J252">
        <v>0.73529409999999995</v>
      </c>
    </row>
    <row r="253" spans="1:10" x14ac:dyDescent="0.3">
      <c r="A253">
        <v>251</v>
      </c>
      <c r="B253">
        <v>3998</v>
      </c>
      <c r="C253" t="b">
        <v>1</v>
      </c>
      <c r="D253">
        <v>8048</v>
      </c>
      <c r="E253">
        <v>8123</v>
      </c>
      <c r="F253">
        <v>4</v>
      </c>
      <c r="G253">
        <v>10</v>
      </c>
      <c r="H253">
        <v>0.4</v>
      </c>
      <c r="I253">
        <v>0.6</v>
      </c>
      <c r="J253">
        <v>0.71428572999999995</v>
      </c>
    </row>
    <row r="254" spans="1:10" x14ac:dyDescent="0.3">
      <c r="A254">
        <v>252</v>
      </c>
      <c r="B254">
        <v>4014</v>
      </c>
      <c r="C254" t="b">
        <v>1</v>
      </c>
      <c r="D254">
        <v>8048</v>
      </c>
      <c r="E254">
        <v>8129</v>
      </c>
      <c r="F254">
        <v>4.4000000000000004</v>
      </c>
      <c r="G254">
        <v>10</v>
      </c>
      <c r="H254">
        <v>0.44</v>
      </c>
      <c r="I254">
        <v>0.56000000000000005</v>
      </c>
      <c r="J254">
        <v>0.69444450000000002</v>
      </c>
    </row>
    <row r="255" spans="1:10" x14ac:dyDescent="0.3">
      <c r="A255">
        <v>253</v>
      </c>
      <c r="B255">
        <v>4030</v>
      </c>
      <c r="C255" t="b">
        <v>1</v>
      </c>
      <c r="D255">
        <v>8048</v>
      </c>
      <c r="E255">
        <v>8123</v>
      </c>
      <c r="F255">
        <v>4.8</v>
      </c>
      <c r="G255">
        <v>9.6</v>
      </c>
      <c r="H255">
        <v>0.5</v>
      </c>
      <c r="I255">
        <v>0.5</v>
      </c>
      <c r="J255">
        <v>0.66666669999999995</v>
      </c>
    </row>
    <row r="256" spans="1:10" x14ac:dyDescent="0.3">
      <c r="A256">
        <v>254</v>
      </c>
      <c r="B256">
        <v>4046</v>
      </c>
      <c r="C256" t="b">
        <v>1</v>
      </c>
      <c r="D256">
        <v>8042</v>
      </c>
      <c r="E256">
        <v>8123</v>
      </c>
      <c r="F256">
        <v>5.2</v>
      </c>
      <c r="G256">
        <v>9.1999999999999993</v>
      </c>
      <c r="H256">
        <v>0.56521739999999998</v>
      </c>
      <c r="I256">
        <v>0.43478262000000001</v>
      </c>
      <c r="J256">
        <v>0.63888889999999998</v>
      </c>
    </row>
    <row r="257" spans="1:10" x14ac:dyDescent="0.3">
      <c r="A257">
        <v>255</v>
      </c>
      <c r="B257">
        <v>4062</v>
      </c>
      <c r="C257" t="b">
        <v>1</v>
      </c>
      <c r="D257">
        <v>8048</v>
      </c>
      <c r="E257">
        <v>8123</v>
      </c>
      <c r="F257">
        <v>5.2</v>
      </c>
      <c r="G257">
        <v>8.8000000000000007</v>
      </c>
      <c r="H257">
        <v>0.59090905999999999</v>
      </c>
      <c r="I257">
        <v>0.40909094000000001</v>
      </c>
      <c r="J257">
        <v>0.62857145000000003</v>
      </c>
    </row>
    <row r="258" spans="1:10" x14ac:dyDescent="0.3">
      <c r="A258">
        <v>256</v>
      </c>
      <c r="B258">
        <v>4078</v>
      </c>
      <c r="C258" t="b">
        <v>1</v>
      </c>
      <c r="D258">
        <v>8048</v>
      </c>
      <c r="E258">
        <v>8123</v>
      </c>
      <c r="F258">
        <v>5.2</v>
      </c>
      <c r="G258">
        <v>8.4</v>
      </c>
      <c r="H258">
        <v>0.61904764000000001</v>
      </c>
      <c r="I258">
        <v>0.38095240000000002</v>
      </c>
      <c r="J258">
        <v>0.61764704999999998</v>
      </c>
    </row>
    <row r="259" spans="1:10" x14ac:dyDescent="0.3">
      <c r="A259">
        <v>257</v>
      </c>
      <c r="B259">
        <v>4094</v>
      </c>
      <c r="C259" t="b">
        <v>1</v>
      </c>
      <c r="D259">
        <v>8048</v>
      </c>
      <c r="E259">
        <v>8123</v>
      </c>
      <c r="F259">
        <v>5.2</v>
      </c>
      <c r="G259">
        <v>8</v>
      </c>
      <c r="H259">
        <v>0.65</v>
      </c>
      <c r="I259">
        <v>0.35000002000000002</v>
      </c>
      <c r="J259">
        <v>0.60606059999999995</v>
      </c>
    </row>
    <row r="260" spans="1:10" x14ac:dyDescent="0.3">
      <c r="A260">
        <v>258</v>
      </c>
      <c r="B260">
        <v>4110</v>
      </c>
      <c r="C260" t="b">
        <v>1</v>
      </c>
      <c r="D260">
        <v>8048</v>
      </c>
      <c r="E260">
        <v>8123</v>
      </c>
      <c r="F260">
        <v>5.2</v>
      </c>
      <c r="G260">
        <v>8</v>
      </c>
      <c r="H260">
        <v>0.65</v>
      </c>
      <c r="I260">
        <v>0.35000002000000002</v>
      </c>
      <c r="J260">
        <v>0.60606059999999995</v>
      </c>
    </row>
    <row r="261" spans="1:10" x14ac:dyDescent="0.3">
      <c r="A261">
        <v>259</v>
      </c>
      <c r="B261">
        <v>4126</v>
      </c>
      <c r="C261" t="b">
        <v>1</v>
      </c>
      <c r="D261">
        <v>8048</v>
      </c>
      <c r="E261">
        <v>8129</v>
      </c>
      <c r="F261">
        <v>5.6</v>
      </c>
      <c r="G261">
        <v>8</v>
      </c>
      <c r="H261">
        <v>0.7</v>
      </c>
      <c r="I261">
        <v>0.3</v>
      </c>
      <c r="J261">
        <v>0.58823526000000004</v>
      </c>
    </row>
    <row r="262" spans="1:10" x14ac:dyDescent="0.3">
      <c r="A262">
        <v>260</v>
      </c>
      <c r="B262">
        <v>4142</v>
      </c>
      <c r="C262" t="b">
        <v>1</v>
      </c>
      <c r="D262">
        <v>8048</v>
      </c>
      <c r="E262">
        <v>8123</v>
      </c>
      <c r="F262">
        <v>6</v>
      </c>
      <c r="G262">
        <v>8</v>
      </c>
      <c r="H262">
        <v>0.75</v>
      </c>
      <c r="I262">
        <v>0.25</v>
      </c>
      <c r="J262">
        <v>0.57142859999999995</v>
      </c>
    </row>
    <row r="263" spans="1:10" x14ac:dyDescent="0.3">
      <c r="A263">
        <v>261</v>
      </c>
      <c r="B263">
        <v>4158</v>
      </c>
      <c r="C263" t="b">
        <v>1</v>
      </c>
      <c r="D263">
        <v>8048</v>
      </c>
      <c r="E263">
        <v>8123</v>
      </c>
      <c r="F263">
        <v>6.4</v>
      </c>
      <c r="G263">
        <v>8</v>
      </c>
      <c r="H263">
        <v>0.8</v>
      </c>
      <c r="I263">
        <v>0.19999998999999999</v>
      </c>
      <c r="J263">
        <v>0.55555560000000004</v>
      </c>
    </row>
    <row r="264" spans="1:10" x14ac:dyDescent="0.3">
      <c r="A264">
        <v>262</v>
      </c>
      <c r="B264">
        <v>4174</v>
      </c>
      <c r="C264" t="b">
        <v>1</v>
      </c>
      <c r="D264">
        <v>8048</v>
      </c>
      <c r="E264">
        <v>8123</v>
      </c>
      <c r="F264">
        <v>6.8</v>
      </c>
      <c r="G264">
        <v>8</v>
      </c>
      <c r="H264">
        <v>0.85</v>
      </c>
      <c r="I264">
        <v>0.14999998</v>
      </c>
      <c r="J264">
        <v>0.54054049999999998</v>
      </c>
    </row>
    <row r="265" spans="1:10" x14ac:dyDescent="0.3">
      <c r="A265">
        <v>263</v>
      </c>
      <c r="B265">
        <v>4190</v>
      </c>
      <c r="C265" t="b">
        <v>1</v>
      </c>
      <c r="D265">
        <v>8048</v>
      </c>
      <c r="E265">
        <v>8129</v>
      </c>
      <c r="F265">
        <v>7.2</v>
      </c>
      <c r="G265">
        <v>8</v>
      </c>
      <c r="H265">
        <v>0.9</v>
      </c>
      <c r="I265">
        <v>0.10000002400000001</v>
      </c>
      <c r="J265">
        <v>0.5263158</v>
      </c>
    </row>
    <row r="266" spans="1:10" x14ac:dyDescent="0.3">
      <c r="A266">
        <v>264</v>
      </c>
      <c r="B266">
        <v>4206</v>
      </c>
      <c r="C266" t="b">
        <v>1</v>
      </c>
      <c r="D266">
        <v>8042</v>
      </c>
      <c r="E266">
        <v>8123</v>
      </c>
      <c r="F266">
        <v>7.6</v>
      </c>
      <c r="G266">
        <v>8</v>
      </c>
      <c r="H266">
        <v>0.95</v>
      </c>
      <c r="I266">
        <v>5.0000012000000003E-2</v>
      </c>
      <c r="J266">
        <v>0.51282050000000001</v>
      </c>
    </row>
    <row r="267" spans="1:10" x14ac:dyDescent="0.3">
      <c r="A267">
        <v>265</v>
      </c>
      <c r="B267">
        <v>4222</v>
      </c>
      <c r="C267" t="b">
        <v>1</v>
      </c>
      <c r="D267">
        <v>8042</v>
      </c>
      <c r="E267">
        <v>8123</v>
      </c>
      <c r="F267">
        <v>8</v>
      </c>
      <c r="G267">
        <v>8</v>
      </c>
      <c r="H267">
        <v>1</v>
      </c>
      <c r="I267">
        <v>0</v>
      </c>
      <c r="J267">
        <v>0.5</v>
      </c>
    </row>
    <row r="268" spans="1:10" x14ac:dyDescent="0.3">
      <c r="A268">
        <v>266</v>
      </c>
      <c r="B268">
        <v>4238</v>
      </c>
      <c r="C268" t="b">
        <v>1</v>
      </c>
      <c r="D268">
        <v>8048</v>
      </c>
      <c r="E268">
        <v>8123</v>
      </c>
      <c r="F268">
        <v>8</v>
      </c>
      <c r="G268">
        <v>8</v>
      </c>
      <c r="H268">
        <v>1</v>
      </c>
      <c r="I268">
        <v>0</v>
      </c>
      <c r="J268">
        <v>0.5</v>
      </c>
    </row>
    <row r="269" spans="1:10" x14ac:dyDescent="0.3">
      <c r="A269">
        <v>267</v>
      </c>
      <c r="B269">
        <v>4254</v>
      </c>
      <c r="C269" t="b">
        <v>1</v>
      </c>
      <c r="D269">
        <v>8048</v>
      </c>
      <c r="E269">
        <v>8129</v>
      </c>
      <c r="F269">
        <v>8</v>
      </c>
      <c r="G269">
        <v>8</v>
      </c>
      <c r="H269">
        <v>1</v>
      </c>
      <c r="I269">
        <v>0</v>
      </c>
      <c r="J269">
        <v>0.5</v>
      </c>
    </row>
    <row r="270" spans="1:10" x14ac:dyDescent="0.3">
      <c r="A270">
        <v>268</v>
      </c>
      <c r="B270">
        <v>4269</v>
      </c>
      <c r="C270" t="b">
        <v>1</v>
      </c>
      <c r="D270">
        <v>8048</v>
      </c>
      <c r="E270">
        <v>8123</v>
      </c>
      <c r="F270">
        <v>8</v>
      </c>
      <c r="G270">
        <v>8</v>
      </c>
      <c r="H270">
        <v>1</v>
      </c>
      <c r="I270">
        <v>0</v>
      </c>
      <c r="J270">
        <v>0.5</v>
      </c>
    </row>
    <row r="271" spans="1:10" x14ac:dyDescent="0.3">
      <c r="A271">
        <v>269</v>
      </c>
      <c r="B271">
        <v>4285</v>
      </c>
      <c r="C271" t="b">
        <v>1</v>
      </c>
      <c r="D271">
        <v>8048</v>
      </c>
      <c r="E271">
        <v>8123</v>
      </c>
      <c r="F271">
        <v>8</v>
      </c>
      <c r="G271">
        <v>8</v>
      </c>
      <c r="H271">
        <v>1</v>
      </c>
      <c r="I271">
        <v>0</v>
      </c>
      <c r="J271">
        <v>0.5</v>
      </c>
    </row>
    <row r="272" spans="1:10" x14ac:dyDescent="0.3">
      <c r="A272">
        <v>270</v>
      </c>
      <c r="B272">
        <v>4302</v>
      </c>
      <c r="C272" t="b">
        <v>1</v>
      </c>
      <c r="D272">
        <v>8042</v>
      </c>
      <c r="E272">
        <v>8123</v>
      </c>
      <c r="F272">
        <v>8</v>
      </c>
      <c r="G272">
        <v>8</v>
      </c>
      <c r="H272">
        <v>1</v>
      </c>
      <c r="I272">
        <v>0</v>
      </c>
      <c r="J272">
        <v>0.5</v>
      </c>
    </row>
    <row r="273" spans="1:10" x14ac:dyDescent="0.3">
      <c r="A273">
        <v>271</v>
      </c>
      <c r="B273">
        <v>4317</v>
      </c>
      <c r="C273" t="b">
        <v>1</v>
      </c>
      <c r="D273">
        <v>8048</v>
      </c>
      <c r="E273">
        <v>8117</v>
      </c>
      <c r="F273">
        <v>8</v>
      </c>
      <c r="G273">
        <v>8</v>
      </c>
      <c r="H273">
        <v>1</v>
      </c>
      <c r="I273">
        <v>0</v>
      </c>
      <c r="J273">
        <v>0.5</v>
      </c>
    </row>
    <row r="274" spans="1:10" x14ac:dyDescent="0.3">
      <c r="A274">
        <v>272</v>
      </c>
      <c r="B274">
        <v>4333</v>
      </c>
      <c r="C274" t="b">
        <v>1</v>
      </c>
      <c r="D274">
        <v>8042</v>
      </c>
      <c r="E274">
        <v>8123</v>
      </c>
      <c r="F274">
        <v>8</v>
      </c>
      <c r="G274">
        <v>8</v>
      </c>
      <c r="H274">
        <v>1</v>
      </c>
      <c r="I274">
        <v>0</v>
      </c>
      <c r="J274">
        <v>0.5</v>
      </c>
    </row>
    <row r="275" spans="1:10" x14ac:dyDescent="0.3">
      <c r="A275">
        <v>273</v>
      </c>
      <c r="B275">
        <v>4349</v>
      </c>
      <c r="C275" t="b">
        <v>1</v>
      </c>
      <c r="D275">
        <v>8048</v>
      </c>
      <c r="E275">
        <v>8123</v>
      </c>
      <c r="F275">
        <v>8</v>
      </c>
      <c r="G275">
        <v>8</v>
      </c>
      <c r="H275">
        <v>1</v>
      </c>
      <c r="I275">
        <v>0</v>
      </c>
      <c r="J275">
        <v>0.5</v>
      </c>
    </row>
    <row r="276" spans="1:10" x14ac:dyDescent="0.3">
      <c r="A276">
        <v>274</v>
      </c>
      <c r="B276">
        <v>4365</v>
      </c>
      <c r="C276" t="b">
        <v>1</v>
      </c>
      <c r="D276">
        <v>8048</v>
      </c>
      <c r="E276">
        <v>8117</v>
      </c>
      <c r="F276">
        <v>8</v>
      </c>
      <c r="G276">
        <v>8</v>
      </c>
      <c r="H276">
        <v>1</v>
      </c>
      <c r="I276">
        <v>0</v>
      </c>
      <c r="J276">
        <v>0.5</v>
      </c>
    </row>
    <row r="277" spans="1:10" x14ac:dyDescent="0.3">
      <c r="A277">
        <v>275</v>
      </c>
      <c r="B277">
        <v>4381</v>
      </c>
      <c r="C277" t="b">
        <v>1</v>
      </c>
      <c r="D277">
        <v>8048</v>
      </c>
      <c r="E277">
        <v>8123</v>
      </c>
      <c r="F277">
        <v>8</v>
      </c>
      <c r="G277">
        <v>8</v>
      </c>
      <c r="H277">
        <v>1</v>
      </c>
      <c r="I277">
        <v>0</v>
      </c>
      <c r="J277">
        <v>0.5</v>
      </c>
    </row>
    <row r="278" spans="1:10" x14ac:dyDescent="0.3">
      <c r="A278">
        <v>276</v>
      </c>
      <c r="B278">
        <v>4397</v>
      </c>
      <c r="C278" t="b">
        <v>1</v>
      </c>
      <c r="D278">
        <v>8048</v>
      </c>
      <c r="E278">
        <v>8123</v>
      </c>
      <c r="F278">
        <v>8</v>
      </c>
      <c r="G278">
        <v>8</v>
      </c>
      <c r="H278">
        <v>1</v>
      </c>
      <c r="I278">
        <v>0</v>
      </c>
      <c r="J278">
        <v>0.5</v>
      </c>
    </row>
    <row r="279" spans="1:10" x14ac:dyDescent="0.3">
      <c r="A279">
        <v>277</v>
      </c>
      <c r="B279">
        <v>4413</v>
      </c>
      <c r="C279" t="b">
        <v>1</v>
      </c>
      <c r="D279">
        <v>8048</v>
      </c>
      <c r="E279">
        <v>8123</v>
      </c>
      <c r="F279">
        <v>8</v>
      </c>
      <c r="G279">
        <v>8</v>
      </c>
      <c r="H279">
        <v>1</v>
      </c>
      <c r="I279">
        <v>0</v>
      </c>
      <c r="J279">
        <v>0.5</v>
      </c>
    </row>
    <row r="280" spans="1:10" x14ac:dyDescent="0.3">
      <c r="A280">
        <v>278</v>
      </c>
      <c r="B280">
        <v>4429</v>
      </c>
      <c r="C280" t="b">
        <v>1</v>
      </c>
      <c r="D280">
        <v>8048</v>
      </c>
      <c r="E280">
        <v>8123</v>
      </c>
      <c r="F280">
        <v>8</v>
      </c>
      <c r="G280">
        <v>8</v>
      </c>
      <c r="H280">
        <v>1</v>
      </c>
      <c r="I280">
        <v>0</v>
      </c>
      <c r="J280">
        <v>0.5</v>
      </c>
    </row>
    <row r="281" spans="1:10" x14ac:dyDescent="0.3">
      <c r="A281">
        <v>279</v>
      </c>
      <c r="B281">
        <v>4445</v>
      </c>
      <c r="C281" t="b">
        <v>1</v>
      </c>
      <c r="D281">
        <v>8048</v>
      </c>
      <c r="E281">
        <v>8123</v>
      </c>
      <c r="F281">
        <v>8</v>
      </c>
      <c r="G281">
        <v>8</v>
      </c>
      <c r="H281">
        <v>1</v>
      </c>
      <c r="I281">
        <v>0</v>
      </c>
      <c r="J281">
        <v>0.5</v>
      </c>
    </row>
    <row r="282" spans="1:10" x14ac:dyDescent="0.3">
      <c r="A282">
        <v>280</v>
      </c>
      <c r="B282">
        <v>4461</v>
      </c>
      <c r="C282" t="b">
        <v>1</v>
      </c>
      <c r="D282">
        <v>8048</v>
      </c>
      <c r="E282">
        <v>8123</v>
      </c>
      <c r="F282">
        <v>8</v>
      </c>
      <c r="G282">
        <v>8</v>
      </c>
      <c r="H282">
        <v>1</v>
      </c>
      <c r="I282">
        <v>0</v>
      </c>
      <c r="J282">
        <v>0.5</v>
      </c>
    </row>
    <row r="283" spans="1:10" x14ac:dyDescent="0.3">
      <c r="A283">
        <v>281</v>
      </c>
      <c r="B283">
        <v>4477</v>
      </c>
      <c r="C283" t="b">
        <v>1</v>
      </c>
      <c r="D283">
        <v>8042</v>
      </c>
      <c r="E283">
        <v>8123</v>
      </c>
      <c r="F283">
        <v>8</v>
      </c>
      <c r="G283">
        <v>8</v>
      </c>
      <c r="H283">
        <v>1</v>
      </c>
      <c r="I283">
        <v>0</v>
      </c>
      <c r="J283">
        <v>0.5</v>
      </c>
    </row>
    <row r="284" spans="1:10" x14ac:dyDescent="0.3">
      <c r="A284">
        <v>282</v>
      </c>
      <c r="B284">
        <v>4493</v>
      </c>
      <c r="C284" t="b">
        <v>1</v>
      </c>
      <c r="D284">
        <v>8042</v>
      </c>
      <c r="E284">
        <v>8123</v>
      </c>
      <c r="F284">
        <v>8</v>
      </c>
      <c r="G284">
        <v>8</v>
      </c>
      <c r="H284">
        <v>1</v>
      </c>
      <c r="I284">
        <v>0</v>
      </c>
      <c r="J284">
        <v>0.5</v>
      </c>
    </row>
    <row r="285" spans="1:10" x14ac:dyDescent="0.3">
      <c r="A285">
        <v>283</v>
      </c>
      <c r="B285">
        <v>4509</v>
      </c>
      <c r="C285" t="b">
        <v>1</v>
      </c>
      <c r="D285">
        <v>8042</v>
      </c>
      <c r="E285">
        <v>8123</v>
      </c>
      <c r="F285">
        <v>7.6</v>
      </c>
      <c r="G285">
        <v>8</v>
      </c>
      <c r="H285">
        <v>0.95</v>
      </c>
      <c r="I285">
        <v>5.0000012000000003E-2</v>
      </c>
      <c r="J285">
        <v>0.51282050000000001</v>
      </c>
    </row>
    <row r="286" spans="1:10" x14ac:dyDescent="0.3">
      <c r="A286">
        <v>284</v>
      </c>
      <c r="B286">
        <v>4525</v>
      </c>
      <c r="C286" t="b">
        <v>1</v>
      </c>
      <c r="D286">
        <v>8048</v>
      </c>
      <c r="E286">
        <v>8123</v>
      </c>
      <c r="F286">
        <v>7.2</v>
      </c>
      <c r="G286">
        <v>8</v>
      </c>
      <c r="H286">
        <v>0.9</v>
      </c>
      <c r="I286">
        <v>0.10000002400000001</v>
      </c>
      <c r="J286">
        <v>0.5263158</v>
      </c>
    </row>
    <row r="287" spans="1:10" x14ac:dyDescent="0.3">
      <c r="A287">
        <v>285</v>
      </c>
      <c r="B287">
        <v>4540</v>
      </c>
      <c r="C287" t="b">
        <v>1</v>
      </c>
      <c r="D287">
        <v>8048</v>
      </c>
      <c r="E287">
        <v>8129</v>
      </c>
      <c r="F287">
        <v>6.8</v>
      </c>
      <c r="G287">
        <v>8</v>
      </c>
      <c r="H287">
        <v>0.85</v>
      </c>
      <c r="I287">
        <v>0.14999998</v>
      </c>
      <c r="J287">
        <v>0.54054049999999998</v>
      </c>
    </row>
    <row r="288" spans="1:10" x14ac:dyDescent="0.3">
      <c r="A288">
        <v>286</v>
      </c>
      <c r="B288">
        <v>4556</v>
      </c>
      <c r="C288" t="b">
        <v>1</v>
      </c>
      <c r="D288">
        <v>8048</v>
      </c>
      <c r="E288">
        <v>8129</v>
      </c>
      <c r="F288">
        <v>6.8</v>
      </c>
      <c r="G288">
        <v>8</v>
      </c>
      <c r="H288">
        <v>0.85</v>
      </c>
      <c r="I288">
        <v>0.14999998</v>
      </c>
      <c r="J288">
        <v>0.54054049999999998</v>
      </c>
    </row>
    <row r="289" spans="1:10" x14ac:dyDescent="0.3">
      <c r="A289">
        <v>287</v>
      </c>
      <c r="B289">
        <v>4572</v>
      </c>
      <c r="C289" t="b">
        <v>1</v>
      </c>
      <c r="D289">
        <v>8048</v>
      </c>
      <c r="E289">
        <v>8123</v>
      </c>
      <c r="F289">
        <v>6.8</v>
      </c>
      <c r="G289">
        <v>8</v>
      </c>
      <c r="H289">
        <v>0.85</v>
      </c>
      <c r="I289">
        <v>0.14999998</v>
      </c>
      <c r="J289">
        <v>0.54054049999999998</v>
      </c>
    </row>
    <row r="290" spans="1:10" x14ac:dyDescent="0.3">
      <c r="A290">
        <v>288</v>
      </c>
      <c r="B290">
        <v>4588</v>
      </c>
      <c r="C290" t="b">
        <v>1</v>
      </c>
      <c r="D290">
        <v>8048</v>
      </c>
      <c r="E290">
        <v>8123</v>
      </c>
      <c r="F290">
        <v>6.8</v>
      </c>
      <c r="G290">
        <v>8</v>
      </c>
      <c r="H290">
        <v>0.85</v>
      </c>
      <c r="I290">
        <v>0.14999998</v>
      </c>
      <c r="J290">
        <v>0.54054049999999998</v>
      </c>
    </row>
    <row r="291" spans="1:10" x14ac:dyDescent="0.3">
      <c r="A291">
        <v>289</v>
      </c>
      <c r="B291">
        <v>4604</v>
      </c>
      <c r="C291" t="b">
        <v>1</v>
      </c>
      <c r="D291">
        <v>8048</v>
      </c>
      <c r="E291">
        <v>8123</v>
      </c>
      <c r="F291">
        <v>6.8</v>
      </c>
      <c r="G291">
        <v>8</v>
      </c>
      <c r="H291">
        <v>0.85</v>
      </c>
      <c r="I291">
        <v>0.14999998</v>
      </c>
      <c r="J291">
        <v>0.54054049999999998</v>
      </c>
    </row>
    <row r="292" spans="1:10" x14ac:dyDescent="0.3">
      <c r="A292">
        <v>290</v>
      </c>
      <c r="B292">
        <v>4620</v>
      </c>
      <c r="C292" t="b">
        <v>1</v>
      </c>
      <c r="D292">
        <v>8048</v>
      </c>
      <c r="E292">
        <v>8123</v>
      </c>
      <c r="F292">
        <v>6.8</v>
      </c>
      <c r="G292">
        <v>8</v>
      </c>
      <c r="H292">
        <v>0.85</v>
      </c>
      <c r="I292">
        <v>0.14999998</v>
      </c>
      <c r="J292">
        <v>0.54054049999999998</v>
      </c>
    </row>
    <row r="293" spans="1:10" x14ac:dyDescent="0.3">
      <c r="A293">
        <v>291</v>
      </c>
      <c r="B293">
        <v>4636</v>
      </c>
      <c r="C293" t="b">
        <v>1</v>
      </c>
      <c r="D293">
        <v>8042</v>
      </c>
      <c r="E293">
        <v>8123</v>
      </c>
      <c r="F293">
        <v>6.8</v>
      </c>
      <c r="G293">
        <v>8</v>
      </c>
      <c r="H293">
        <v>0.85</v>
      </c>
      <c r="I293">
        <v>0.14999998</v>
      </c>
      <c r="J293">
        <v>0.54054049999999998</v>
      </c>
    </row>
    <row r="294" spans="1:10" x14ac:dyDescent="0.3">
      <c r="A294">
        <v>292</v>
      </c>
      <c r="B294">
        <v>4652</v>
      </c>
      <c r="C294" t="b">
        <v>1</v>
      </c>
      <c r="D294">
        <v>8048</v>
      </c>
      <c r="E294">
        <v>8123</v>
      </c>
      <c r="F294">
        <v>6.8</v>
      </c>
      <c r="G294">
        <v>8</v>
      </c>
      <c r="H294">
        <v>0.85</v>
      </c>
      <c r="I294">
        <v>0.14999998</v>
      </c>
      <c r="J294">
        <v>0.54054049999999998</v>
      </c>
    </row>
    <row r="295" spans="1:10" x14ac:dyDescent="0.3">
      <c r="A295">
        <v>293</v>
      </c>
      <c r="B295">
        <v>4668</v>
      </c>
      <c r="C295" t="b">
        <v>1</v>
      </c>
      <c r="D295">
        <v>8042</v>
      </c>
      <c r="E295">
        <v>8129</v>
      </c>
      <c r="F295">
        <v>6.8</v>
      </c>
      <c r="G295">
        <v>8</v>
      </c>
      <c r="H295">
        <v>0.85</v>
      </c>
      <c r="I295">
        <v>0.14999998</v>
      </c>
      <c r="J295">
        <v>0.54054049999999998</v>
      </c>
    </row>
    <row r="296" spans="1:10" x14ac:dyDescent="0.3">
      <c r="A296">
        <v>294</v>
      </c>
      <c r="B296">
        <v>4684</v>
      </c>
      <c r="C296" t="b">
        <v>1</v>
      </c>
      <c r="D296">
        <v>8048</v>
      </c>
      <c r="E296">
        <v>8123</v>
      </c>
      <c r="F296">
        <v>6.8</v>
      </c>
      <c r="G296">
        <v>8</v>
      </c>
      <c r="H296">
        <v>0.85</v>
      </c>
      <c r="I296">
        <v>0.14999998</v>
      </c>
      <c r="J296">
        <v>0.54054049999999998</v>
      </c>
    </row>
    <row r="297" spans="1:10" x14ac:dyDescent="0.3">
      <c r="A297">
        <v>295</v>
      </c>
      <c r="B297">
        <v>4700</v>
      </c>
      <c r="C297" t="b">
        <v>1</v>
      </c>
      <c r="D297">
        <v>8048</v>
      </c>
      <c r="E297">
        <v>8123</v>
      </c>
      <c r="F297">
        <v>6.8</v>
      </c>
      <c r="G297">
        <v>8</v>
      </c>
      <c r="H297">
        <v>0.85</v>
      </c>
      <c r="I297">
        <v>0.14999998</v>
      </c>
      <c r="J297">
        <v>0.54054049999999998</v>
      </c>
    </row>
    <row r="298" spans="1:10" x14ac:dyDescent="0.3">
      <c r="A298">
        <v>296</v>
      </c>
      <c r="B298">
        <v>4716</v>
      </c>
      <c r="C298" t="b">
        <v>1</v>
      </c>
      <c r="D298">
        <v>8048</v>
      </c>
      <c r="E298">
        <v>8129</v>
      </c>
      <c r="F298">
        <v>6.8</v>
      </c>
      <c r="G298">
        <v>8</v>
      </c>
      <c r="H298">
        <v>0.85</v>
      </c>
      <c r="I298">
        <v>0.14999998</v>
      </c>
      <c r="J298">
        <v>0.54054049999999998</v>
      </c>
    </row>
    <row r="299" spans="1:10" x14ac:dyDescent="0.3">
      <c r="A299">
        <v>297</v>
      </c>
      <c r="B299">
        <v>4732</v>
      </c>
      <c r="C299" t="b">
        <v>1</v>
      </c>
      <c r="D299">
        <v>8048</v>
      </c>
      <c r="E299">
        <v>8129</v>
      </c>
      <c r="F299">
        <v>6.8</v>
      </c>
      <c r="G299">
        <v>8.4</v>
      </c>
      <c r="H299">
        <v>0.80952389999999996</v>
      </c>
      <c r="I299">
        <v>0.19047612999999999</v>
      </c>
      <c r="J299">
        <v>0.55263156000000002</v>
      </c>
    </row>
    <row r="300" spans="1:10" x14ac:dyDescent="0.3">
      <c r="A300">
        <v>298</v>
      </c>
      <c r="B300">
        <v>4748</v>
      </c>
      <c r="C300" t="b">
        <v>1</v>
      </c>
      <c r="D300">
        <v>8048</v>
      </c>
      <c r="E300">
        <v>8123</v>
      </c>
      <c r="F300">
        <v>7.2</v>
      </c>
      <c r="G300">
        <v>8.4</v>
      </c>
      <c r="H300">
        <v>0.85714287</v>
      </c>
      <c r="I300">
        <v>0.14285712</v>
      </c>
      <c r="J300">
        <v>0.53846150000000004</v>
      </c>
    </row>
    <row r="301" spans="1:10" x14ac:dyDescent="0.3">
      <c r="A301">
        <v>299</v>
      </c>
      <c r="B301">
        <v>4763</v>
      </c>
      <c r="C301" t="b">
        <v>1</v>
      </c>
      <c r="D301">
        <v>8048</v>
      </c>
      <c r="E301">
        <v>8123</v>
      </c>
      <c r="F301">
        <v>7.6</v>
      </c>
      <c r="G301">
        <v>8.4</v>
      </c>
      <c r="H301">
        <v>0.90476190000000001</v>
      </c>
      <c r="I301">
        <v>9.5238069999999994E-2</v>
      </c>
      <c r="J301">
        <v>0.52500000000000002</v>
      </c>
    </row>
    <row r="302" spans="1:10" x14ac:dyDescent="0.3">
      <c r="A302">
        <v>300</v>
      </c>
      <c r="B302">
        <v>4779</v>
      </c>
      <c r="C302" t="b">
        <v>1</v>
      </c>
      <c r="D302">
        <v>8048</v>
      </c>
      <c r="E302">
        <v>8129</v>
      </c>
      <c r="F302">
        <v>8</v>
      </c>
      <c r="G302">
        <v>8.8000000000000007</v>
      </c>
      <c r="H302">
        <v>0.90909090000000004</v>
      </c>
      <c r="I302">
        <v>9.0909110000000001E-2</v>
      </c>
      <c r="J302">
        <v>0.52380954999999996</v>
      </c>
    </row>
    <row r="303" spans="1:10" x14ac:dyDescent="0.3">
      <c r="A303">
        <v>301</v>
      </c>
      <c r="B303">
        <v>4795</v>
      </c>
      <c r="C303" t="b">
        <v>1</v>
      </c>
      <c r="D303">
        <v>8048</v>
      </c>
      <c r="E303">
        <v>8123</v>
      </c>
      <c r="F303">
        <v>8</v>
      </c>
      <c r="G303">
        <v>8.8000000000000007</v>
      </c>
      <c r="H303">
        <v>0.90909090000000004</v>
      </c>
      <c r="I303">
        <v>9.0909110000000001E-2</v>
      </c>
      <c r="J303">
        <v>0.52380954999999996</v>
      </c>
    </row>
    <row r="304" spans="1:10" x14ac:dyDescent="0.3">
      <c r="A304">
        <v>302</v>
      </c>
      <c r="B304">
        <v>4811</v>
      </c>
      <c r="C304" t="b">
        <v>1</v>
      </c>
      <c r="D304">
        <v>8048</v>
      </c>
      <c r="E304">
        <v>8129</v>
      </c>
      <c r="F304">
        <v>8</v>
      </c>
      <c r="G304">
        <v>8.8000000000000007</v>
      </c>
      <c r="H304">
        <v>0.90909090000000004</v>
      </c>
      <c r="I304">
        <v>9.0909110000000001E-2</v>
      </c>
      <c r="J304">
        <v>0.52380954999999996</v>
      </c>
    </row>
    <row r="305" spans="1:10" x14ac:dyDescent="0.3">
      <c r="A305">
        <v>303</v>
      </c>
      <c r="B305">
        <v>4827</v>
      </c>
      <c r="C305" t="b">
        <v>1</v>
      </c>
      <c r="D305">
        <v>8048</v>
      </c>
      <c r="E305">
        <v>8123</v>
      </c>
      <c r="F305">
        <v>8</v>
      </c>
      <c r="G305">
        <v>8.8000000000000007</v>
      </c>
      <c r="H305">
        <v>0.90909090000000004</v>
      </c>
      <c r="I305">
        <v>9.0909110000000001E-2</v>
      </c>
      <c r="J305">
        <v>0.52380954999999996</v>
      </c>
    </row>
    <row r="306" spans="1:10" x14ac:dyDescent="0.3">
      <c r="A306">
        <v>304</v>
      </c>
      <c r="B306">
        <v>4843</v>
      </c>
      <c r="C306" t="b">
        <v>1</v>
      </c>
      <c r="D306">
        <v>8048</v>
      </c>
      <c r="E306">
        <v>8123</v>
      </c>
      <c r="F306">
        <v>8</v>
      </c>
      <c r="G306">
        <v>8.8000000000000007</v>
      </c>
      <c r="H306">
        <v>0.90909090000000004</v>
      </c>
      <c r="I306">
        <v>9.0909110000000001E-2</v>
      </c>
      <c r="J306">
        <v>0.52380954999999996</v>
      </c>
    </row>
    <row r="307" spans="1:10" x14ac:dyDescent="0.3">
      <c r="A307">
        <v>305</v>
      </c>
      <c r="B307">
        <v>4859</v>
      </c>
      <c r="C307" t="b">
        <v>1</v>
      </c>
      <c r="D307">
        <v>8048</v>
      </c>
      <c r="E307">
        <v>8123</v>
      </c>
      <c r="F307">
        <v>8</v>
      </c>
      <c r="G307">
        <v>8.8000000000000007</v>
      </c>
      <c r="H307">
        <v>0.90909090000000004</v>
      </c>
      <c r="I307">
        <v>9.0909110000000001E-2</v>
      </c>
      <c r="J307">
        <v>0.52380954999999996</v>
      </c>
    </row>
    <row r="308" spans="1:10" x14ac:dyDescent="0.3">
      <c r="A308">
        <v>306</v>
      </c>
      <c r="B308">
        <v>4875</v>
      </c>
      <c r="C308" t="b">
        <v>1</v>
      </c>
      <c r="D308">
        <v>8042</v>
      </c>
      <c r="E308">
        <v>8123</v>
      </c>
      <c r="F308">
        <v>8</v>
      </c>
      <c r="G308">
        <v>8.8000000000000007</v>
      </c>
      <c r="H308">
        <v>0.90909090000000004</v>
      </c>
      <c r="I308">
        <v>9.0909110000000001E-2</v>
      </c>
      <c r="J308">
        <v>0.52380954999999996</v>
      </c>
    </row>
    <row r="309" spans="1:10" x14ac:dyDescent="0.3">
      <c r="A309">
        <v>307</v>
      </c>
      <c r="B309">
        <v>4891</v>
      </c>
      <c r="C309" t="b">
        <v>1</v>
      </c>
      <c r="D309">
        <v>8042</v>
      </c>
      <c r="E309">
        <v>8123</v>
      </c>
      <c r="F309">
        <v>8</v>
      </c>
      <c r="G309">
        <v>8.8000000000000007</v>
      </c>
      <c r="H309">
        <v>0.90909090000000004</v>
      </c>
      <c r="I309">
        <v>9.0909110000000001E-2</v>
      </c>
      <c r="J309">
        <v>0.52380954999999996</v>
      </c>
    </row>
    <row r="310" spans="1:10" x14ac:dyDescent="0.3">
      <c r="A310">
        <v>308</v>
      </c>
      <c r="B310">
        <v>4906</v>
      </c>
      <c r="C310" t="b">
        <v>1</v>
      </c>
      <c r="D310">
        <v>8048</v>
      </c>
      <c r="E310">
        <v>8123</v>
      </c>
      <c r="F310">
        <v>8</v>
      </c>
      <c r="G310">
        <v>8.8000000000000007</v>
      </c>
      <c r="H310">
        <v>0.90909090000000004</v>
      </c>
      <c r="I310">
        <v>9.0909110000000001E-2</v>
      </c>
      <c r="J310">
        <v>0.52380954999999996</v>
      </c>
    </row>
    <row r="311" spans="1:10" x14ac:dyDescent="0.3">
      <c r="A311">
        <v>309</v>
      </c>
      <c r="B311">
        <v>4922</v>
      </c>
      <c r="C311" t="b">
        <v>1</v>
      </c>
      <c r="D311">
        <v>8048</v>
      </c>
      <c r="E311">
        <v>8123</v>
      </c>
      <c r="F311">
        <v>8</v>
      </c>
      <c r="G311">
        <v>8.8000000000000007</v>
      </c>
      <c r="H311">
        <v>0.90909090000000004</v>
      </c>
      <c r="I311">
        <v>9.0909110000000001E-2</v>
      </c>
      <c r="J311">
        <v>0.52380954999999996</v>
      </c>
    </row>
    <row r="312" spans="1:10" x14ac:dyDescent="0.3">
      <c r="A312">
        <v>310</v>
      </c>
      <c r="B312">
        <v>4938</v>
      </c>
      <c r="C312" t="b">
        <v>1</v>
      </c>
      <c r="D312">
        <v>8048</v>
      </c>
      <c r="E312">
        <v>8123</v>
      </c>
      <c r="F312">
        <v>8</v>
      </c>
      <c r="G312">
        <v>8.8000000000000007</v>
      </c>
      <c r="H312">
        <v>0.90909090000000004</v>
      </c>
      <c r="I312">
        <v>9.0909110000000001E-2</v>
      </c>
      <c r="J312">
        <v>0.52380954999999996</v>
      </c>
    </row>
    <row r="313" spans="1:10" x14ac:dyDescent="0.3">
      <c r="A313">
        <v>311</v>
      </c>
      <c r="B313">
        <v>4954</v>
      </c>
      <c r="C313" t="b">
        <v>1</v>
      </c>
      <c r="D313">
        <v>8048</v>
      </c>
      <c r="E313">
        <v>8129</v>
      </c>
      <c r="F313">
        <v>8</v>
      </c>
      <c r="G313">
        <v>8.8000000000000007</v>
      </c>
      <c r="H313">
        <v>0.90909090000000004</v>
      </c>
      <c r="I313">
        <v>9.0909110000000001E-2</v>
      </c>
      <c r="J313">
        <v>0.52380954999999996</v>
      </c>
    </row>
    <row r="314" spans="1:10" x14ac:dyDescent="0.3">
      <c r="A314">
        <v>312</v>
      </c>
      <c r="B314">
        <v>4970</v>
      </c>
      <c r="C314" t="b">
        <v>1</v>
      </c>
      <c r="D314">
        <v>8048</v>
      </c>
      <c r="E314">
        <v>8123</v>
      </c>
      <c r="F314">
        <v>8</v>
      </c>
      <c r="G314">
        <v>8.4</v>
      </c>
      <c r="H314">
        <v>0.95238100000000003</v>
      </c>
      <c r="I314">
        <v>4.7619003999999999E-2</v>
      </c>
      <c r="J314">
        <v>0.51219510000000001</v>
      </c>
    </row>
    <row r="315" spans="1:10" x14ac:dyDescent="0.3">
      <c r="A315">
        <v>313</v>
      </c>
      <c r="B315">
        <v>4986</v>
      </c>
      <c r="C315" t="b">
        <v>1</v>
      </c>
      <c r="D315">
        <v>8048</v>
      </c>
      <c r="E315">
        <v>8123</v>
      </c>
      <c r="F315">
        <v>8</v>
      </c>
      <c r="G315">
        <v>8.4</v>
      </c>
      <c r="H315">
        <v>0.95238100000000003</v>
      </c>
      <c r="I315">
        <v>4.7619003999999999E-2</v>
      </c>
      <c r="J315">
        <v>0.51219510000000001</v>
      </c>
    </row>
    <row r="316" spans="1:10" x14ac:dyDescent="0.3">
      <c r="A316">
        <v>314</v>
      </c>
      <c r="B316">
        <v>5001</v>
      </c>
      <c r="C316" t="b">
        <v>1</v>
      </c>
      <c r="D316">
        <v>8048</v>
      </c>
      <c r="E316">
        <v>8129</v>
      </c>
      <c r="F316">
        <v>8</v>
      </c>
      <c r="G316">
        <v>8.4</v>
      </c>
      <c r="H316">
        <v>0.95238100000000003</v>
      </c>
      <c r="I316">
        <v>4.7619003999999999E-2</v>
      </c>
      <c r="J316">
        <v>0.51219510000000001</v>
      </c>
    </row>
    <row r="317" spans="1:10" x14ac:dyDescent="0.3">
      <c r="A317">
        <v>315</v>
      </c>
      <c r="B317">
        <v>5017</v>
      </c>
      <c r="C317" t="b">
        <v>1</v>
      </c>
      <c r="D317">
        <v>8048</v>
      </c>
      <c r="E317">
        <v>8123</v>
      </c>
      <c r="F317">
        <v>8</v>
      </c>
      <c r="G317">
        <v>8</v>
      </c>
      <c r="H317">
        <v>1</v>
      </c>
      <c r="I317">
        <v>0</v>
      </c>
      <c r="J317">
        <v>0.5</v>
      </c>
    </row>
    <row r="318" spans="1:10" x14ac:dyDescent="0.3">
      <c r="A318">
        <v>316</v>
      </c>
      <c r="B318">
        <v>5033</v>
      </c>
      <c r="C318" t="b">
        <v>1</v>
      </c>
      <c r="D318">
        <v>8042</v>
      </c>
      <c r="E318">
        <v>8123</v>
      </c>
      <c r="F318">
        <v>8</v>
      </c>
      <c r="G318">
        <v>8</v>
      </c>
      <c r="H318">
        <v>1</v>
      </c>
      <c r="I318">
        <v>0</v>
      </c>
      <c r="J318">
        <v>0.5</v>
      </c>
    </row>
    <row r="319" spans="1:10" x14ac:dyDescent="0.3">
      <c r="A319">
        <v>317</v>
      </c>
      <c r="B319">
        <v>5049</v>
      </c>
      <c r="C319" t="b">
        <v>1</v>
      </c>
      <c r="D319">
        <v>8048</v>
      </c>
      <c r="E319">
        <v>8123</v>
      </c>
      <c r="F319">
        <v>8</v>
      </c>
      <c r="G319">
        <v>8</v>
      </c>
      <c r="H319">
        <v>1</v>
      </c>
      <c r="I319">
        <v>0</v>
      </c>
      <c r="J319">
        <v>0.5</v>
      </c>
    </row>
    <row r="320" spans="1:10" x14ac:dyDescent="0.3">
      <c r="A320">
        <v>318</v>
      </c>
      <c r="B320">
        <v>5065</v>
      </c>
      <c r="C320" t="b">
        <v>1</v>
      </c>
      <c r="D320">
        <v>8048</v>
      </c>
      <c r="E320">
        <v>8117</v>
      </c>
      <c r="F320">
        <v>8</v>
      </c>
      <c r="G320">
        <v>8</v>
      </c>
      <c r="H320">
        <v>1</v>
      </c>
      <c r="I320">
        <v>0</v>
      </c>
      <c r="J320">
        <v>0.5</v>
      </c>
    </row>
    <row r="321" spans="1:10" x14ac:dyDescent="0.3">
      <c r="A321">
        <v>319</v>
      </c>
      <c r="B321">
        <v>5081</v>
      </c>
      <c r="C321" t="b">
        <v>1</v>
      </c>
      <c r="D321">
        <v>8042</v>
      </c>
      <c r="E321">
        <v>8123</v>
      </c>
      <c r="F321">
        <v>8</v>
      </c>
      <c r="G321">
        <v>8</v>
      </c>
      <c r="H321">
        <v>1</v>
      </c>
      <c r="I321">
        <v>0</v>
      </c>
      <c r="J321">
        <v>0.5</v>
      </c>
    </row>
    <row r="322" spans="1:10" x14ac:dyDescent="0.3">
      <c r="A322">
        <v>320</v>
      </c>
      <c r="B322">
        <v>5097</v>
      </c>
      <c r="C322" t="b">
        <v>1</v>
      </c>
      <c r="D322">
        <v>8048</v>
      </c>
      <c r="E322">
        <v>8129</v>
      </c>
      <c r="F322">
        <v>8</v>
      </c>
      <c r="G322">
        <v>8</v>
      </c>
      <c r="H322">
        <v>1</v>
      </c>
      <c r="I322">
        <v>0</v>
      </c>
      <c r="J322">
        <v>0.5</v>
      </c>
    </row>
    <row r="323" spans="1:10" x14ac:dyDescent="0.3">
      <c r="A323">
        <v>321</v>
      </c>
      <c r="B323">
        <v>5113</v>
      </c>
      <c r="C323" t="b">
        <v>1</v>
      </c>
      <c r="D323">
        <v>8048</v>
      </c>
      <c r="E323">
        <v>8117</v>
      </c>
      <c r="F323">
        <v>8</v>
      </c>
      <c r="G323">
        <v>8</v>
      </c>
      <c r="H323">
        <v>1</v>
      </c>
      <c r="I323">
        <v>0</v>
      </c>
      <c r="J323">
        <v>0.5</v>
      </c>
    </row>
    <row r="324" spans="1:10" x14ac:dyDescent="0.3">
      <c r="A324">
        <v>322</v>
      </c>
      <c r="B324">
        <v>5129</v>
      </c>
      <c r="C324" t="b">
        <v>1</v>
      </c>
      <c r="D324">
        <v>8042</v>
      </c>
      <c r="E324">
        <v>8117</v>
      </c>
      <c r="F324">
        <v>8</v>
      </c>
      <c r="G324">
        <v>7.6</v>
      </c>
      <c r="H324">
        <v>1.0526316</v>
      </c>
      <c r="I324">
        <v>-5.2631589999999999E-2</v>
      </c>
      <c r="J324">
        <v>0.48717946000000001</v>
      </c>
    </row>
    <row r="325" spans="1:10" x14ac:dyDescent="0.3">
      <c r="A325">
        <v>323</v>
      </c>
      <c r="B325">
        <v>5145</v>
      </c>
      <c r="C325" t="b">
        <v>1</v>
      </c>
      <c r="D325">
        <v>8048</v>
      </c>
      <c r="E325">
        <v>8117</v>
      </c>
      <c r="F325">
        <v>8</v>
      </c>
      <c r="G325">
        <v>7.2</v>
      </c>
      <c r="H325">
        <v>1.1111112000000001</v>
      </c>
      <c r="I325">
        <v>-0.11111114</v>
      </c>
      <c r="J325">
        <v>0.4736842</v>
      </c>
    </row>
    <row r="326" spans="1:10" x14ac:dyDescent="0.3">
      <c r="A326">
        <v>324</v>
      </c>
      <c r="B326">
        <v>5161</v>
      </c>
      <c r="C326" t="b">
        <v>1</v>
      </c>
      <c r="D326">
        <v>8042</v>
      </c>
      <c r="E326">
        <v>8123</v>
      </c>
      <c r="F326">
        <v>8</v>
      </c>
      <c r="G326">
        <v>6.8</v>
      </c>
      <c r="H326">
        <v>1.1764705</v>
      </c>
      <c r="I326">
        <v>-0.17647055</v>
      </c>
      <c r="J326">
        <v>0.45945944999999999</v>
      </c>
    </row>
    <row r="327" spans="1:10" x14ac:dyDescent="0.3">
      <c r="A327">
        <v>325</v>
      </c>
      <c r="B327">
        <v>5177</v>
      </c>
      <c r="C327" t="b">
        <v>1</v>
      </c>
      <c r="D327">
        <v>8048</v>
      </c>
      <c r="E327">
        <v>8123</v>
      </c>
      <c r="F327">
        <v>8</v>
      </c>
      <c r="G327">
        <v>6.4</v>
      </c>
      <c r="H327">
        <v>1.25</v>
      </c>
      <c r="I327">
        <v>-0.24999999000000001</v>
      </c>
      <c r="J327">
        <v>0.44444447999999998</v>
      </c>
    </row>
    <row r="328" spans="1:10" x14ac:dyDescent="0.3">
      <c r="A328">
        <v>326</v>
      </c>
      <c r="B328">
        <v>5193</v>
      </c>
      <c r="C328" t="b">
        <v>1</v>
      </c>
      <c r="D328">
        <v>8042</v>
      </c>
      <c r="E328">
        <v>8117</v>
      </c>
      <c r="F328">
        <v>7.6</v>
      </c>
      <c r="G328">
        <v>6</v>
      </c>
      <c r="H328">
        <v>1.2666667</v>
      </c>
      <c r="I328">
        <v>-0.26666665000000001</v>
      </c>
      <c r="J328">
        <v>0.44117644</v>
      </c>
    </row>
    <row r="329" spans="1:10" x14ac:dyDescent="0.3">
      <c r="A329">
        <v>327</v>
      </c>
      <c r="B329">
        <v>5208</v>
      </c>
      <c r="C329" t="b">
        <v>1</v>
      </c>
      <c r="D329">
        <v>8048</v>
      </c>
      <c r="E329">
        <v>8123</v>
      </c>
      <c r="F329">
        <v>7.6</v>
      </c>
      <c r="G329">
        <v>6</v>
      </c>
      <c r="H329">
        <v>1.2666667</v>
      </c>
      <c r="I329">
        <v>-0.26666665000000001</v>
      </c>
      <c r="J329">
        <v>0.44117644</v>
      </c>
    </row>
    <row r="330" spans="1:10" x14ac:dyDescent="0.3">
      <c r="A330">
        <v>328</v>
      </c>
      <c r="B330">
        <v>5224</v>
      </c>
      <c r="C330" t="b">
        <v>1</v>
      </c>
      <c r="D330">
        <v>8048</v>
      </c>
      <c r="E330">
        <v>8123</v>
      </c>
      <c r="F330">
        <v>7.6</v>
      </c>
      <c r="G330">
        <v>6</v>
      </c>
      <c r="H330">
        <v>1.2666667</v>
      </c>
      <c r="I330">
        <v>-0.26666665000000001</v>
      </c>
      <c r="J330">
        <v>0.44117644</v>
      </c>
    </row>
    <row r="331" spans="1:10" x14ac:dyDescent="0.3">
      <c r="A331">
        <v>329</v>
      </c>
      <c r="B331">
        <v>5240</v>
      </c>
      <c r="C331" t="b">
        <v>1</v>
      </c>
      <c r="D331">
        <v>8048</v>
      </c>
      <c r="E331">
        <v>8123</v>
      </c>
      <c r="F331">
        <v>7.6</v>
      </c>
      <c r="G331">
        <v>6</v>
      </c>
      <c r="H331">
        <v>1.2666667</v>
      </c>
      <c r="I331">
        <v>-0.26666665000000001</v>
      </c>
      <c r="J331">
        <v>0.44117644</v>
      </c>
    </row>
    <row r="332" spans="1:10" x14ac:dyDescent="0.3">
      <c r="A332">
        <v>330</v>
      </c>
      <c r="B332">
        <v>5256</v>
      </c>
      <c r="C332" t="b">
        <v>1</v>
      </c>
      <c r="D332">
        <v>8048</v>
      </c>
      <c r="E332">
        <v>8123</v>
      </c>
      <c r="F332">
        <v>7.6</v>
      </c>
      <c r="G332">
        <v>6</v>
      </c>
      <c r="H332">
        <v>1.2666667</v>
      </c>
      <c r="I332">
        <v>-0.26666665000000001</v>
      </c>
      <c r="J332">
        <v>0.44117644</v>
      </c>
    </row>
    <row r="333" spans="1:10" x14ac:dyDescent="0.3">
      <c r="A333">
        <v>331</v>
      </c>
      <c r="B333">
        <v>5272</v>
      </c>
      <c r="C333" t="b">
        <v>1</v>
      </c>
      <c r="D333">
        <v>8048</v>
      </c>
      <c r="E333">
        <v>8123</v>
      </c>
      <c r="F333">
        <v>7.6</v>
      </c>
      <c r="G333">
        <v>6</v>
      </c>
      <c r="H333">
        <v>1.2666667</v>
      </c>
      <c r="I333">
        <v>-0.26666665000000001</v>
      </c>
      <c r="J333">
        <v>0.44117644</v>
      </c>
    </row>
    <row r="334" spans="1:10" x14ac:dyDescent="0.3">
      <c r="A334">
        <v>332</v>
      </c>
      <c r="B334">
        <v>5288</v>
      </c>
      <c r="C334" t="b">
        <v>1</v>
      </c>
      <c r="D334">
        <v>8054</v>
      </c>
      <c r="E334">
        <v>8117</v>
      </c>
      <c r="F334">
        <v>7.6</v>
      </c>
      <c r="G334">
        <v>6</v>
      </c>
      <c r="H334">
        <v>1.2666667</v>
      </c>
      <c r="I334">
        <v>-0.26666665000000001</v>
      </c>
      <c r="J334">
        <v>0.44117644</v>
      </c>
    </row>
    <row r="335" spans="1:10" x14ac:dyDescent="0.3">
      <c r="A335">
        <v>333</v>
      </c>
      <c r="B335">
        <v>5304</v>
      </c>
      <c r="C335" t="b">
        <v>1</v>
      </c>
      <c r="D335">
        <v>8048</v>
      </c>
      <c r="E335">
        <v>8123</v>
      </c>
      <c r="F335">
        <v>7.6</v>
      </c>
      <c r="G335">
        <v>6</v>
      </c>
      <c r="H335">
        <v>1.2666667</v>
      </c>
      <c r="I335">
        <v>-0.26666665000000001</v>
      </c>
      <c r="J335">
        <v>0.44117644</v>
      </c>
    </row>
    <row r="336" spans="1:10" x14ac:dyDescent="0.3">
      <c r="A336">
        <v>334</v>
      </c>
      <c r="B336">
        <v>5319</v>
      </c>
      <c r="C336" t="b">
        <v>1</v>
      </c>
      <c r="D336">
        <v>8042</v>
      </c>
      <c r="E336">
        <v>8123</v>
      </c>
      <c r="F336">
        <v>7.6</v>
      </c>
      <c r="G336">
        <v>6</v>
      </c>
      <c r="H336">
        <v>1.2666667</v>
      </c>
      <c r="I336">
        <v>-0.26666665000000001</v>
      </c>
      <c r="J336">
        <v>0.44117644</v>
      </c>
    </row>
    <row r="337" spans="1:10" x14ac:dyDescent="0.3">
      <c r="A337">
        <v>335</v>
      </c>
      <c r="B337">
        <v>5335</v>
      </c>
      <c r="C337" t="b">
        <v>1</v>
      </c>
      <c r="D337">
        <v>8048</v>
      </c>
      <c r="E337">
        <v>8123</v>
      </c>
      <c r="F337">
        <v>7.6</v>
      </c>
      <c r="G337">
        <v>6</v>
      </c>
      <c r="H337">
        <v>1.2666667</v>
      </c>
      <c r="I337">
        <v>-0.26666665000000001</v>
      </c>
      <c r="J337">
        <v>0.44117644</v>
      </c>
    </row>
    <row r="338" spans="1:10" x14ac:dyDescent="0.3">
      <c r="A338">
        <v>336</v>
      </c>
      <c r="B338">
        <v>5351</v>
      </c>
      <c r="C338" t="b">
        <v>1</v>
      </c>
      <c r="D338">
        <v>8048</v>
      </c>
      <c r="E338">
        <v>8134</v>
      </c>
      <c r="F338">
        <v>7.6</v>
      </c>
      <c r="G338">
        <v>6</v>
      </c>
      <c r="H338">
        <v>1.2666667</v>
      </c>
      <c r="I338">
        <v>-0.26666665000000001</v>
      </c>
      <c r="J338">
        <v>0.44117644</v>
      </c>
    </row>
    <row r="339" spans="1:10" x14ac:dyDescent="0.3">
      <c r="A339">
        <v>337</v>
      </c>
      <c r="B339">
        <v>5367</v>
      </c>
      <c r="C339" t="b">
        <v>1</v>
      </c>
      <c r="D339">
        <v>8048</v>
      </c>
      <c r="E339">
        <v>8134</v>
      </c>
      <c r="F339">
        <v>7.6</v>
      </c>
      <c r="G339">
        <v>6.4</v>
      </c>
      <c r="H339">
        <v>1.1875</v>
      </c>
      <c r="I339">
        <v>-0.18749996999999999</v>
      </c>
      <c r="J339">
        <v>0.45714285999999998</v>
      </c>
    </row>
    <row r="340" spans="1:10" x14ac:dyDescent="0.3">
      <c r="A340">
        <v>338</v>
      </c>
      <c r="B340">
        <v>5383</v>
      </c>
      <c r="C340" t="b">
        <v>1</v>
      </c>
      <c r="D340">
        <v>8048</v>
      </c>
      <c r="E340">
        <v>8123</v>
      </c>
      <c r="F340">
        <v>7.6</v>
      </c>
      <c r="G340">
        <v>6.8</v>
      </c>
      <c r="H340">
        <v>1.1176470000000001</v>
      </c>
      <c r="I340">
        <v>-0.11764701499999999</v>
      </c>
      <c r="J340">
        <v>0.47222224000000002</v>
      </c>
    </row>
    <row r="341" spans="1:10" x14ac:dyDescent="0.3">
      <c r="A341">
        <v>339</v>
      </c>
      <c r="B341">
        <v>5399</v>
      </c>
      <c r="C341" t="b">
        <v>1</v>
      </c>
      <c r="D341">
        <v>8048</v>
      </c>
      <c r="E341">
        <v>8129</v>
      </c>
      <c r="F341">
        <v>7.6</v>
      </c>
      <c r="G341">
        <v>7.6</v>
      </c>
      <c r="H341">
        <v>1</v>
      </c>
      <c r="I341">
        <v>0</v>
      </c>
      <c r="J341">
        <v>0.5</v>
      </c>
    </row>
    <row r="342" spans="1:10" x14ac:dyDescent="0.3">
      <c r="A342">
        <v>340</v>
      </c>
      <c r="B342">
        <v>5414</v>
      </c>
      <c r="C342" t="b">
        <v>1</v>
      </c>
      <c r="D342">
        <v>8048</v>
      </c>
      <c r="E342">
        <v>8123</v>
      </c>
      <c r="F342">
        <v>7.6</v>
      </c>
      <c r="G342">
        <v>8.4</v>
      </c>
      <c r="H342">
        <v>0.90476190000000001</v>
      </c>
      <c r="I342">
        <v>9.5238069999999994E-2</v>
      </c>
      <c r="J342">
        <v>0.52500000000000002</v>
      </c>
    </row>
    <row r="343" spans="1:10" x14ac:dyDescent="0.3">
      <c r="A343">
        <v>341</v>
      </c>
      <c r="B343">
        <v>5430</v>
      </c>
      <c r="C343" t="b">
        <v>1</v>
      </c>
      <c r="D343">
        <v>8048</v>
      </c>
      <c r="E343">
        <v>8123</v>
      </c>
      <c r="F343">
        <v>8</v>
      </c>
      <c r="G343">
        <v>8.8000000000000007</v>
      </c>
      <c r="H343">
        <v>0.90909090000000004</v>
      </c>
      <c r="I343">
        <v>9.0909110000000001E-2</v>
      </c>
      <c r="J343">
        <v>0.52380954999999996</v>
      </c>
    </row>
    <row r="344" spans="1:10" x14ac:dyDescent="0.3">
      <c r="A344">
        <v>342</v>
      </c>
      <c r="B344">
        <v>5446</v>
      </c>
      <c r="C344" t="b">
        <v>1</v>
      </c>
      <c r="D344">
        <v>8048</v>
      </c>
      <c r="E344">
        <v>8123</v>
      </c>
      <c r="F344">
        <v>8</v>
      </c>
      <c r="G344">
        <v>8.8000000000000007</v>
      </c>
      <c r="H344">
        <v>0.90909090000000004</v>
      </c>
      <c r="I344">
        <v>9.0909110000000001E-2</v>
      </c>
      <c r="J344">
        <v>0.52380954999999996</v>
      </c>
    </row>
    <row r="345" spans="1:10" x14ac:dyDescent="0.3">
      <c r="A345">
        <v>343</v>
      </c>
      <c r="B345">
        <v>5462</v>
      </c>
      <c r="C345" t="b">
        <v>1</v>
      </c>
      <c r="D345">
        <v>8048</v>
      </c>
      <c r="E345">
        <v>8123</v>
      </c>
      <c r="F345">
        <v>8</v>
      </c>
      <c r="G345">
        <v>8.8000000000000007</v>
      </c>
      <c r="H345">
        <v>0.90909090000000004</v>
      </c>
      <c r="I345">
        <v>9.0909110000000001E-2</v>
      </c>
      <c r="J345">
        <v>0.52380954999999996</v>
      </c>
    </row>
    <row r="346" spans="1:10" x14ac:dyDescent="0.3">
      <c r="A346">
        <v>344</v>
      </c>
      <c r="B346">
        <v>5478</v>
      </c>
      <c r="C346" t="b">
        <v>1</v>
      </c>
      <c r="D346">
        <v>8048</v>
      </c>
      <c r="E346">
        <v>8123</v>
      </c>
      <c r="F346">
        <v>8</v>
      </c>
      <c r="G346">
        <v>8.8000000000000007</v>
      </c>
      <c r="H346">
        <v>0.90909090000000004</v>
      </c>
      <c r="I346">
        <v>9.0909110000000001E-2</v>
      </c>
      <c r="J346">
        <v>0.52380954999999996</v>
      </c>
    </row>
    <row r="347" spans="1:10" x14ac:dyDescent="0.3">
      <c r="A347">
        <v>345</v>
      </c>
      <c r="B347">
        <v>5493</v>
      </c>
      <c r="C347" t="b">
        <v>1</v>
      </c>
      <c r="D347">
        <v>8048</v>
      </c>
      <c r="E347">
        <v>8129</v>
      </c>
      <c r="F347">
        <v>8</v>
      </c>
      <c r="G347">
        <v>8.8000000000000007</v>
      </c>
      <c r="H347">
        <v>0.90909090000000004</v>
      </c>
      <c r="I347">
        <v>9.0909110000000001E-2</v>
      </c>
      <c r="J347">
        <v>0.52380954999999996</v>
      </c>
    </row>
    <row r="348" spans="1:10" x14ac:dyDescent="0.3">
      <c r="A348">
        <v>346</v>
      </c>
      <c r="B348">
        <v>5509</v>
      </c>
      <c r="C348" t="b">
        <v>1</v>
      </c>
      <c r="D348">
        <v>8042</v>
      </c>
      <c r="E348">
        <v>8123</v>
      </c>
      <c r="F348">
        <v>8</v>
      </c>
      <c r="G348">
        <v>8.8000000000000007</v>
      </c>
      <c r="H348">
        <v>0.90909090000000004</v>
      </c>
      <c r="I348">
        <v>9.0909110000000001E-2</v>
      </c>
      <c r="J348">
        <v>0.52380954999999996</v>
      </c>
    </row>
    <row r="349" spans="1:10" x14ac:dyDescent="0.3">
      <c r="A349">
        <v>347</v>
      </c>
      <c r="B349">
        <v>5525</v>
      </c>
      <c r="C349" t="b">
        <v>1</v>
      </c>
      <c r="D349">
        <v>8042</v>
      </c>
      <c r="E349">
        <v>8129</v>
      </c>
      <c r="F349">
        <v>8</v>
      </c>
      <c r="G349">
        <v>8.8000000000000007</v>
      </c>
      <c r="H349">
        <v>0.90909090000000004</v>
      </c>
      <c r="I349">
        <v>9.0909110000000001E-2</v>
      </c>
      <c r="J349">
        <v>0.52380954999999996</v>
      </c>
    </row>
    <row r="350" spans="1:10" x14ac:dyDescent="0.3">
      <c r="A350">
        <v>348</v>
      </c>
      <c r="B350">
        <v>5541</v>
      </c>
      <c r="C350" t="b">
        <v>1</v>
      </c>
      <c r="D350">
        <v>8048</v>
      </c>
      <c r="E350">
        <v>8123</v>
      </c>
      <c r="F350">
        <v>8</v>
      </c>
      <c r="G350">
        <v>8.8000000000000007</v>
      </c>
      <c r="H350">
        <v>0.90909090000000004</v>
      </c>
      <c r="I350">
        <v>9.0909110000000001E-2</v>
      </c>
      <c r="J350">
        <v>0.52380954999999996</v>
      </c>
    </row>
    <row r="351" spans="1:10" x14ac:dyDescent="0.3">
      <c r="A351">
        <v>349</v>
      </c>
      <c r="B351">
        <v>5557</v>
      </c>
      <c r="C351" t="b">
        <v>1</v>
      </c>
      <c r="D351">
        <v>8048</v>
      </c>
      <c r="E351">
        <v>8123</v>
      </c>
      <c r="F351">
        <v>8</v>
      </c>
      <c r="G351">
        <v>8.8000000000000007</v>
      </c>
      <c r="H351">
        <v>0.90909090000000004</v>
      </c>
      <c r="I351">
        <v>9.0909110000000001E-2</v>
      </c>
      <c r="J351">
        <v>0.52380954999999996</v>
      </c>
    </row>
    <row r="352" spans="1:10" x14ac:dyDescent="0.3">
      <c r="A352">
        <v>350</v>
      </c>
      <c r="B352">
        <v>5573</v>
      </c>
      <c r="C352" t="b">
        <v>1</v>
      </c>
      <c r="D352">
        <v>8048</v>
      </c>
      <c r="E352">
        <v>8129</v>
      </c>
      <c r="F352">
        <v>8</v>
      </c>
      <c r="G352">
        <v>8.8000000000000007</v>
      </c>
      <c r="H352">
        <v>0.90909090000000004</v>
      </c>
      <c r="I352">
        <v>9.0909110000000001E-2</v>
      </c>
      <c r="J352">
        <v>0.52380954999999996</v>
      </c>
    </row>
    <row r="353" spans="1:10" x14ac:dyDescent="0.3">
      <c r="A353">
        <v>351</v>
      </c>
      <c r="B353">
        <v>5589</v>
      </c>
      <c r="C353" t="b">
        <v>1</v>
      </c>
      <c r="D353">
        <v>8048</v>
      </c>
      <c r="E353">
        <v>8123</v>
      </c>
      <c r="F353">
        <v>8</v>
      </c>
      <c r="G353">
        <v>8.8000000000000007</v>
      </c>
      <c r="H353">
        <v>0.90909090000000004</v>
      </c>
      <c r="I353">
        <v>9.0909110000000001E-2</v>
      </c>
      <c r="J353">
        <v>0.52380954999999996</v>
      </c>
    </row>
    <row r="354" spans="1:10" x14ac:dyDescent="0.3">
      <c r="A354">
        <v>352</v>
      </c>
      <c r="B354">
        <v>5604</v>
      </c>
      <c r="C354" t="b">
        <v>1</v>
      </c>
      <c r="D354">
        <v>8042</v>
      </c>
      <c r="E354">
        <v>8123</v>
      </c>
      <c r="F354">
        <v>8</v>
      </c>
      <c r="G354">
        <v>8.8000000000000007</v>
      </c>
      <c r="H354">
        <v>0.90909090000000004</v>
      </c>
      <c r="I354">
        <v>9.0909110000000001E-2</v>
      </c>
      <c r="J354">
        <v>0.52380954999999996</v>
      </c>
    </row>
    <row r="355" spans="1:10" x14ac:dyDescent="0.3">
      <c r="A355">
        <v>353</v>
      </c>
      <c r="B355">
        <v>5620</v>
      </c>
      <c r="C355" t="b">
        <v>1</v>
      </c>
      <c r="D355">
        <v>8042</v>
      </c>
      <c r="E355">
        <v>8117</v>
      </c>
      <c r="F355">
        <v>8</v>
      </c>
      <c r="G355">
        <v>8.8000000000000007</v>
      </c>
      <c r="H355">
        <v>0.90909090000000004</v>
      </c>
      <c r="I355">
        <v>9.0909110000000001E-2</v>
      </c>
      <c r="J355">
        <v>0.52380954999999996</v>
      </c>
    </row>
    <row r="356" spans="1:10" x14ac:dyDescent="0.3">
      <c r="A356">
        <v>354</v>
      </c>
      <c r="B356">
        <v>5636</v>
      </c>
      <c r="C356" t="b">
        <v>1</v>
      </c>
      <c r="D356">
        <v>8042</v>
      </c>
      <c r="E356">
        <v>8123</v>
      </c>
      <c r="F356">
        <v>7.6</v>
      </c>
      <c r="G356">
        <v>8.4</v>
      </c>
      <c r="H356">
        <v>0.90476190000000001</v>
      </c>
      <c r="I356">
        <v>9.5238069999999994E-2</v>
      </c>
      <c r="J356">
        <v>0.52500000000000002</v>
      </c>
    </row>
    <row r="357" spans="1:10" x14ac:dyDescent="0.3">
      <c r="A357">
        <v>355</v>
      </c>
      <c r="B357">
        <v>5652</v>
      </c>
      <c r="C357" t="b">
        <v>1</v>
      </c>
      <c r="D357">
        <v>8048</v>
      </c>
      <c r="E357">
        <v>8123</v>
      </c>
      <c r="F357">
        <v>7.2</v>
      </c>
      <c r="G357">
        <v>8</v>
      </c>
      <c r="H357">
        <v>0.9</v>
      </c>
      <c r="I357">
        <v>0.10000002400000001</v>
      </c>
      <c r="J357">
        <v>0.5263158</v>
      </c>
    </row>
    <row r="358" spans="1:10" x14ac:dyDescent="0.3">
      <c r="A358">
        <v>356</v>
      </c>
      <c r="B358">
        <v>5668</v>
      </c>
      <c r="C358" t="b">
        <v>1</v>
      </c>
      <c r="D358">
        <v>8048</v>
      </c>
      <c r="E358">
        <v>8123</v>
      </c>
      <c r="F358">
        <v>6.8</v>
      </c>
      <c r="G358">
        <v>8</v>
      </c>
      <c r="H358">
        <v>0.85</v>
      </c>
      <c r="I358">
        <v>0.14999998</v>
      </c>
      <c r="J358">
        <v>0.54054049999999998</v>
      </c>
    </row>
    <row r="359" spans="1:10" x14ac:dyDescent="0.3">
      <c r="A359">
        <v>357</v>
      </c>
      <c r="B359">
        <v>5684</v>
      </c>
      <c r="C359" t="b">
        <v>1</v>
      </c>
      <c r="D359">
        <v>8042</v>
      </c>
      <c r="E359">
        <v>8123</v>
      </c>
      <c r="F359">
        <v>6.4</v>
      </c>
      <c r="G359">
        <v>8</v>
      </c>
      <c r="H359">
        <v>0.8</v>
      </c>
      <c r="I359">
        <v>0.19999998999999999</v>
      </c>
      <c r="J359">
        <v>0.55555560000000004</v>
      </c>
    </row>
    <row r="360" spans="1:10" x14ac:dyDescent="0.3">
      <c r="A360">
        <v>358</v>
      </c>
      <c r="B360">
        <v>5700</v>
      </c>
      <c r="C360" t="b">
        <v>1</v>
      </c>
      <c r="D360">
        <v>8042</v>
      </c>
      <c r="E360">
        <v>8123</v>
      </c>
      <c r="F360">
        <v>6</v>
      </c>
      <c r="G360">
        <v>8</v>
      </c>
      <c r="H360">
        <v>0.75</v>
      </c>
      <c r="I360">
        <v>0.25</v>
      </c>
      <c r="J360">
        <v>0.57142859999999995</v>
      </c>
    </row>
    <row r="361" spans="1:10" x14ac:dyDescent="0.3">
      <c r="A361">
        <v>359</v>
      </c>
      <c r="B361">
        <v>5716</v>
      </c>
      <c r="C361" t="b">
        <v>1</v>
      </c>
      <c r="D361">
        <v>8037</v>
      </c>
      <c r="E361">
        <v>8123</v>
      </c>
      <c r="F361">
        <v>5.6</v>
      </c>
      <c r="G361">
        <v>8</v>
      </c>
      <c r="H361">
        <v>0.7</v>
      </c>
      <c r="I361">
        <v>0.3</v>
      </c>
      <c r="J361">
        <v>0.58823526000000004</v>
      </c>
    </row>
    <row r="362" spans="1:10" x14ac:dyDescent="0.3">
      <c r="A362">
        <v>360</v>
      </c>
      <c r="B362">
        <v>5731</v>
      </c>
      <c r="C362" t="b">
        <v>1</v>
      </c>
      <c r="D362">
        <v>8042</v>
      </c>
      <c r="E362">
        <v>8123</v>
      </c>
      <c r="F362">
        <v>5.2</v>
      </c>
      <c r="G362">
        <v>8</v>
      </c>
      <c r="H362">
        <v>0.65</v>
      </c>
      <c r="I362">
        <v>0.35000002000000002</v>
      </c>
      <c r="J362">
        <v>0.60606059999999995</v>
      </c>
    </row>
    <row r="363" spans="1:10" x14ac:dyDescent="0.3">
      <c r="A363">
        <v>361</v>
      </c>
      <c r="B363">
        <v>5747</v>
      </c>
      <c r="C363" t="b">
        <v>1</v>
      </c>
      <c r="D363">
        <v>8042</v>
      </c>
      <c r="E363">
        <v>8129</v>
      </c>
      <c r="F363">
        <v>4.8</v>
      </c>
      <c r="G363">
        <v>8</v>
      </c>
      <c r="H363">
        <v>0.6</v>
      </c>
      <c r="I363">
        <v>0.39999997999999998</v>
      </c>
      <c r="J363">
        <v>0.625</v>
      </c>
    </row>
    <row r="364" spans="1:10" x14ac:dyDescent="0.3">
      <c r="A364">
        <v>362</v>
      </c>
      <c r="B364">
        <v>5763</v>
      </c>
      <c r="C364" t="b">
        <v>1</v>
      </c>
      <c r="D364">
        <v>8037</v>
      </c>
      <c r="E364">
        <v>8123</v>
      </c>
      <c r="F364">
        <v>4.4000000000000004</v>
      </c>
      <c r="G364">
        <v>8</v>
      </c>
      <c r="H364">
        <v>0.55000000000000004</v>
      </c>
      <c r="I364">
        <v>0.45</v>
      </c>
      <c r="J364">
        <v>0.64516132999999998</v>
      </c>
    </row>
    <row r="365" spans="1:10" x14ac:dyDescent="0.3">
      <c r="A365">
        <v>363</v>
      </c>
      <c r="B365">
        <v>5779</v>
      </c>
      <c r="C365" t="b">
        <v>1</v>
      </c>
      <c r="D365">
        <v>8048</v>
      </c>
      <c r="E365">
        <v>8129</v>
      </c>
      <c r="F365">
        <v>4</v>
      </c>
      <c r="G365">
        <v>8</v>
      </c>
      <c r="H365">
        <v>0.5</v>
      </c>
      <c r="I365">
        <v>0.5</v>
      </c>
      <c r="J365">
        <v>0.66666669999999995</v>
      </c>
    </row>
    <row r="366" spans="1:10" x14ac:dyDescent="0.3">
      <c r="A366">
        <v>364</v>
      </c>
      <c r="B366">
        <v>5795</v>
      </c>
      <c r="C366" t="b">
        <v>1</v>
      </c>
      <c r="D366">
        <v>8054</v>
      </c>
      <c r="E366">
        <v>8123</v>
      </c>
      <c r="F366">
        <v>3.6</v>
      </c>
      <c r="G366">
        <v>8</v>
      </c>
      <c r="H366">
        <v>0.45</v>
      </c>
      <c r="I366">
        <v>0.55000000000000004</v>
      </c>
      <c r="J366">
        <v>0.68965509999999997</v>
      </c>
    </row>
    <row r="367" spans="1:10" x14ac:dyDescent="0.3">
      <c r="A367">
        <v>365</v>
      </c>
      <c r="B367">
        <v>5811</v>
      </c>
      <c r="C367" t="b">
        <v>1</v>
      </c>
      <c r="D367">
        <v>8054</v>
      </c>
      <c r="E367">
        <v>8123</v>
      </c>
      <c r="F367">
        <v>3.6</v>
      </c>
      <c r="G367">
        <v>8</v>
      </c>
      <c r="H367">
        <v>0.45</v>
      </c>
      <c r="I367">
        <v>0.55000000000000004</v>
      </c>
      <c r="J367">
        <v>0.68965509999999997</v>
      </c>
    </row>
    <row r="368" spans="1:10" x14ac:dyDescent="0.3">
      <c r="A368">
        <v>366</v>
      </c>
      <c r="B368">
        <v>5827</v>
      </c>
      <c r="C368" t="b">
        <v>1</v>
      </c>
      <c r="D368">
        <v>8054</v>
      </c>
      <c r="E368">
        <v>8123</v>
      </c>
      <c r="F368">
        <v>4</v>
      </c>
      <c r="G368">
        <v>8</v>
      </c>
      <c r="H368">
        <v>0.5</v>
      </c>
      <c r="I368">
        <v>0.5</v>
      </c>
      <c r="J368">
        <v>0.66666669999999995</v>
      </c>
    </row>
    <row r="369" spans="1:10" x14ac:dyDescent="0.3">
      <c r="A369">
        <v>367</v>
      </c>
      <c r="B369">
        <v>5843</v>
      </c>
      <c r="C369" t="b">
        <v>1</v>
      </c>
      <c r="D369">
        <v>8054</v>
      </c>
      <c r="E369">
        <v>8129</v>
      </c>
      <c r="F369">
        <v>4.4000000000000004</v>
      </c>
      <c r="G369">
        <v>8</v>
      </c>
      <c r="H369">
        <v>0.55000000000000004</v>
      </c>
      <c r="I369">
        <v>0.45</v>
      </c>
      <c r="J369">
        <v>0.64516132999999998</v>
      </c>
    </row>
    <row r="370" spans="1:10" x14ac:dyDescent="0.3">
      <c r="A370">
        <v>368</v>
      </c>
      <c r="B370">
        <v>5859</v>
      </c>
      <c r="C370" t="b">
        <v>1</v>
      </c>
      <c r="D370">
        <v>8054</v>
      </c>
      <c r="E370">
        <v>8123</v>
      </c>
      <c r="F370">
        <v>4.8</v>
      </c>
      <c r="G370">
        <v>8</v>
      </c>
      <c r="H370">
        <v>0.6</v>
      </c>
      <c r="I370">
        <v>0.39999997999999998</v>
      </c>
      <c r="J370">
        <v>0.625</v>
      </c>
    </row>
    <row r="371" spans="1:10" x14ac:dyDescent="0.3">
      <c r="A371">
        <v>369</v>
      </c>
      <c r="B371">
        <v>5875</v>
      </c>
      <c r="C371" t="b">
        <v>1</v>
      </c>
      <c r="D371">
        <v>8054</v>
      </c>
      <c r="E371">
        <v>8123</v>
      </c>
      <c r="F371">
        <v>5.6</v>
      </c>
      <c r="G371">
        <v>8</v>
      </c>
      <c r="H371">
        <v>0.7</v>
      </c>
      <c r="I371">
        <v>0.3</v>
      </c>
      <c r="J371">
        <v>0.58823526000000004</v>
      </c>
    </row>
    <row r="372" spans="1:10" x14ac:dyDescent="0.3">
      <c r="A372">
        <v>370</v>
      </c>
      <c r="B372">
        <v>5891</v>
      </c>
      <c r="C372" t="b">
        <v>1</v>
      </c>
      <c r="D372">
        <v>8042</v>
      </c>
      <c r="E372">
        <v>8123</v>
      </c>
      <c r="F372">
        <v>6.4</v>
      </c>
      <c r="G372">
        <v>8</v>
      </c>
      <c r="H372">
        <v>0.8</v>
      </c>
      <c r="I372">
        <v>0.19999998999999999</v>
      </c>
      <c r="J372">
        <v>0.55555560000000004</v>
      </c>
    </row>
    <row r="373" spans="1:10" x14ac:dyDescent="0.3">
      <c r="A373">
        <v>371</v>
      </c>
      <c r="B373">
        <v>5907</v>
      </c>
      <c r="C373" t="b">
        <v>1</v>
      </c>
      <c r="D373">
        <v>8042</v>
      </c>
      <c r="E373">
        <v>8123</v>
      </c>
      <c r="F373">
        <v>7.2</v>
      </c>
      <c r="G373">
        <v>8</v>
      </c>
      <c r="H373">
        <v>0.9</v>
      </c>
      <c r="I373">
        <v>0.10000002400000001</v>
      </c>
      <c r="J373">
        <v>0.5263158</v>
      </c>
    </row>
    <row r="374" spans="1:10" x14ac:dyDescent="0.3">
      <c r="A374">
        <v>372</v>
      </c>
      <c r="B374">
        <v>5923</v>
      </c>
      <c r="C374" t="b">
        <v>1</v>
      </c>
      <c r="D374">
        <v>8037</v>
      </c>
      <c r="E374">
        <v>8123</v>
      </c>
      <c r="F374">
        <v>7.2</v>
      </c>
      <c r="G374">
        <v>8</v>
      </c>
      <c r="H374">
        <v>0.9</v>
      </c>
      <c r="I374">
        <v>0.10000002400000001</v>
      </c>
      <c r="J374">
        <v>0.5263158</v>
      </c>
    </row>
    <row r="375" spans="1:10" x14ac:dyDescent="0.3">
      <c r="A375">
        <v>373</v>
      </c>
      <c r="B375">
        <v>5938</v>
      </c>
      <c r="C375" t="b">
        <v>1</v>
      </c>
      <c r="D375">
        <v>8042</v>
      </c>
      <c r="E375">
        <v>8123</v>
      </c>
      <c r="F375">
        <v>7.2</v>
      </c>
      <c r="G375">
        <v>8</v>
      </c>
      <c r="H375">
        <v>0.9</v>
      </c>
      <c r="I375">
        <v>0.10000002400000001</v>
      </c>
      <c r="J375">
        <v>0.5263158</v>
      </c>
    </row>
    <row r="376" spans="1:10" x14ac:dyDescent="0.3">
      <c r="A376">
        <v>374</v>
      </c>
      <c r="B376">
        <v>5954</v>
      </c>
      <c r="C376" t="b">
        <v>1</v>
      </c>
      <c r="D376">
        <v>8042</v>
      </c>
      <c r="E376">
        <v>8123</v>
      </c>
      <c r="F376">
        <v>7.2</v>
      </c>
      <c r="G376">
        <v>8</v>
      </c>
      <c r="H376">
        <v>0.9</v>
      </c>
      <c r="I376">
        <v>0.10000002400000001</v>
      </c>
      <c r="J376">
        <v>0.5263158</v>
      </c>
    </row>
    <row r="377" spans="1:10" x14ac:dyDescent="0.3">
      <c r="A377">
        <v>375</v>
      </c>
      <c r="B377">
        <v>5970</v>
      </c>
      <c r="C377" t="b">
        <v>1</v>
      </c>
      <c r="D377">
        <v>8042</v>
      </c>
      <c r="E377">
        <v>8123</v>
      </c>
      <c r="F377">
        <v>7.2</v>
      </c>
      <c r="G377">
        <v>8</v>
      </c>
      <c r="H377">
        <v>0.9</v>
      </c>
      <c r="I377">
        <v>0.10000002400000001</v>
      </c>
      <c r="J377">
        <v>0.5263158</v>
      </c>
    </row>
    <row r="378" spans="1:10" x14ac:dyDescent="0.3">
      <c r="A378">
        <v>376</v>
      </c>
      <c r="B378">
        <v>5986</v>
      </c>
      <c r="C378" t="b">
        <v>1</v>
      </c>
      <c r="D378">
        <v>8048</v>
      </c>
      <c r="E378">
        <v>8123</v>
      </c>
      <c r="F378">
        <v>7.2</v>
      </c>
      <c r="G378">
        <v>8</v>
      </c>
      <c r="H378">
        <v>0.9</v>
      </c>
      <c r="I378">
        <v>0.10000002400000001</v>
      </c>
      <c r="J378">
        <v>0.5263158</v>
      </c>
    </row>
    <row r="379" spans="1:10" x14ac:dyDescent="0.3">
      <c r="A379">
        <v>377</v>
      </c>
      <c r="B379">
        <v>6002</v>
      </c>
      <c r="C379" t="b">
        <v>1</v>
      </c>
      <c r="D379">
        <v>8048</v>
      </c>
      <c r="E379">
        <v>8123</v>
      </c>
      <c r="F379">
        <v>7.2</v>
      </c>
      <c r="G379">
        <v>8</v>
      </c>
      <c r="H379">
        <v>0.9</v>
      </c>
      <c r="I379">
        <v>0.10000002400000001</v>
      </c>
      <c r="J379">
        <v>0.5263158</v>
      </c>
    </row>
    <row r="380" spans="1:10" x14ac:dyDescent="0.3">
      <c r="A380">
        <v>378</v>
      </c>
      <c r="B380">
        <v>6018</v>
      </c>
      <c r="C380" t="b">
        <v>1</v>
      </c>
      <c r="D380">
        <v>8048</v>
      </c>
      <c r="E380">
        <v>8123</v>
      </c>
      <c r="F380">
        <v>7.6</v>
      </c>
      <c r="G380">
        <v>8</v>
      </c>
      <c r="H380">
        <v>0.95</v>
      </c>
      <c r="I380">
        <v>5.0000012000000003E-2</v>
      </c>
      <c r="J380">
        <v>0.51282050000000001</v>
      </c>
    </row>
    <row r="381" spans="1:10" x14ac:dyDescent="0.3">
      <c r="A381">
        <v>379</v>
      </c>
      <c r="B381">
        <v>6034</v>
      </c>
      <c r="C381" t="b">
        <v>1</v>
      </c>
      <c r="D381">
        <v>8048</v>
      </c>
      <c r="E381">
        <v>8117</v>
      </c>
      <c r="F381">
        <v>8</v>
      </c>
      <c r="G381">
        <v>8</v>
      </c>
      <c r="H381">
        <v>1</v>
      </c>
      <c r="I381">
        <v>0</v>
      </c>
      <c r="J381">
        <v>0.5</v>
      </c>
    </row>
    <row r="382" spans="1:10" x14ac:dyDescent="0.3">
      <c r="A382">
        <v>380</v>
      </c>
      <c r="B382">
        <v>6050</v>
      </c>
      <c r="C382" t="b">
        <v>1</v>
      </c>
      <c r="D382">
        <v>8048</v>
      </c>
      <c r="E382">
        <v>8117</v>
      </c>
      <c r="F382">
        <v>8</v>
      </c>
      <c r="G382">
        <v>8</v>
      </c>
      <c r="H382">
        <v>1</v>
      </c>
      <c r="I382">
        <v>0</v>
      </c>
      <c r="J382">
        <v>0.5</v>
      </c>
    </row>
    <row r="383" spans="1:10" x14ac:dyDescent="0.3">
      <c r="A383">
        <v>381</v>
      </c>
      <c r="B383">
        <v>6066</v>
      </c>
      <c r="C383" t="b">
        <v>1</v>
      </c>
      <c r="D383">
        <v>8048</v>
      </c>
      <c r="E383">
        <v>8117</v>
      </c>
      <c r="F383">
        <v>7.6</v>
      </c>
      <c r="G383">
        <v>7.6</v>
      </c>
      <c r="H383">
        <v>1</v>
      </c>
      <c r="I383">
        <v>0</v>
      </c>
      <c r="J383">
        <v>0.5</v>
      </c>
    </row>
    <row r="384" spans="1:10" x14ac:dyDescent="0.3">
      <c r="A384">
        <v>382</v>
      </c>
      <c r="B384">
        <v>6082</v>
      </c>
      <c r="C384" t="b">
        <v>1</v>
      </c>
      <c r="D384">
        <v>8048</v>
      </c>
      <c r="E384">
        <v>8117</v>
      </c>
      <c r="F384">
        <v>7.2</v>
      </c>
      <c r="G384">
        <v>7.2</v>
      </c>
      <c r="H384">
        <v>1</v>
      </c>
      <c r="I384">
        <v>0</v>
      </c>
      <c r="J384">
        <v>0.5</v>
      </c>
    </row>
    <row r="385" spans="1:10" x14ac:dyDescent="0.3">
      <c r="A385">
        <v>383</v>
      </c>
      <c r="B385">
        <v>6098</v>
      </c>
      <c r="C385" t="b">
        <v>1</v>
      </c>
      <c r="D385">
        <v>8042</v>
      </c>
      <c r="E385">
        <v>8123</v>
      </c>
      <c r="F385">
        <v>6.8</v>
      </c>
      <c r="G385">
        <v>6.8</v>
      </c>
      <c r="H385">
        <v>1</v>
      </c>
      <c r="I385">
        <v>0</v>
      </c>
      <c r="J385">
        <v>0.5</v>
      </c>
    </row>
    <row r="386" spans="1:10" x14ac:dyDescent="0.3">
      <c r="A386">
        <v>384</v>
      </c>
      <c r="B386">
        <v>6114</v>
      </c>
      <c r="C386" t="b">
        <v>1</v>
      </c>
      <c r="D386">
        <v>8048</v>
      </c>
      <c r="E386">
        <v>8129</v>
      </c>
      <c r="F386">
        <v>6.4</v>
      </c>
      <c r="G386">
        <v>6.4</v>
      </c>
      <c r="H386">
        <v>1</v>
      </c>
      <c r="I386">
        <v>0</v>
      </c>
      <c r="J386">
        <v>0.5</v>
      </c>
    </row>
    <row r="387" spans="1:10" x14ac:dyDescent="0.3">
      <c r="A387">
        <v>385</v>
      </c>
      <c r="B387">
        <v>6130</v>
      </c>
      <c r="C387" t="b">
        <v>1</v>
      </c>
      <c r="D387">
        <v>8048</v>
      </c>
      <c r="E387">
        <v>8123</v>
      </c>
      <c r="F387">
        <v>6</v>
      </c>
      <c r="G387">
        <v>6.4</v>
      </c>
      <c r="H387">
        <v>0.9375</v>
      </c>
      <c r="I387">
        <v>6.2500015000000006E-2</v>
      </c>
      <c r="J387">
        <v>0.51612910000000001</v>
      </c>
    </row>
    <row r="388" spans="1:10" x14ac:dyDescent="0.3">
      <c r="A388">
        <v>386</v>
      </c>
      <c r="B388">
        <v>6146</v>
      </c>
      <c r="C388" t="b">
        <v>1</v>
      </c>
      <c r="D388">
        <v>8048</v>
      </c>
      <c r="E388">
        <v>8123</v>
      </c>
      <c r="F388">
        <v>5.6</v>
      </c>
      <c r="G388">
        <v>6.4</v>
      </c>
      <c r="H388">
        <v>0.875</v>
      </c>
      <c r="I388">
        <v>0.12500003000000001</v>
      </c>
      <c r="J388">
        <v>0.53333335999999998</v>
      </c>
    </row>
    <row r="389" spans="1:10" x14ac:dyDescent="0.3">
      <c r="A389">
        <v>387</v>
      </c>
      <c r="B389">
        <v>6162</v>
      </c>
      <c r="C389" t="b">
        <v>1</v>
      </c>
      <c r="D389">
        <v>8042</v>
      </c>
      <c r="E389">
        <v>8123</v>
      </c>
      <c r="F389">
        <v>6</v>
      </c>
      <c r="G389">
        <v>6.4</v>
      </c>
      <c r="H389">
        <v>0.9375</v>
      </c>
      <c r="I389">
        <v>6.2500015000000006E-2</v>
      </c>
      <c r="J389">
        <v>0.51612910000000001</v>
      </c>
    </row>
    <row r="390" spans="1:10" x14ac:dyDescent="0.3">
      <c r="A390">
        <v>388</v>
      </c>
      <c r="B390">
        <v>6178</v>
      </c>
      <c r="C390" t="b">
        <v>1</v>
      </c>
      <c r="D390">
        <v>8048</v>
      </c>
      <c r="E390">
        <v>8129</v>
      </c>
      <c r="F390">
        <v>6.4</v>
      </c>
      <c r="G390">
        <v>6.4</v>
      </c>
      <c r="H390">
        <v>1</v>
      </c>
      <c r="I390">
        <v>0</v>
      </c>
      <c r="J390">
        <v>0.5</v>
      </c>
    </row>
    <row r="391" spans="1:10" x14ac:dyDescent="0.3">
      <c r="A391">
        <v>389</v>
      </c>
      <c r="B391">
        <v>6194</v>
      </c>
      <c r="C391" t="b">
        <v>1</v>
      </c>
      <c r="D391">
        <v>8048</v>
      </c>
      <c r="E391">
        <v>8117</v>
      </c>
      <c r="F391">
        <v>6.8</v>
      </c>
      <c r="G391">
        <v>6.4</v>
      </c>
      <c r="H391">
        <v>1.0625</v>
      </c>
      <c r="I391">
        <v>-6.2500015000000006E-2</v>
      </c>
      <c r="J391">
        <v>0.48484846999999998</v>
      </c>
    </row>
    <row r="392" spans="1:10" x14ac:dyDescent="0.3">
      <c r="A392">
        <v>390</v>
      </c>
      <c r="B392">
        <v>6210</v>
      </c>
      <c r="C392" t="b">
        <v>1</v>
      </c>
      <c r="D392">
        <v>8048</v>
      </c>
      <c r="E392">
        <v>8117</v>
      </c>
      <c r="F392">
        <v>7.2</v>
      </c>
      <c r="G392">
        <v>6.4</v>
      </c>
      <c r="H392">
        <v>1.125</v>
      </c>
      <c r="I392">
        <v>-0.124999955</v>
      </c>
      <c r="J392">
        <v>0.47058823999999999</v>
      </c>
    </row>
    <row r="393" spans="1:10" x14ac:dyDescent="0.3">
      <c r="A393">
        <v>391</v>
      </c>
      <c r="B393">
        <v>6225</v>
      </c>
      <c r="C393" t="b">
        <v>1</v>
      </c>
      <c r="D393">
        <v>8048</v>
      </c>
      <c r="E393">
        <v>8117</v>
      </c>
      <c r="F393">
        <v>7.6</v>
      </c>
      <c r="G393">
        <v>6</v>
      </c>
      <c r="H393">
        <v>1.2666667</v>
      </c>
      <c r="I393">
        <v>-0.26666665000000001</v>
      </c>
      <c r="J393">
        <v>0.44117644</v>
      </c>
    </row>
    <row r="394" spans="1:10" x14ac:dyDescent="0.3">
      <c r="A394">
        <v>392</v>
      </c>
      <c r="B394">
        <v>6241</v>
      </c>
      <c r="C394" t="b">
        <v>1</v>
      </c>
      <c r="D394">
        <v>8048</v>
      </c>
      <c r="E394">
        <v>8111</v>
      </c>
      <c r="F394">
        <v>8</v>
      </c>
      <c r="G394">
        <v>5.6</v>
      </c>
      <c r="H394">
        <v>1.4285715000000001</v>
      </c>
      <c r="I394">
        <v>-0.42857146000000002</v>
      </c>
      <c r="J394">
        <v>0.41176467999999999</v>
      </c>
    </row>
    <row r="395" spans="1:10" x14ac:dyDescent="0.3">
      <c r="A395">
        <v>393</v>
      </c>
      <c r="B395">
        <v>6257</v>
      </c>
      <c r="C395" t="b">
        <v>1</v>
      </c>
      <c r="D395">
        <v>8048</v>
      </c>
      <c r="E395">
        <v>8117</v>
      </c>
      <c r="F395">
        <v>8</v>
      </c>
      <c r="G395">
        <v>5.2</v>
      </c>
      <c r="H395">
        <v>1.5384616</v>
      </c>
      <c r="I395">
        <v>-0.53846156999999994</v>
      </c>
      <c r="J395">
        <v>0.39393938000000001</v>
      </c>
    </row>
    <row r="396" spans="1:10" x14ac:dyDescent="0.3">
      <c r="A396">
        <v>394</v>
      </c>
      <c r="B396">
        <v>6273</v>
      </c>
      <c r="C396" t="b">
        <v>1</v>
      </c>
      <c r="D396">
        <v>8048</v>
      </c>
      <c r="E396">
        <v>8117</v>
      </c>
      <c r="F396">
        <v>8</v>
      </c>
      <c r="G396">
        <v>4.8</v>
      </c>
      <c r="H396">
        <v>1.6666666000000001</v>
      </c>
      <c r="I396">
        <v>-0.6666666</v>
      </c>
      <c r="J396">
        <v>0.375</v>
      </c>
    </row>
    <row r="397" spans="1:10" x14ac:dyDescent="0.3">
      <c r="A397">
        <v>395</v>
      </c>
      <c r="B397">
        <v>6289</v>
      </c>
      <c r="C397" t="b">
        <v>1</v>
      </c>
      <c r="D397">
        <v>8048</v>
      </c>
      <c r="E397">
        <v>8117</v>
      </c>
      <c r="F397">
        <v>8</v>
      </c>
      <c r="G397">
        <v>4.4000000000000004</v>
      </c>
      <c r="H397">
        <v>1.8181818000000001</v>
      </c>
      <c r="I397">
        <v>-0.81818175000000004</v>
      </c>
      <c r="J397">
        <v>0.35483872999999999</v>
      </c>
    </row>
    <row r="398" spans="1:10" x14ac:dyDescent="0.3">
      <c r="A398">
        <v>396</v>
      </c>
      <c r="B398">
        <v>6305</v>
      </c>
      <c r="C398" t="b">
        <v>1</v>
      </c>
      <c r="D398">
        <v>8048</v>
      </c>
      <c r="E398">
        <v>8134</v>
      </c>
      <c r="F398">
        <v>8</v>
      </c>
      <c r="G398">
        <v>4.4000000000000004</v>
      </c>
      <c r="H398">
        <v>1.8181818000000001</v>
      </c>
      <c r="I398">
        <v>-0.81818175000000004</v>
      </c>
      <c r="J398">
        <v>0.35483872999999999</v>
      </c>
    </row>
    <row r="399" spans="1:10" x14ac:dyDescent="0.3">
      <c r="A399">
        <v>397</v>
      </c>
      <c r="B399">
        <v>6320</v>
      </c>
      <c r="C399" t="b">
        <v>1</v>
      </c>
      <c r="D399">
        <v>8042</v>
      </c>
      <c r="E399">
        <v>8129</v>
      </c>
      <c r="F399">
        <v>8</v>
      </c>
      <c r="G399">
        <v>4.4000000000000004</v>
      </c>
      <c r="H399">
        <v>1.8181818000000001</v>
      </c>
      <c r="I399">
        <v>-0.81818175000000004</v>
      </c>
      <c r="J399">
        <v>0.35483872999999999</v>
      </c>
    </row>
    <row r="400" spans="1:10" x14ac:dyDescent="0.3">
      <c r="A400">
        <v>398</v>
      </c>
      <c r="B400">
        <v>6336</v>
      </c>
      <c r="C400" t="b">
        <v>1</v>
      </c>
      <c r="D400">
        <v>8048</v>
      </c>
      <c r="E400">
        <v>8129</v>
      </c>
      <c r="F400">
        <v>8</v>
      </c>
      <c r="G400">
        <v>5.2</v>
      </c>
      <c r="H400">
        <v>1.5384616</v>
      </c>
      <c r="I400">
        <v>-0.53846156999999994</v>
      </c>
      <c r="J400">
        <v>0.39393938000000001</v>
      </c>
    </row>
    <row r="401" spans="1:10" x14ac:dyDescent="0.3">
      <c r="A401">
        <v>399</v>
      </c>
      <c r="B401">
        <v>6352</v>
      </c>
      <c r="C401" t="b">
        <v>1</v>
      </c>
      <c r="D401">
        <v>8042</v>
      </c>
      <c r="E401">
        <v>8129</v>
      </c>
      <c r="F401">
        <v>8</v>
      </c>
      <c r="G401">
        <v>6</v>
      </c>
      <c r="H401">
        <v>1.3333333999999999</v>
      </c>
      <c r="I401">
        <v>-0.33333333999999998</v>
      </c>
      <c r="J401">
        <v>0.42857142999999998</v>
      </c>
    </row>
    <row r="402" spans="1:10" x14ac:dyDescent="0.3">
      <c r="A402">
        <v>400</v>
      </c>
      <c r="B402">
        <v>6368</v>
      </c>
      <c r="C402" t="b">
        <v>1</v>
      </c>
      <c r="D402">
        <v>8042</v>
      </c>
      <c r="E402">
        <v>8129</v>
      </c>
      <c r="F402">
        <v>7.6</v>
      </c>
      <c r="G402">
        <v>6.4</v>
      </c>
      <c r="H402">
        <v>1.1875</v>
      </c>
      <c r="I402">
        <v>-0.18749996999999999</v>
      </c>
      <c r="J402">
        <v>0.45714285999999998</v>
      </c>
    </row>
    <row r="403" spans="1:10" x14ac:dyDescent="0.3">
      <c r="A403">
        <v>401</v>
      </c>
      <c r="B403">
        <v>6384</v>
      </c>
      <c r="C403" t="b">
        <v>1</v>
      </c>
      <c r="D403">
        <v>8048</v>
      </c>
      <c r="E403">
        <v>8129</v>
      </c>
      <c r="F403">
        <v>7.2</v>
      </c>
      <c r="G403">
        <v>6.8</v>
      </c>
      <c r="H403">
        <v>1.0588234999999999</v>
      </c>
      <c r="I403">
        <v>-5.8823470000000003E-2</v>
      </c>
      <c r="J403">
        <v>0.48571429999999999</v>
      </c>
    </row>
    <row r="404" spans="1:10" x14ac:dyDescent="0.3">
      <c r="A404">
        <v>402</v>
      </c>
      <c r="B404">
        <v>6400</v>
      </c>
      <c r="C404" t="b">
        <v>1</v>
      </c>
      <c r="D404">
        <v>8042</v>
      </c>
      <c r="E404">
        <v>8117</v>
      </c>
      <c r="F404">
        <v>6.8</v>
      </c>
      <c r="G404">
        <v>7.2</v>
      </c>
      <c r="H404">
        <v>0.94444450000000002</v>
      </c>
      <c r="I404">
        <v>5.5555503999999999E-2</v>
      </c>
      <c r="J404">
        <v>0.51428569999999996</v>
      </c>
    </row>
    <row r="405" spans="1:10" x14ac:dyDescent="0.3">
      <c r="A405">
        <v>403</v>
      </c>
      <c r="B405">
        <v>6416</v>
      </c>
      <c r="C405" t="b">
        <v>1</v>
      </c>
      <c r="D405">
        <v>8048</v>
      </c>
      <c r="E405">
        <v>8123</v>
      </c>
      <c r="F405">
        <v>6.4</v>
      </c>
      <c r="G405">
        <v>7.6</v>
      </c>
      <c r="H405">
        <v>0.84210527000000002</v>
      </c>
      <c r="I405">
        <v>0.15789471999999999</v>
      </c>
      <c r="J405">
        <v>0.54285709999999998</v>
      </c>
    </row>
    <row r="406" spans="1:10" x14ac:dyDescent="0.3">
      <c r="A406">
        <v>404</v>
      </c>
      <c r="B406">
        <v>6432</v>
      </c>
      <c r="C406" t="b">
        <v>1</v>
      </c>
      <c r="D406">
        <v>8048</v>
      </c>
      <c r="E406">
        <v>8117</v>
      </c>
      <c r="F406">
        <v>6.4</v>
      </c>
      <c r="G406">
        <v>7.6</v>
      </c>
      <c r="H406">
        <v>0.84210527000000002</v>
      </c>
      <c r="I406">
        <v>0.15789471999999999</v>
      </c>
      <c r="J406">
        <v>0.54285709999999998</v>
      </c>
    </row>
    <row r="407" spans="1:10" x14ac:dyDescent="0.3">
      <c r="A407">
        <v>405</v>
      </c>
      <c r="B407">
        <v>6448</v>
      </c>
      <c r="C407" t="b">
        <v>1</v>
      </c>
      <c r="D407">
        <v>8048</v>
      </c>
      <c r="E407">
        <v>8123</v>
      </c>
      <c r="F407">
        <v>6.4</v>
      </c>
      <c r="G407">
        <v>7.6</v>
      </c>
      <c r="H407">
        <v>0.84210527000000002</v>
      </c>
      <c r="I407">
        <v>0.15789471999999999</v>
      </c>
      <c r="J407">
        <v>0.54285709999999998</v>
      </c>
    </row>
    <row r="408" spans="1:10" x14ac:dyDescent="0.3">
      <c r="A408">
        <v>406</v>
      </c>
      <c r="B408">
        <v>6464</v>
      </c>
      <c r="C408" t="b">
        <v>1</v>
      </c>
      <c r="D408">
        <v>8048</v>
      </c>
      <c r="E408">
        <v>8123</v>
      </c>
      <c r="F408">
        <v>6.4</v>
      </c>
      <c r="G408">
        <v>8</v>
      </c>
      <c r="H408">
        <v>0.8</v>
      </c>
      <c r="I408">
        <v>0.19999998999999999</v>
      </c>
      <c r="J408">
        <v>0.55555560000000004</v>
      </c>
    </row>
    <row r="409" spans="1:10" x14ac:dyDescent="0.3">
      <c r="A409">
        <v>407</v>
      </c>
      <c r="B409">
        <v>6480</v>
      </c>
      <c r="C409" t="b">
        <v>1</v>
      </c>
      <c r="D409">
        <v>8048</v>
      </c>
      <c r="E409">
        <v>8117</v>
      </c>
      <c r="F409">
        <v>6.4</v>
      </c>
      <c r="G409">
        <v>8.4</v>
      </c>
      <c r="H409">
        <v>0.76190484000000003</v>
      </c>
      <c r="I409">
        <v>0.23809520000000001</v>
      </c>
      <c r="J409">
        <v>0.56756759999999995</v>
      </c>
    </row>
    <row r="410" spans="1:10" x14ac:dyDescent="0.3">
      <c r="A410">
        <v>408</v>
      </c>
      <c r="B410">
        <v>6496</v>
      </c>
      <c r="C410" t="b">
        <v>1</v>
      </c>
      <c r="D410">
        <v>8042</v>
      </c>
      <c r="E410">
        <v>8123</v>
      </c>
      <c r="F410">
        <v>6.4</v>
      </c>
      <c r="G410">
        <v>8.8000000000000007</v>
      </c>
      <c r="H410">
        <v>0.72727275000000002</v>
      </c>
      <c r="I410">
        <v>0.27272728000000002</v>
      </c>
      <c r="J410">
        <v>0.57894736999999996</v>
      </c>
    </row>
    <row r="411" spans="1:10" x14ac:dyDescent="0.3">
      <c r="A411">
        <v>409</v>
      </c>
      <c r="B411">
        <v>6512</v>
      </c>
      <c r="C411" t="b">
        <v>1</v>
      </c>
      <c r="D411">
        <v>8042</v>
      </c>
      <c r="E411">
        <v>8123</v>
      </c>
      <c r="F411">
        <v>6.4</v>
      </c>
      <c r="G411">
        <v>9.1999999999999993</v>
      </c>
      <c r="H411">
        <v>0.69565220000000005</v>
      </c>
      <c r="I411">
        <v>0.3043478</v>
      </c>
      <c r="J411">
        <v>0.58974355000000001</v>
      </c>
    </row>
    <row r="412" spans="1:10" x14ac:dyDescent="0.3">
      <c r="A412">
        <v>410</v>
      </c>
      <c r="B412">
        <v>6527</v>
      </c>
      <c r="C412" t="b">
        <v>1</v>
      </c>
      <c r="D412">
        <v>8037</v>
      </c>
      <c r="E412">
        <v>8129</v>
      </c>
      <c r="F412">
        <v>6</v>
      </c>
      <c r="G412">
        <v>9.6</v>
      </c>
      <c r="H412">
        <v>0.625</v>
      </c>
      <c r="I412">
        <v>0.37500002999999998</v>
      </c>
      <c r="J412">
        <v>0.61538464000000004</v>
      </c>
    </row>
    <row r="413" spans="1:10" x14ac:dyDescent="0.3">
      <c r="A413">
        <v>411</v>
      </c>
      <c r="B413">
        <v>6543</v>
      </c>
      <c r="C413" t="b">
        <v>1</v>
      </c>
      <c r="D413">
        <v>8037</v>
      </c>
      <c r="E413">
        <v>8129</v>
      </c>
      <c r="F413">
        <v>5.6</v>
      </c>
      <c r="G413">
        <v>10</v>
      </c>
      <c r="H413">
        <v>0.56000000000000005</v>
      </c>
      <c r="I413">
        <v>0.44</v>
      </c>
      <c r="J413">
        <v>0.64102559999999997</v>
      </c>
    </row>
    <row r="414" spans="1:10" x14ac:dyDescent="0.3">
      <c r="A414">
        <v>412</v>
      </c>
      <c r="B414">
        <v>6559</v>
      </c>
      <c r="C414" t="b">
        <v>1</v>
      </c>
      <c r="D414">
        <v>8037</v>
      </c>
      <c r="E414">
        <v>8129</v>
      </c>
      <c r="F414">
        <v>4.8666669999999996</v>
      </c>
      <c r="G414">
        <v>10.8</v>
      </c>
      <c r="H414">
        <v>0.45061728000000001</v>
      </c>
      <c r="I414">
        <v>0.5493827</v>
      </c>
      <c r="J414">
        <v>0.68936169999999997</v>
      </c>
    </row>
    <row r="415" spans="1:10" x14ac:dyDescent="0.3">
      <c r="A415">
        <v>413</v>
      </c>
      <c r="B415">
        <v>6575</v>
      </c>
      <c r="C415" t="b">
        <v>1</v>
      </c>
      <c r="D415">
        <v>8042</v>
      </c>
      <c r="E415">
        <v>8123</v>
      </c>
      <c r="F415">
        <v>4.1333330000000004</v>
      </c>
      <c r="G415">
        <v>10.8</v>
      </c>
      <c r="H415">
        <v>0.38271602999999998</v>
      </c>
      <c r="I415">
        <v>0.61728393999999998</v>
      </c>
      <c r="J415">
        <v>0.72321427000000005</v>
      </c>
    </row>
    <row r="416" spans="1:10" x14ac:dyDescent="0.3">
      <c r="A416">
        <v>414</v>
      </c>
      <c r="B416">
        <v>6590</v>
      </c>
      <c r="C416" t="b">
        <v>1</v>
      </c>
      <c r="D416">
        <v>8048</v>
      </c>
      <c r="E416">
        <v>8117</v>
      </c>
      <c r="F416">
        <v>3.4</v>
      </c>
      <c r="G416">
        <v>10.8</v>
      </c>
      <c r="H416">
        <v>0.31481480000000001</v>
      </c>
      <c r="I416">
        <v>0.68518520000000005</v>
      </c>
      <c r="J416">
        <v>0.7605634</v>
      </c>
    </row>
    <row r="417" spans="1:10" x14ac:dyDescent="0.3">
      <c r="A417">
        <v>415</v>
      </c>
      <c r="B417">
        <v>6606</v>
      </c>
      <c r="C417" t="b">
        <v>1</v>
      </c>
      <c r="D417">
        <v>8042</v>
      </c>
      <c r="E417">
        <v>8117</v>
      </c>
      <c r="F417">
        <v>3.4</v>
      </c>
      <c r="G417">
        <v>10.4</v>
      </c>
      <c r="H417">
        <v>0.32692310000000002</v>
      </c>
      <c r="I417">
        <v>0.67307689999999998</v>
      </c>
      <c r="J417">
        <v>0.75362320000000005</v>
      </c>
    </row>
    <row r="418" spans="1:10" x14ac:dyDescent="0.3">
      <c r="A418">
        <v>416</v>
      </c>
      <c r="B418">
        <v>6622</v>
      </c>
      <c r="C418" t="b">
        <v>1</v>
      </c>
      <c r="D418">
        <v>8048</v>
      </c>
      <c r="E418">
        <v>8117</v>
      </c>
      <c r="F418">
        <v>3.4</v>
      </c>
      <c r="G418">
        <v>9.6</v>
      </c>
      <c r="H418">
        <v>0.35416666000000002</v>
      </c>
      <c r="I418">
        <v>0.64583330000000005</v>
      </c>
      <c r="J418">
        <v>0.73846155000000002</v>
      </c>
    </row>
    <row r="419" spans="1:10" x14ac:dyDescent="0.3">
      <c r="A419">
        <v>417</v>
      </c>
      <c r="B419">
        <v>6638</v>
      </c>
      <c r="C419" t="b">
        <v>1</v>
      </c>
      <c r="D419">
        <v>8048</v>
      </c>
      <c r="E419">
        <v>8117</v>
      </c>
      <c r="F419">
        <v>3.8</v>
      </c>
      <c r="G419">
        <v>8.8000000000000007</v>
      </c>
      <c r="H419">
        <v>0.43181816000000001</v>
      </c>
      <c r="I419">
        <v>0.56818179999999996</v>
      </c>
      <c r="J419">
        <v>0.6984127</v>
      </c>
    </row>
    <row r="420" spans="1:10" x14ac:dyDescent="0.3">
      <c r="A420">
        <v>418</v>
      </c>
      <c r="B420">
        <v>6654</v>
      </c>
      <c r="C420" t="b">
        <v>1</v>
      </c>
      <c r="D420">
        <v>8048</v>
      </c>
      <c r="E420">
        <v>8117</v>
      </c>
      <c r="F420">
        <v>4.2</v>
      </c>
      <c r="G420">
        <v>8</v>
      </c>
      <c r="H420">
        <v>0.52500000000000002</v>
      </c>
      <c r="I420">
        <v>0.47500002000000002</v>
      </c>
      <c r="J420">
        <v>0.65573769999999998</v>
      </c>
    </row>
    <row r="421" spans="1:10" x14ac:dyDescent="0.3">
      <c r="A421">
        <v>419</v>
      </c>
      <c r="B421">
        <v>6670</v>
      </c>
      <c r="C421" t="b">
        <v>1</v>
      </c>
      <c r="D421">
        <v>8042</v>
      </c>
      <c r="E421">
        <v>8123</v>
      </c>
      <c r="F421">
        <v>4.2</v>
      </c>
      <c r="G421">
        <v>7.6</v>
      </c>
      <c r="H421">
        <v>0.55263156000000002</v>
      </c>
      <c r="I421">
        <v>0.44736843999999998</v>
      </c>
      <c r="J421">
        <v>0.64406779999999997</v>
      </c>
    </row>
    <row r="422" spans="1:10" x14ac:dyDescent="0.3">
      <c r="A422">
        <v>420</v>
      </c>
      <c r="B422">
        <v>6685</v>
      </c>
      <c r="C422" t="b">
        <v>1</v>
      </c>
      <c r="D422">
        <v>8048</v>
      </c>
      <c r="E422">
        <v>8129</v>
      </c>
      <c r="F422">
        <v>4.2</v>
      </c>
      <c r="G422">
        <v>7.2</v>
      </c>
      <c r="H422">
        <v>0.58333330000000005</v>
      </c>
      <c r="I422">
        <v>0.4166667</v>
      </c>
      <c r="J422">
        <v>0.63157890000000005</v>
      </c>
    </row>
    <row r="423" spans="1:10" x14ac:dyDescent="0.3">
      <c r="A423">
        <v>421</v>
      </c>
      <c r="B423">
        <v>6701</v>
      </c>
      <c r="C423" t="b">
        <v>1</v>
      </c>
      <c r="D423">
        <v>8042</v>
      </c>
      <c r="E423">
        <v>8123</v>
      </c>
      <c r="F423">
        <v>4.2</v>
      </c>
      <c r="G423">
        <v>7.2</v>
      </c>
      <c r="H423">
        <v>0.58333330000000005</v>
      </c>
      <c r="I423">
        <v>0.4166667</v>
      </c>
      <c r="J423">
        <v>0.63157890000000005</v>
      </c>
    </row>
    <row r="424" spans="1:10" x14ac:dyDescent="0.3">
      <c r="A424">
        <v>422</v>
      </c>
      <c r="B424">
        <v>6717</v>
      </c>
      <c r="C424" t="b">
        <v>1</v>
      </c>
      <c r="D424">
        <v>8042</v>
      </c>
      <c r="E424">
        <v>8123</v>
      </c>
      <c r="F424">
        <v>3.8</v>
      </c>
      <c r="G424">
        <v>7.2</v>
      </c>
      <c r="H424">
        <v>0.52777779999999996</v>
      </c>
      <c r="I424">
        <v>0.47222219999999998</v>
      </c>
      <c r="J424">
        <v>0.65454540000000005</v>
      </c>
    </row>
    <row r="425" spans="1:10" x14ac:dyDescent="0.3">
      <c r="A425">
        <v>423</v>
      </c>
      <c r="B425">
        <v>6733</v>
      </c>
      <c r="C425" t="b">
        <v>1</v>
      </c>
      <c r="D425">
        <v>8048</v>
      </c>
      <c r="E425">
        <v>8123</v>
      </c>
      <c r="F425">
        <v>3.4</v>
      </c>
      <c r="G425">
        <v>7.2</v>
      </c>
      <c r="H425">
        <v>0.47222224000000002</v>
      </c>
      <c r="I425">
        <v>0.52777772999999994</v>
      </c>
      <c r="J425">
        <v>0.67924523000000003</v>
      </c>
    </row>
    <row r="426" spans="1:10" x14ac:dyDescent="0.3">
      <c r="A426">
        <v>424</v>
      </c>
      <c r="B426">
        <v>6749</v>
      </c>
      <c r="C426" t="b">
        <v>1</v>
      </c>
      <c r="D426">
        <v>8042</v>
      </c>
      <c r="E426">
        <v>8129</v>
      </c>
      <c r="F426">
        <v>3</v>
      </c>
      <c r="G426">
        <v>7.2</v>
      </c>
      <c r="H426">
        <v>0.4166667</v>
      </c>
      <c r="I426">
        <v>0.58333330000000005</v>
      </c>
      <c r="J426">
        <v>0.70588240000000002</v>
      </c>
    </row>
    <row r="427" spans="1:10" x14ac:dyDescent="0.3">
      <c r="A427">
        <v>425</v>
      </c>
      <c r="B427">
        <v>6764</v>
      </c>
      <c r="C427" t="b">
        <v>1</v>
      </c>
      <c r="D427">
        <v>8048</v>
      </c>
      <c r="E427">
        <v>8117</v>
      </c>
      <c r="F427">
        <v>3</v>
      </c>
      <c r="G427">
        <v>7.2</v>
      </c>
      <c r="H427">
        <v>0.4166667</v>
      </c>
      <c r="I427">
        <v>0.58333330000000005</v>
      </c>
      <c r="J427">
        <v>0.70588240000000002</v>
      </c>
    </row>
    <row r="428" spans="1:10" x14ac:dyDescent="0.3">
      <c r="A428">
        <v>426</v>
      </c>
      <c r="B428">
        <v>6780</v>
      </c>
      <c r="C428" t="b">
        <v>1</v>
      </c>
      <c r="D428">
        <v>8048</v>
      </c>
      <c r="E428">
        <v>8123</v>
      </c>
      <c r="F428">
        <v>3.4</v>
      </c>
      <c r="G428">
        <v>7.2</v>
      </c>
      <c r="H428">
        <v>0.47222224000000002</v>
      </c>
      <c r="I428">
        <v>0.52777772999999994</v>
      </c>
      <c r="J428">
        <v>0.67924523000000003</v>
      </c>
    </row>
    <row r="429" spans="1:10" x14ac:dyDescent="0.3">
      <c r="A429">
        <v>427</v>
      </c>
      <c r="B429">
        <v>6796</v>
      </c>
      <c r="C429" t="b">
        <v>1</v>
      </c>
      <c r="D429">
        <v>8048</v>
      </c>
      <c r="E429">
        <v>8123</v>
      </c>
      <c r="F429">
        <v>4.1333330000000004</v>
      </c>
      <c r="G429">
        <v>6.8</v>
      </c>
      <c r="H429">
        <v>0.60784309999999997</v>
      </c>
      <c r="I429">
        <v>0.39215689999999997</v>
      </c>
      <c r="J429">
        <v>0.62195120000000004</v>
      </c>
    </row>
    <row r="430" spans="1:10" x14ac:dyDescent="0.3">
      <c r="A430">
        <v>428</v>
      </c>
      <c r="B430">
        <v>6812</v>
      </c>
      <c r="C430" t="b">
        <v>1</v>
      </c>
      <c r="D430">
        <v>8048</v>
      </c>
      <c r="E430">
        <v>8123</v>
      </c>
      <c r="F430">
        <v>4.8666669999999996</v>
      </c>
      <c r="G430">
        <v>6.4</v>
      </c>
      <c r="H430">
        <v>0.76041669999999995</v>
      </c>
      <c r="I430">
        <v>0.23958333000000001</v>
      </c>
      <c r="J430">
        <v>0.56804734000000001</v>
      </c>
    </row>
    <row r="431" spans="1:10" x14ac:dyDescent="0.3">
      <c r="A431">
        <v>429</v>
      </c>
      <c r="B431">
        <v>6828</v>
      </c>
      <c r="C431" t="b">
        <v>1</v>
      </c>
      <c r="D431">
        <v>8048</v>
      </c>
      <c r="E431">
        <v>8129</v>
      </c>
      <c r="F431">
        <v>5.6</v>
      </c>
      <c r="G431">
        <v>6</v>
      </c>
      <c r="H431">
        <v>0.93333334000000001</v>
      </c>
      <c r="I431">
        <v>6.6666685000000003E-2</v>
      </c>
      <c r="J431">
        <v>0.51724135999999998</v>
      </c>
    </row>
    <row r="432" spans="1:10" x14ac:dyDescent="0.3">
      <c r="A432">
        <v>430</v>
      </c>
      <c r="B432">
        <v>6844</v>
      </c>
      <c r="C432" t="b">
        <v>1</v>
      </c>
      <c r="D432">
        <v>8048</v>
      </c>
      <c r="E432">
        <v>8123</v>
      </c>
      <c r="F432">
        <v>6</v>
      </c>
      <c r="G432">
        <v>6</v>
      </c>
      <c r="H432">
        <v>1</v>
      </c>
      <c r="I432">
        <v>0</v>
      </c>
      <c r="J432">
        <v>0.5</v>
      </c>
    </row>
    <row r="433" spans="1:10" x14ac:dyDescent="0.3">
      <c r="A433">
        <v>431</v>
      </c>
      <c r="B433">
        <v>6860</v>
      </c>
      <c r="C433" t="b">
        <v>1</v>
      </c>
      <c r="D433">
        <v>8048</v>
      </c>
      <c r="E433">
        <v>8123</v>
      </c>
      <c r="F433">
        <v>6.4</v>
      </c>
      <c r="G433">
        <v>6.4</v>
      </c>
      <c r="H433">
        <v>1</v>
      </c>
      <c r="I433">
        <v>0</v>
      </c>
      <c r="J433">
        <v>0.5</v>
      </c>
    </row>
    <row r="434" spans="1:10" x14ac:dyDescent="0.3">
      <c r="A434">
        <v>432</v>
      </c>
      <c r="B434">
        <v>6876</v>
      </c>
      <c r="C434" t="b">
        <v>1</v>
      </c>
      <c r="D434">
        <v>8048</v>
      </c>
      <c r="E434">
        <v>8117</v>
      </c>
      <c r="F434">
        <v>6.4</v>
      </c>
      <c r="G434">
        <v>6.8</v>
      </c>
      <c r="H434">
        <v>0.94117649999999997</v>
      </c>
      <c r="I434">
        <v>5.8823540000000001E-2</v>
      </c>
      <c r="J434">
        <v>0.51515149999999998</v>
      </c>
    </row>
    <row r="435" spans="1:10" x14ac:dyDescent="0.3">
      <c r="A435">
        <v>433</v>
      </c>
      <c r="B435">
        <v>6891</v>
      </c>
      <c r="C435" t="b">
        <v>1</v>
      </c>
      <c r="D435">
        <v>8048</v>
      </c>
      <c r="E435">
        <v>8129</v>
      </c>
      <c r="F435">
        <v>6.4</v>
      </c>
      <c r="G435">
        <v>7.2</v>
      </c>
      <c r="H435">
        <v>0.88888895999999995</v>
      </c>
      <c r="I435">
        <v>0.111111075</v>
      </c>
      <c r="J435">
        <v>0.52941172999999997</v>
      </c>
    </row>
    <row r="436" spans="1:10" x14ac:dyDescent="0.3">
      <c r="A436">
        <v>434</v>
      </c>
      <c r="B436">
        <v>6907</v>
      </c>
      <c r="C436" t="b">
        <v>1</v>
      </c>
      <c r="D436">
        <v>8048</v>
      </c>
      <c r="E436">
        <v>8134</v>
      </c>
      <c r="F436">
        <v>6.4</v>
      </c>
      <c r="G436">
        <v>7.6</v>
      </c>
      <c r="H436">
        <v>0.84210527000000002</v>
      </c>
      <c r="I436">
        <v>0.15789471999999999</v>
      </c>
      <c r="J436">
        <v>0.54285709999999998</v>
      </c>
    </row>
    <row r="437" spans="1:10" x14ac:dyDescent="0.3">
      <c r="A437">
        <v>435</v>
      </c>
      <c r="B437">
        <v>6923</v>
      </c>
      <c r="C437" t="b">
        <v>1</v>
      </c>
      <c r="D437">
        <v>8048</v>
      </c>
      <c r="E437">
        <v>8123</v>
      </c>
      <c r="F437">
        <v>6.4</v>
      </c>
      <c r="G437">
        <v>8</v>
      </c>
      <c r="H437">
        <v>0.8</v>
      </c>
      <c r="I437">
        <v>0.19999998999999999</v>
      </c>
      <c r="J437">
        <v>0.55555560000000004</v>
      </c>
    </row>
    <row r="438" spans="1:10" x14ac:dyDescent="0.3">
      <c r="A438">
        <v>436</v>
      </c>
      <c r="B438">
        <v>6938</v>
      </c>
      <c r="C438" t="b">
        <v>1</v>
      </c>
      <c r="D438">
        <v>8042</v>
      </c>
      <c r="E438">
        <v>8123</v>
      </c>
      <c r="F438">
        <v>6.4</v>
      </c>
      <c r="G438">
        <v>8</v>
      </c>
      <c r="H438">
        <v>0.8</v>
      </c>
      <c r="I438">
        <v>0.19999998999999999</v>
      </c>
      <c r="J438">
        <v>0.55555560000000004</v>
      </c>
    </row>
    <row r="439" spans="1:10" x14ac:dyDescent="0.3">
      <c r="A439">
        <v>437</v>
      </c>
      <c r="B439">
        <v>6954</v>
      </c>
      <c r="C439" t="b">
        <v>1</v>
      </c>
      <c r="D439">
        <v>8048</v>
      </c>
      <c r="E439">
        <v>8123</v>
      </c>
      <c r="F439">
        <v>6.8</v>
      </c>
      <c r="G439">
        <v>8</v>
      </c>
      <c r="H439">
        <v>0.85</v>
      </c>
      <c r="I439">
        <v>0.14999998</v>
      </c>
      <c r="J439">
        <v>0.54054049999999998</v>
      </c>
    </row>
    <row r="440" spans="1:10" x14ac:dyDescent="0.3">
      <c r="A440">
        <v>438</v>
      </c>
      <c r="B440">
        <v>6970</v>
      </c>
      <c r="C440" t="b">
        <v>1</v>
      </c>
      <c r="D440">
        <v>8048</v>
      </c>
      <c r="E440">
        <v>8123</v>
      </c>
      <c r="F440">
        <v>7.2</v>
      </c>
      <c r="G440">
        <v>8</v>
      </c>
      <c r="H440">
        <v>0.9</v>
      </c>
      <c r="I440">
        <v>0.10000002400000001</v>
      </c>
      <c r="J440">
        <v>0.5263158</v>
      </c>
    </row>
    <row r="441" spans="1:10" x14ac:dyDescent="0.3">
      <c r="A441">
        <v>439</v>
      </c>
      <c r="B441">
        <v>6986</v>
      </c>
      <c r="C441" t="b">
        <v>1</v>
      </c>
      <c r="D441">
        <v>8042</v>
      </c>
      <c r="E441">
        <v>8123</v>
      </c>
      <c r="F441">
        <v>7.6</v>
      </c>
      <c r="G441">
        <v>8</v>
      </c>
      <c r="H441">
        <v>0.95</v>
      </c>
      <c r="I441">
        <v>5.0000012000000003E-2</v>
      </c>
      <c r="J441">
        <v>0.51282050000000001</v>
      </c>
    </row>
    <row r="442" spans="1:10" x14ac:dyDescent="0.3">
      <c r="A442">
        <v>440</v>
      </c>
      <c r="B442">
        <v>7002</v>
      </c>
      <c r="C442" t="b">
        <v>1</v>
      </c>
      <c r="D442">
        <v>8048</v>
      </c>
      <c r="E442">
        <v>8123</v>
      </c>
      <c r="F442">
        <v>8</v>
      </c>
      <c r="G442">
        <v>8</v>
      </c>
      <c r="H442">
        <v>1</v>
      </c>
      <c r="I442">
        <v>0</v>
      </c>
      <c r="J442">
        <v>0.5</v>
      </c>
    </row>
    <row r="443" spans="1:10" x14ac:dyDescent="0.3">
      <c r="A443">
        <v>441</v>
      </c>
      <c r="B443">
        <v>7018</v>
      </c>
      <c r="C443" t="b">
        <v>1</v>
      </c>
      <c r="D443">
        <v>8048</v>
      </c>
      <c r="E443">
        <v>8123</v>
      </c>
      <c r="F443">
        <v>8</v>
      </c>
      <c r="G443">
        <v>8</v>
      </c>
      <c r="H443">
        <v>1</v>
      </c>
      <c r="I443">
        <v>0</v>
      </c>
      <c r="J443">
        <v>0.5</v>
      </c>
    </row>
    <row r="444" spans="1:10" x14ac:dyDescent="0.3">
      <c r="A444">
        <v>442</v>
      </c>
      <c r="B444">
        <v>7034</v>
      </c>
      <c r="C444" t="b">
        <v>1</v>
      </c>
      <c r="D444">
        <v>8042</v>
      </c>
      <c r="E444">
        <v>8123</v>
      </c>
      <c r="F444">
        <v>8</v>
      </c>
      <c r="G444">
        <v>8</v>
      </c>
      <c r="H444">
        <v>1</v>
      </c>
      <c r="I444">
        <v>0</v>
      </c>
      <c r="J444">
        <v>0.5</v>
      </c>
    </row>
    <row r="445" spans="1:10" x14ac:dyDescent="0.3">
      <c r="A445">
        <v>443</v>
      </c>
      <c r="B445">
        <v>7049</v>
      </c>
      <c r="C445" t="b">
        <v>1</v>
      </c>
      <c r="D445">
        <v>8048</v>
      </c>
      <c r="E445">
        <v>8123</v>
      </c>
      <c r="F445">
        <v>8</v>
      </c>
      <c r="G445">
        <v>8</v>
      </c>
      <c r="H445">
        <v>1</v>
      </c>
      <c r="I445">
        <v>0</v>
      </c>
      <c r="J445">
        <v>0.5</v>
      </c>
    </row>
    <row r="446" spans="1:10" x14ac:dyDescent="0.3">
      <c r="A446">
        <v>444</v>
      </c>
      <c r="B446">
        <v>7065</v>
      </c>
      <c r="C446" t="b">
        <v>1</v>
      </c>
      <c r="D446">
        <v>8042</v>
      </c>
      <c r="E446">
        <v>8123</v>
      </c>
      <c r="F446">
        <v>8</v>
      </c>
      <c r="G446">
        <v>8</v>
      </c>
      <c r="H446">
        <v>1</v>
      </c>
      <c r="I446">
        <v>0</v>
      </c>
      <c r="J446">
        <v>0.5</v>
      </c>
    </row>
    <row r="447" spans="1:10" x14ac:dyDescent="0.3">
      <c r="A447">
        <v>445</v>
      </c>
      <c r="B447">
        <v>7081</v>
      </c>
      <c r="C447" t="b">
        <v>1</v>
      </c>
      <c r="D447">
        <v>8048</v>
      </c>
      <c r="E447">
        <v>8129</v>
      </c>
      <c r="F447">
        <v>8</v>
      </c>
      <c r="G447">
        <v>8</v>
      </c>
      <c r="H447">
        <v>1</v>
      </c>
      <c r="I447">
        <v>0</v>
      </c>
      <c r="J447">
        <v>0.5</v>
      </c>
    </row>
    <row r="448" spans="1:10" x14ac:dyDescent="0.3">
      <c r="A448">
        <v>446</v>
      </c>
      <c r="B448">
        <v>7097</v>
      </c>
      <c r="C448" t="b">
        <v>1</v>
      </c>
      <c r="D448">
        <v>8048</v>
      </c>
      <c r="E448">
        <v>8129</v>
      </c>
      <c r="F448">
        <v>8</v>
      </c>
      <c r="G448">
        <v>8</v>
      </c>
      <c r="H448">
        <v>1</v>
      </c>
      <c r="I448">
        <v>0</v>
      </c>
      <c r="J448">
        <v>0.5</v>
      </c>
    </row>
    <row r="449" spans="1:10" x14ac:dyDescent="0.3">
      <c r="A449">
        <v>447</v>
      </c>
      <c r="B449">
        <v>7113</v>
      </c>
      <c r="C449" t="b">
        <v>1</v>
      </c>
      <c r="D449">
        <v>8048</v>
      </c>
      <c r="E449">
        <v>8134</v>
      </c>
      <c r="F449">
        <v>8</v>
      </c>
      <c r="G449">
        <v>8.4</v>
      </c>
      <c r="H449">
        <v>0.95238100000000003</v>
      </c>
      <c r="I449">
        <v>4.7619003999999999E-2</v>
      </c>
      <c r="J449">
        <v>0.51219510000000001</v>
      </c>
    </row>
    <row r="450" spans="1:10" x14ac:dyDescent="0.3">
      <c r="A450">
        <v>448</v>
      </c>
      <c r="B450">
        <v>7129</v>
      </c>
      <c r="C450" t="b">
        <v>1</v>
      </c>
      <c r="D450">
        <v>8048</v>
      </c>
      <c r="E450">
        <v>8129</v>
      </c>
      <c r="F450">
        <v>8</v>
      </c>
      <c r="G450">
        <v>8.8000000000000007</v>
      </c>
      <c r="H450">
        <v>0.90909090000000004</v>
      </c>
      <c r="I450">
        <v>9.0909110000000001E-2</v>
      </c>
      <c r="J450">
        <v>0.52380954999999996</v>
      </c>
    </row>
    <row r="451" spans="1:10" x14ac:dyDescent="0.3">
      <c r="A451">
        <v>449</v>
      </c>
      <c r="B451">
        <v>7145</v>
      </c>
      <c r="C451" t="b">
        <v>1</v>
      </c>
      <c r="D451">
        <v>8054</v>
      </c>
      <c r="E451">
        <v>8123</v>
      </c>
      <c r="F451">
        <v>8</v>
      </c>
      <c r="G451">
        <v>9.1999999999999993</v>
      </c>
      <c r="H451">
        <v>0.86956524999999996</v>
      </c>
      <c r="I451">
        <v>0.13043477000000001</v>
      </c>
      <c r="J451">
        <v>0.53488369999999996</v>
      </c>
    </row>
    <row r="452" spans="1:10" x14ac:dyDescent="0.3">
      <c r="A452">
        <v>450</v>
      </c>
      <c r="B452">
        <v>7160</v>
      </c>
      <c r="C452" t="b">
        <v>1</v>
      </c>
      <c r="D452">
        <v>8048</v>
      </c>
      <c r="E452">
        <v>8129</v>
      </c>
      <c r="F452">
        <v>8</v>
      </c>
      <c r="G452">
        <v>9.6</v>
      </c>
      <c r="H452">
        <v>0.83333330000000005</v>
      </c>
      <c r="I452">
        <v>0.1666667</v>
      </c>
      <c r="J452">
        <v>0.54545456000000003</v>
      </c>
    </row>
    <row r="453" spans="1:10" x14ac:dyDescent="0.3">
      <c r="A453">
        <v>451</v>
      </c>
      <c r="B453">
        <v>7176</v>
      </c>
      <c r="C453" t="b">
        <v>1</v>
      </c>
      <c r="D453">
        <v>8042</v>
      </c>
      <c r="E453">
        <v>8129</v>
      </c>
      <c r="F453">
        <v>8</v>
      </c>
      <c r="G453">
        <v>10</v>
      </c>
      <c r="H453">
        <v>0.8</v>
      </c>
      <c r="I453">
        <v>0.2</v>
      </c>
      <c r="J453">
        <v>0.55555560000000004</v>
      </c>
    </row>
    <row r="454" spans="1:10" x14ac:dyDescent="0.3">
      <c r="A454">
        <v>452</v>
      </c>
      <c r="B454">
        <v>7192</v>
      </c>
      <c r="C454" t="b">
        <v>1</v>
      </c>
      <c r="D454">
        <v>8048</v>
      </c>
      <c r="E454">
        <v>8129</v>
      </c>
      <c r="F454">
        <v>8</v>
      </c>
      <c r="G454">
        <v>10.4</v>
      </c>
      <c r="H454">
        <v>0.76923079999999999</v>
      </c>
      <c r="I454">
        <v>0.23076920000000001</v>
      </c>
      <c r="J454">
        <v>0.56521739999999998</v>
      </c>
    </row>
    <row r="455" spans="1:10" x14ac:dyDescent="0.3">
      <c r="A455">
        <v>453</v>
      </c>
      <c r="B455">
        <v>7208</v>
      </c>
      <c r="C455" t="b">
        <v>1</v>
      </c>
      <c r="D455">
        <v>8048</v>
      </c>
      <c r="E455">
        <v>8123</v>
      </c>
      <c r="F455">
        <v>8</v>
      </c>
      <c r="G455">
        <v>10.8</v>
      </c>
      <c r="H455">
        <v>0.74074070000000003</v>
      </c>
      <c r="I455">
        <v>0.25925927999999998</v>
      </c>
      <c r="J455">
        <v>0.57446814000000002</v>
      </c>
    </row>
    <row r="456" spans="1:10" x14ac:dyDescent="0.3">
      <c r="A456">
        <v>454</v>
      </c>
      <c r="B456">
        <v>7223</v>
      </c>
      <c r="C456" t="b">
        <v>1</v>
      </c>
      <c r="D456">
        <v>8048</v>
      </c>
      <c r="E456">
        <v>8123</v>
      </c>
      <c r="F456">
        <v>8</v>
      </c>
      <c r="G456">
        <v>11.2</v>
      </c>
      <c r="H456">
        <v>0.71428572999999995</v>
      </c>
      <c r="I456">
        <v>0.28571426999999999</v>
      </c>
      <c r="J456">
        <v>0.58333330000000005</v>
      </c>
    </row>
    <row r="457" spans="1:10" x14ac:dyDescent="0.3">
      <c r="A457">
        <v>455</v>
      </c>
      <c r="B457">
        <v>7239</v>
      </c>
      <c r="C457" t="b">
        <v>1</v>
      </c>
      <c r="D457">
        <v>8048</v>
      </c>
      <c r="E457">
        <v>8123</v>
      </c>
      <c r="F457">
        <v>8</v>
      </c>
      <c r="G457">
        <v>11.2</v>
      </c>
      <c r="H457">
        <v>0.71428572999999995</v>
      </c>
      <c r="I457">
        <v>0.28571426999999999</v>
      </c>
      <c r="J457">
        <v>0.58333330000000005</v>
      </c>
    </row>
    <row r="458" spans="1:10" x14ac:dyDescent="0.3">
      <c r="A458">
        <v>456</v>
      </c>
      <c r="B458">
        <v>7254</v>
      </c>
      <c r="C458" t="b">
        <v>1</v>
      </c>
      <c r="D458">
        <v>8048</v>
      </c>
      <c r="E458">
        <v>8123</v>
      </c>
      <c r="F458">
        <v>8</v>
      </c>
      <c r="G458">
        <v>11.2</v>
      </c>
      <c r="H458">
        <v>0.71428572999999995</v>
      </c>
      <c r="I458">
        <v>0.28571426999999999</v>
      </c>
      <c r="J458">
        <v>0.58333330000000005</v>
      </c>
    </row>
    <row r="459" spans="1:10" x14ac:dyDescent="0.3">
      <c r="A459">
        <v>457</v>
      </c>
      <c r="B459">
        <v>7270</v>
      </c>
      <c r="C459" t="b">
        <v>1</v>
      </c>
      <c r="D459">
        <v>8048</v>
      </c>
      <c r="E459">
        <v>8123</v>
      </c>
      <c r="F459">
        <v>8</v>
      </c>
      <c r="G459">
        <v>11.2</v>
      </c>
      <c r="H459">
        <v>0.71428572999999995</v>
      </c>
      <c r="I459">
        <v>0.28571426999999999</v>
      </c>
      <c r="J459">
        <v>0.58333330000000005</v>
      </c>
    </row>
    <row r="460" spans="1:10" x14ac:dyDescent="0.3">
      <c r="A460">
        <v>458</v>
      </c>
      <c r="B460">
        <v>7286</v>
      </c>
      <c r="C460" t="b">
        <v>1</v>
      </c>
      <c r="D460">
        <v>8048</v>
      </c>
      <c r="E460">
        <v>8123</v>
      </c>
      <c r="F460">
        <v>8</v>
      </c>
      <c r="G460">
        <v>11.2</v>
      </c>
      <c r="H460">
        <v>0.71428572999999995</v>
      </c>
      <c r="I460">
        <v>0.28571426999999999</v>
      </c>
      <c r="J460">
        <v>0.58333330000000005</v>
      </c>
    </row>
    <row r="461" spans="1:10" x14ac:dyDescent="0.3">
      <c r="A461">
        <v>459</v>
      </c>
      <c r="B461">
        <v>7302</v>
      </c>
      <c r="C461" t="b">
        <v>1</v>
      </c>
      <c r="D461">
        <v>8048</v>
      </c>
      <c r="E461">
        <v>8123</v>
      </c>
      <c r="F461">
        <v>8</v>
      </c>
      <c r="G461">
        <v>11.2</v>
      </c>
      <c r="H461">
        <v>0.71428572999999995</v>
      </c>
      <c r="I461">
        <v>0.28571426999999999</v>
      </c>
      <c r="J461">
        <v>0.58333330000000005</v>
      </c>
    </row>
    <row r="462" spans="1:10" x14ac:dyDescent="0.3">
      <c r="A462">
        <v>460</v>
      </c>
      <c r="B462">
        <v>7318</v>
      </c>
      <c r="C462" t="b">
        <v>1</v>
      </c>
      <c r="D462">
        <v>8048</v>
      </c>
      <c r="E462">
        <v>8123</v>
      </c>
      <c r="F462">
        <v>8</v>
      </c>
      <c r="G462">
        <v>11.2</v>
      </c>
      <c r="H462">
        <v>0.71428572999999995</v>
      </c>
      <c r="I462">
        <v>0.28571426999999999</v>
      </c>
      <c r="J462">
        <v>0.58333330000000005</v>
      </c>
    </row>
    <row r="463" spans="1:10" x14ac:dyDescent="0.3">
      <c r="A463">
        <v>461</v>
      </c>
      <c r="B463">
        <v>7333</v>
      </c>
      <c r="C463" t="b">
        <v>1</v>
      </c>
      <c r="D463">
        <v>8048</v>
      </c>
      <c r="E463">
        <v>8123</v>
      </c>
      <c r="F463">
        <v>8</v>
      </c>
      <c r="G463">
        <v>11.2</v>
      </c>
      <c r="H463">
        <v>0.71428572999999995</v>
      </c>
      <c r="I463">
        <v>0.28571426999999999</v>
      </c>
      <c r="J463">
        <v>0.58333330000000005</v>
      </c>
    </row>
    <row r="464" spans="1:10" x14ac:dyDescent="0.3">
      <c r="A464">
        <v>462</v>
      </c>
      <c r="B464">
        <v>7349</v>
      </c>
      <c r="C464" t="b">
        <v>1</v>
      </c>
      <c r="D464">
        <v>8048</v>
      </c>
      <c r="E464">
        <v>8129</v>
      </c>
      <c r="F464">
        <v>8</v>
      </c>
      <c r="G464">
        <v>10.8</v>
      </c>
      <c r="H464">
        <v>0.74074070000000003</v>
      </c>
      <c r="I464">
        <v>0.25925927999999998</v>
      </c>
      <c r="J464">
        <v>0.57446814000000002</v>
      </c>
    </row>
    <row r="465" spans="1:10" x14ac:dyDescent="0.3">
      <c r="A465">
        <v>463</v>
      </c>
      <c r="B465">
        <v>7365</v>
      </c>
      <c r="C465" t="b">
        <v>1</v>
      </c>
      <c r="D465">
        <v>8048</v>
      </c>
      <c r="E465">
        <v>8129</v>
      </c>
      <c r="F465">
        <v>8</v>
      </c>
      <c r="G465">
        <v>10.4</v>
      </c>
      <c r="H465">
        <v>0.76923079999999999</v>
      </c>
      <c r="I465">
        <v>0.23076920000000001</v>
      </c>
      <c r="J465">
        <v>0.56521739999999998</v>
      </c>
    </row>
    <row r="466" spans="1:10" x14ac:dyDescent="0.3">
      <c r="A466">
        <v>464</v>
      </c>
      <c r="B466">
        <v>7381</v>
      </c>
      <c r="C466" t="b">
        <v>1</v>
      </c>
      <c r="D466">
        <v>8048</v>
      </c>
      <c r="E466">
        <v>8129</v>
      </c>
      <c r="F466">
        <v>8</v>
      </c>
      <c r="G466">
        <v>10.4</v>
      </c>
      <c r="H466">
        <v>0.76923079999999999</v>
      </c>
      <c r="I466">
        <v>0.23076920000000001</v>
      </c>
      <c r="J466">
        <v>0.56521739999999998</v>
      </c>
    </row>
    <row r="467" spans="1:10" x14ac:dyDescent="0.3">
      <c r="A467">
        <v>465</v>
      </c>
      <c r="B467">
        <v>7397</v>
      </c>
      <c r="C467" t="b">
        <v>1</v>
      </c>
      <c r="D467">
        <v>8048</v>
      </c>
      <c r="E467">
        <v>8123</v>
      </c>
      <c r="F467">
        <v>8</v>
      </c>
      <c r="G467">
        <v>10.4</v>
      </c>
      <c r="H467">
        <v>0.76923079999999999</v>
      </c>
      <c r="I467">
        <v>0.23076920000000001</v>
      </c>
      <c r="J467">
        <v>0.56521739999999998</v>
      </c>
    </row>
    <row r="468" spans="1:10" x14ac:dyDescent="0.3">
      <c r="A468">
        <v>466</v>
      </c>
      <c r="B468">
        <v>7413</v>
      </c>
      <c r="C468" t="b">
        <v>1</v>
      </c>
      <c r="D468">
        <v>8048</v>
      </c>
      <c r="E468">
        <v>8123</v>
      </c>
      <c r="F468">
        <v>8</v>
      </c>
      <c r="G468">
        <v>10.4</v>
      </c>
      <c r="H468">
        <v>0.76923079999999999</v>
      </c>
      <c r="I468">
        <v>0.23076920000000001</v>
      </c>
      <c r="J468">
        <v>0.56521739999999998</v>
      </c>
    </row>
    <row r="469" spans="1:10" x14ac:dyDescent="0.3">
      <c r="A469">
        <v>467</v>
      </c>
      <c r="B469">
        <v>7429</v>
      </c>
      <c r="C469" t="b">
        <v>1</v>
      </c>
      <c r="D469">
        <v>8048</v>
      </c>
      <c r="E469">
        <v>8123</v>
      </c>
      <c r="F469">
        <v>8</v>
      </c>
      <c r="G469">
        <v>10</v>
      </c>
      <c r="H469">
        <v>0.8</v>
      </c>
      <c r="I469">
        <v>0.2</v>
      </c>
      <c r="J469">
        <v>0.55555560000000004</v>
      </c>
    </row>
    <row r="470" spans="1:10" x14ac:dyDescent="0.3">
      <c r="A470">
        <v>468</v>
      </c>
      <c r="B470">
        <v>7445</v>
      </c>
      <c r="C470" t="b">
        <v>1</v>
      </c>
      <c r="D470">
        <v>8048</v>
      </c>
      <c r="E470">
        <v>8123</v>
      </c>
      <c r="F470">
        <v>8</v>
      </c>
      <c r="G470">
        <v>9.6</v>
      </c>
      <c r="H470">
        <v>0.83333330000000005</v>
      </c>
      <c r="I470">
        <v>0.1666667</v>
      </c>
      <c r="J470">
        <v>0.54545456000000003</v>
      </c>
    </row>
    <row r="471" spans="1:10" x14ac:dyDescent="0.3">
      <c r="A471">
        <v>469</v>
      </c>
      <c r="B471">
        <v>7461</v>
      </c>
      <c r="C471" t="b">
        <v>1</v>
      </c>
      <c r="D471">
        <v>8048</v>
      </c>
      <c r="E471">
        <v>8129</v>
      </c>
      <c r="F471">
        <v>8</v>
      </c>
      <c r="G471">
        <v>9.1999999999999993</v>
      </c>
      <c r="H471">
        <v>0.86956524999999996</v>
      </c>
      <c r="I471">
        <v>0.13043477000000001</v>
      </c>
      <c r="J471">
        <v>0.53488369999999996</v>
      </c>
    </row>
    <row r="472" spans="1:10" x14ac:dyDescent="0.3">
      <c r="A472">
        <v>470</v>
      </c>
      <c r="B472">
        <v>7477</v>
      </c>
      <c r="C472" t="b">
        <v>1</v>
      </c>
      <c r="D472">
        <v>8048</v>
      </c>
      <c r="E472">
        <v>8129</v>
      </c>
      <c r="F472">
        <v>8</v>
      </c>
      <c r="G472">
        <v>9.1999999999999993</v>
      </c>
      <c r="H472">
        <v>0.86956524999999996</v>
      </c>
      <c r="I472">
        <v>0.13043477000000001</v>
      </c>
      <c r="J472">
        <v>0.53488369999999996</v>
      </c>
    </row>
    <row r="473" spans="1:10" x14ac:dyDescent="0.3">
      <c r="A473">
        <v>471</v>
      </c>
      <c r="B473">
        <v>7493</v>
      </c>
      <c r="C473" t="b">
        <v>1</v>
      </c>
      <c r="D473">
        <v>8054</v>
      </c>
      <c r="E473">
        <v>8129</v>
      </c>
      <c r="F473">
        <v>8</v>
      </c>
      <c r="G473">
        <v>9.6</v>
      </c>
      <c r="H473">
        <v>0.83333330000000005</v>
      </c>
      <c r="I473">
        <v>0.1666667</v>
      </c>
      <c r="J473">
        <v>0.54545456000000003</v>
      </c>
    </row>
    <row r="474" spans="1:10" x14ac:dyDescent="0.3">
      <c r="A474">
        <v>472</v>
      </c>
      <c r="B474">
        <v>7509</v>
      </c>
      <c r="C474" t="b">
        <v>1</v>
      </c>
      <c r="D474">
        <v>8042</v>
      </c>
      <c r="E474">
        <v>8129</v>
      </c>
      <c r="F474">
        <v>8</v>
      </c>
      <c r="G474">
        <v>10</v>
      </c>
      <c r="H474">
        <v>0.8</v>
      </c>
      <c r="I474">
        <v>0.2</v>
      </c>
      <c r="J474">
        <v>0.55555560000000004</v>
      </c>
    </row>
    <row r="475" spans="1:10" x14ac:dyDescent="0.3">
      <c r="A475">
        <v>473</v>
      </c>
      <c r="B475">
        <v>7525</v>
      </c>
      <c r="C475" t="b">
        <v>1</v>
      </c>
      <c r="D475">
        <v>8042</v>
      </c>
      <c r="E475">
        <v>8123</v>
      </c>
      <c r="F475">
        <v>8</v>
      </c>
      <c r="G475">
        <v>10.4</v>
      </c>
      <c r="H475">
        <v>0.76923079999999999</v>
      </c>
      <c r="I475">
        <v>0.23076920000000001</v>
      </c>
      <c r="J475">
        <v>0.56521739999999998</v>
      </c>
    </row>
    <row r="476" spans="1:10" x14ac:dyDescent="0.3">
      <c r="A476">
        <v>474</v>
      </c>
      <c r="B476">
        <v>7540</v>
      </c>
      <c r="C476" t="b">
        <v>1</v>
      </c>
      <c r="D476">
        <v>8042</v>
      </c>
      <c r="E476">
        <v>8129</v>
      </c>
      <c r="F476">
        <v>7.6</v>
      </c>
      <c r="G476">
        <v>10.8</v>
      </c>
      <c r="H476">
        <v>0.70370370000000004</v>
      </c>
      <c r="I476">
        <v>0.29629633</v>
      </c>
      <c r="J476">
        <v>0.58695655999999996</v>
      </c>
    </row>
    <row r="477" spans="1:10" x14ac:dyDescent="0.3">
      <c r="A477">
        <v>475</v>
      </c>
      <c r="B477">
        <v>7556</v>
      </c>
      <c r="C477" t="b">
        <v>1</v>
      </c>
      <c r="D477">
        <v>8042</v>
      </c>
      <c r="E477">
        <v>8123</v>
      </c>
      <c r="F477">
        <v>7.2</v>
      </c>
      <c r="G477">
        <v>11.2</v>
      </c>
      <c r="H477">
        <v>0.64285713</v>
      </c>
      <c r="I477">
        <v>0.35714287</v>
      </c>
      <c r="J477">
        <v>0.6086956</v>
      </c>
    </row>
    <row r="478" spans="1:10" x14ac:dyDescent="0.3">
      <c r="A478">
        <v>476</v>
      </c>
      <c r="B478">
        <v>7572</v>
      </c>
      <c r="C478" t="b">
        <v>1</v>
      </c>
      <c r="D478">
        <v>8042</v>
      </c>
      <c r="E478">
        <v>8123</v>
      </c>
      <c r="F478">
        <v>6.8</v>
      </c>
      <c r="G478">
        <v>11.2</v>
      </c>
      <c r="H478">
        <v>0.60714287</v>
      </c>
      <c r="I478">
        <v>0.39285710000000001</v>
      </c>
      <c r="J478">
        <v>0.62222219999999995</v>
      </c>
    </row>
    <row r="479" spans="1:10" x14ac:dyDescent="0.3">
      <c r="A479">
        <v>477</v>
      </c>
      <c r="B479">
        <v>7587</v>
      </c>
      <c r="C479" t="b">
        <v>1</v>
      </c>
      <c r="D479">
        <v>8042</v>
      </c>
      <c r="E479">
        <v>8129</v>
      </c>
      <c r="F479">
        <v>6.4</v>
      </c>
      <c r="G479">
        <v>11.2</v>
      </c>
      <c r="H479">
        <v>0.57142859999999995</v>
      </c>
      <c r="I479">
        <v>0.42857139999999999</v>
      </c>
      <c r="J479">
        <v>0.63636360000000003</v>
      </c>
    </row>
    <row r="480" spans="1:10" x14ac:dyDescent="0.3">
      <c r="A480">
        <v>478</v>
      </c>
      <c r="B480">
        <v>7604</v>
      </c>
      <c r="C480" t="b">
        <v>1</v>
      </c>
      <c r="D480">
        <v>8042</v>
      </c>
      <c r="E480">
        <v>8123</v>
      </c>
      <c r="F480">
        <v>6</v>
      </c>
      <c r="G480">
        <v>11.2</v>
      </c>
      <c r="H480">
        <v>0.53571427000000005</v>
      </c>
      <c r="I480">
        <v>0.46428570000000002</v>
      </c>
      <c r="J480">
        <v>0.65116273999999996</v>
      </c>
    </row>
    <row r="481" spans="1:10" x14ac:dyDescent="0.3">
      <c r="A481">
        <v>479</v>
      </c>
      <c r="B481">
        <v>7620</v>
      </c>
      <c r="C481" t="b">
        <v>1</v>
      </c>
      <c r="D481">
        <v>8042</v>
      </c>
      <c r="E481">
        <v>8123</v>
      </c>
      <c r="F481">
        <v>5.6</v>
      </c>
      <c r="G481">
        <v>10.8</v>
      </c>
      <c r="H481">
        <v>0.51851849999999999</v>
      </c>
      <c r="I481">
        <v>0.48148150000000001</v>
      </c>
      <c r="J481">
        <v>0.65853660000000003</v>
      </c>
    </row>
    <row r="482" spans="1:10" x14ac:dyDescent="0.3">
      <c r="A482">
        <v>480</v>
      </c>
      <c r="B482">
        <v>7635</v>
      </c>
      <c r="C482" t="b">
        <v>1</v>
      </c>
      <c r="D482">
        <v>8042</v>
      </c>
      <c r="E482">
        <v>8123</v>
      </c>
      <c r="F482">
        <v>5.2</v>
      </c>
      <c r="G482">
        <v>10.4</v>
      </c>
      <c r="H482">
        <v>0.5</v>
      </c>
      <c r="I482">
        <v>0.5</v>
      </c>
      <c r="J482">
        <v>0.66666669999999995</v>
      </c>
    </row>
    <row r="483" spans="1:10" x14ac:dyDescent="0.3">
      <c r="A483">
        <v>481</v>
      </c>
      <c r="B483">
        <v>7651</v>
      </c>
      <c r="C483" t="b">
        <v>1</v>
      </c>
      <c r="D483">
        <v>8042</v>
      </c>
      <c r="E483">
        <v>8123</v>
      </c>
      <c r="F483">
        <v>4.8</v>
      </c>
      <c r="G483">
        <v>10</v>
      </c>
      <c r="H483">
        <v>0.48000002000000003</v>
      </c>
      <c r="I483">
        <v>0.52</v>
      </c>
      <c r="J483">
        <v>0.67567569999999999</v>
      </c>
    </row>
    <row r="484" spans="1:10" x14ac:dyDescent="0.3">
      <c r="A484">
        <v>482</v>
      </c>
      <c r="B484">
        <v>7667</v>
      </c>
      <c r="C484" t="b">
        <v>1</v>
      </c>
      <c r="D484">
        <v>8048</v>
      </c>
      <c r="E484">
        <v>8123</v>
      </c>
      <c r="F484">
        <v>4.4000000000000004</v>
      </c>
      <c r="G484">
        <v>10</v>
      </c>
      <c r="H484">
        <v>0.44</v>
      </c>
      <c r="I484">
        <v>0.56000000000000005</v>
      </c>
      <c r="J484">
        <v>0.69444450000000002</v>
      </c>
    </row>
    <row r="485" spans="1:10" x14ac:dyDescent="0.3">
      <c r="A485">
        <v>483</v>
      </c>
      <c r="B485">
        <v>7683</v>
      </c>
      <c r="C485" t="b">
        <v>1</v>
      </c>
      <c r="D485">
        <v>8042</v>
      </c>
      <c r="E485">
        <v>8123</v>
      </c>
      <c r="F485">
        <v>4</v>
      </c>
      <c r="G485">
        <v>10</v>
      </c>
      <c r="H485">
        <v>0.4</v>
      </c>
      <c r="I485">
        <v>0.6</v>
      </c>
      <c r="J485">
        <v>0.71428572999999995</v>
      </c>
    </row>
    <row r="486" spans="1:10" x14ac:dyDescent="0.3">
      <c r="A486">
        <v>484</v>
      </c>
      <c r="B486">
        <v>7699</v>
      </c>
      <c r="C486" t="b">
        <v>1</v>
      </c>
      <c r="D486">
        <v>8048</v>
      </c>
      <c r="E486">
        <v>8123</v>
      </c>
      <c r="F486">
        <v>3.6</v>
      </c>
      <c r="G486">
        <v>10</v>
      </c>
      <c r="H486">
        <v>0.35999998</v>
      </c>
      <c r="I486">
        <v>0.64</v>
      </c>
      <c r="J486">
        <v>0.73529409999999995</v>
      </c>
    </row>
    <row r="487" spans="1:10" x14ac:dyDescent="0.3">
      <c r="A487">
        <v>485</v>
      </c>
      <c r="B487">
        <v>7715</v>
      </c>
      <c r="C487" t="b">
        <v>1</v>
      </c>
      <c r="D487">
        <v>8048</v>
      </c>
      <c r="E487">
        <v>8123</v>
      </c>
      <c r="F487">
        <v>3.6</v>
      </c>
      <c r="G487">
        <v>10</v>
      </c>
      <c r="H487">
        <v>0.35999998</v>
      </c>
      <c r="I487">
        <v>0.64</v>
      </c>
      <c r="J487">
        <v>0.73529409999999995</v>
      </c>
    </row>
    <row r="488" spans="1:10" x14ac:dyDescent="0.3">
      <c r="A488">
        <v>486</v>
      </c>
      <c r="B488">
        <v>7731</v>
      </c>
      <c r="C488" t="b">
        <v>1</v>
      </c>
      <c r="D488">
        <v>8048</v>
      </c>
      <c r="E488">
        <v>8123</v>
      </c>
      <c r="F488">
        <v>3.6</v>
      </c>
      <c r="G488">
        <v>9.6</v>
      </c>
      <c r="H488">
        <v>0.37499997000000002</v>
      </c>
      <c r="I488">
        <v>0.625</v>
      </c>
      <c r="J488">
        <v>0.72727269999999999</v>
      </c>
    </row>
    <row r="489" spans="1:10" x14ac:dyDescent="0.3">
      <c r="A489">
        <v>487</v>
      </c>
      <c r="B489">
        <v>7747</v>
      </c>
      <c r="C489" t="b">
        <v>1</v>
      </c>
      <c r="D489">
        <v>8042</v>
      </c>
      <c r="E489">
        <v>8123</v>
      </c>
      <c r="F489">
        <v>3.6</v>
      </c>
      <c r="G489">
        <v>9.1999999999999993</v>
      </c>
      <c r="H489">
        <v>0.39130433999999997</v>
      </c>
      <c r="I489">
        <v>0.6086956</v>
      </c>
      <c r="J489">
        <v>0.71875</v>
      </c>
    </row>
    <row r="490" spans="1:10" x14ac:dyDescent="0.3">
      <c r="A490">
        <v>488</v>
      </c>
      <c r="B490">
        <v>7763</v>
      </c>
      <c r="C490" t="b">
        <v>1</v>
      </c>
      <c r="D490">
        <v>8048</v>
      </c>
      <c r="E490">
        <v>8123</v>
      </c>
      <c r="F490">
        <v>3.6</v>
      </c>
      <c r="G490">
        <v>8.8000000000000007</v>
      </c>
      <c r="H490">
        <v>0.40909087999999999</v>
      </c>
      <c r="I490">
        <v>0.59090909999999996</v>
      </c>
      <c r="J490">
        <v>0.70967745999999998</v>
      </c>
    </row>
    <row r="491" spans="1:10" x14ac:dyDescent="0.3">
      <c r="A491">
        <v>489</v>
      </c>
      <c r="B491">
        <v>7779</v>
      </c>
      <c r="C491" t="b">
        <v>1</v>
      </c>
      <c r="D491">
        <v>8048</v>
      </c>
      <c r="E491">
        <v>8123</v>
      </c>
      <c r="F491">
        <v>4</v>
      </c>
      <c r="G491">
        <v>8.4</v>
      </c>
      <c r="H491">
        <v>0.47619050000000002</v>
      </c>
      <c r="I491">
        <v>0.52380950000000004</v>
      </c>
      <c r="J491">
        <v>0.67741936000000003</v>
      </c>
    </row>
    <row r="492" spans="1:10" x14ac:dyDescent="0.3">
      <c r="A492">
        <v>490</v>
      </c>
      <c r="B492">
        <v>7795</v>
      </c>
      <c r="C492" t="b">
        <v>1</v>
      </c>
      <c r="D492">
        <v>8048</v>
      </c>
      <c r="E492">
        <v>8123</v>
      </c>
      <c r="F492">
        <v>4.4000000000000004</v>
      </c>
      <c r="G492">
        <v>8</v>
      </c>
      <c r="H492">
        <v>0.55000000000000004</v>
      </c>
      <c r="I492">
        <v>0.45</v>
      </c>
      <c r="J492">
        <v>0.64516132999999998</v>
      </c>
    </row>
    <row r="493" spans="1:10" x14ac:dyDescent="0.3">
      <c r="A493">
        <v>491</v>
      </c>
      <c r="B493">
        <v>7811</v>
      </c>
      <c r="C493" t="b">
        <v>1</v>
      </c>
      <c r="D493">
        <v>8048</v>
      </c>
      <c r="E493">
        <v>8129</v>
      </c>
      <c r="F493">
        <v>4.8</v>
      </c>
      <c r="G493">
        <v>8</v>
      </c>
      <c r="H493">
        <v>0.6</v>
      </c>
      <c r="I493">
        <v>0.39999997999999998</v>
      </c>
      <c r="J493">
        <v>0.625</v>
      </c>
    </row>
    <row r="494" spans="1:10" x14ac:dyDescent="0.3">
      <c r="A494">
        <v>492</v>
      </c>
      <c r="B494">
        <v>7826</v>
      </c>
      <c r="C494" t="b">
        <v>1</v>
      </c>
      <c r="D494">
        <v>8054</v>
      </c>
      <c r="E494">
        <v>8123</v>
      </c>
      <c r="F494">
        <v>5.2</v>
      </c>
      <c r="G494">
        <v>8</v>
      </c>
      <c r="H494">
        <v>0.65</v>
      </c>
      <c r="I494">
        <v>0.35000002000000002</v>
      </c>
      <c r="J494">
        <v>0.60606059999999995</v>
      </c>
    </row>
    <row r="495" spans="1:10" x14ac:dyDescent="0.3">
      <c r="A495">
        <v>493</v>
      </c>
      <c r="B495">
        <v>7843</v>
      </c>
      <c r="C495" t="b">
        <v>1</v>
      </c>
      <c r="D495">
        <v>8048</v>
      </c>
      <c r="E495">
        <v>8123</v>
      </c>
      <c r="F495">
        <v>5.6</v>
      </c>
      <c r="G495">
        <v>8</v>
      </c>
      <c r="H495">
        <v>0.7</v>
      </c>
      <c r="I495">
        <v>0.3</v>
      </c>
      <c r="J495">
        <v>0.58823526000000004</v>
      </c>
    </row>
    <row r="496" spans="1:10" x14ac:dyDescent="0.3">
      <c r="A496">
        <v>494</v>
      </c>
      <c r="B496">
        <v>7858</v>
      </c>
      <c r="C496" t="b">
        <v>1</v>
      </c>
      <c r="D496">
        <v>8048</v>
      </c>
      <c r="E496">
        <v>8123</v>
      </c>
      <c r="F496">
        <v>6</v>
      </c>
      <c r="G496">
        <v>8</v>
      </c>
      <c r="H496">
        <v>0.75</v>
      </c>
      <c r="I496">
        <v>0.25</v>
      </c>
      <c r="J496">
        <v>0.57142859999999995</v>
      </c>
    </row>
    <row r="497" spans="1:10" x14ac:dyDescent="0.3">
      <c r="A497">
        <v>495</v>
      </c>
      <c r="B497">
        <v>7874</v>
      </c>
      <c r="C497" t="b">
        <v>1</v>
      </c>
      <c r="D497">
        <v>8048</v>
      </c>
      <c r="E497">
        <v>8129</v>
      </c>
      <c r="F497">
        <v>6.4</v>
      </c>
      <c r="G497">
        <v>8</v>
      </c>
      <c r="H497">
        <v>0.8</v>
      </c>
      <c r="I497">
        <v>0.19999998999999999</v>
      </c>
      <c r="J497">
        <v>0.55555560000000004</v>
      </c>
    </row>
    <row r="498" spans="1:10" x14ac:dyDescent="0.3">
      <c r="A498">
        <v>496</v>
      </c>
      <c r="B498">
        <v>7890</v>
      </c>
      <c r="C498" t="b">
        <v>1</v>
      </c>
      <c r="D498">
        <v>8048</v>
      </c>
      <c r="E498">
        <v>8123</v>
      </c>
      <c r="F498">
        <v>6.8</v>
      </c>
      <c r="G498">
        <v>8</v>
      </c>
      <c r="H498">
        <v>0.85</v>
      </c>
      <c r="I498">
        <v>0.14999998</v>
      </c>
      <c r="J498">
        <v>0.54054049999999998</v>
      </c>
    </row>
    <row r="499" spans="1:10" x14ac:dyDescent="0.3">
      <c r="A499">
        <v>497</v>
      </c>
      <c r="B499">
        <v>7905</v>
      </c>
      <c r="C499" t="b">
        <v>1</v>
      </c>
      <c r="D499">
        <v>8048</v>
      </c>
      <c r="E499">
        <v>8123</v>
      </c>
      <c r="F499">
        <v>7.2</v>
      </c>
      <c r="G499">
        <v>8</v>
      </c>
      <c r="H499">
        <v>0.9</v>
      </c>
      <c r="I499">
        <v>0.10000002400000001</v>
      </c>
      <c r="J499">
        <v>0.5263158</v>
      </c>
    </row>
    <row r="500" spans="1:10" x14ac:dyDescent="0.3">
      <c r="A500">
        <v>498</v>
      </c>
      <c r="B500">
        <v>7921</v>
      </c>
      <c r="C500" t="b">
        <v>1</v>
      </c>
      <c r="D500">
        <v>8048</v>
      </c>
      <c r="E500">
        <v>8123</v>
      </c>
      <c r="F500">
        <v>7.6</v>
      </c>
      <c r="G500">
        <v>8</v>
      </c>
      <c r="H500">
        <v>0.95</v>
      </c>
      <c r="I500">
        <v>5.0000012000000003E-2</v>
      </c>
      <c r="J500">
        <v>0.51282050000000001</v>
      </c>
    </row>
    <row r="501" spans="1:10" x14ac:dyDescent="0.3">
      <c r="A501">
        <v>499</v>
      </c>
      <c r="B501">
        <v>7937</v>
      </c>
      <c r="C501" t="b">
        <v>1</v>
      </c>
      <c r="D501">
        <v>8048</v>
      </c>
      <c r="E501">
        <v>8134</v>
      </c>
      <c r="F501">
        <v>8</v>
      </c>
      <c r="G501">
        <v>8</v>
      </c>
      <c r="H501">
        <v>1</v>
      </c>
      <c r="I501">
        <v>0</v>
      </c>
      <c r="J501">
        <v>0.5</v>
      </c>
    </row>
    <row r="502" spans="1:10" x14ac:dyDescent="0.3">
      <c r="A502">
        <v>500</v>
      </c>
      <c r="B502">
        <v>7953</v>
      </c>
      <c r="C502" t="b">
        <v>1</v>
      </c>
      <c r="D502">
        <v>8048</v>
      </c>
      <c r="E502">
        <v>8123</v>
      </c>
      <c r="F502">
        <v>8</v>
      </c>
      <c r="G502">
        <v>8</v>
      </c>
      <c r="H502">
        <v>1</v>
      </c>
      <c r="I502">
        <v>0</v>
      </c>
      <c r="J502">
        <v>0.5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6B637-8E8E-4ED8-B7C6-DCBA0DE51A6A}">
  <dimension ref="A1:J502"/>
  <sheetViews>
    <sheetView workbookViewId="0">
      <selection activeCell="A2" sqref="A2:J502"/>
    </sheetView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10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 t="b">
        <v>1</v>
      </c>
      <c r="D2">
        <v>8030</v>
      </c>
      <c r="E2">
        <v>8117</v>
      </c>
      <c r="F2">
        <v>190</v>
      </c>
      <c r="G2">
        <v>202</v>
      </c>
      <c r="H2">
        <v>0.94059409999999999</v>
      </c>
      <c r="I2">
        <v>5.9405939999999997E-2</v>
      </c>
      <c r="J2">
        <v>0.51530609999999999</v>
      </c>
    </row>
    <row r="3" spans="1:10" x14ac:dyDescent="0.3">
      <c r="A3">
        <v>1</v>
      </c>
      <c r="B3">
        <v>21</v>
      </c>
      <c r="C3" t="b">
        <v>1</v>
      </c>
      <c r="D3">
        <v>8054</v>
      </c>
      <c r="E3">
        <v>8087</v>
      </c>
      <c r="F3">
        <v>202</v>
      </c>
      <c r="G3">
        <v>202</v>
      </c>
      <c r="H3">
        <v>1</v>
      </c>
      <c r="I3">
        <v>0</v>
      </c>
      <c r="J3">
        <v>0.5</v>
      </c>
    </row>
    <row r="4" spans="1:10" x14ac:dyDescent="0.3">
      <c r="A4">
        <v>2</v>
      </c>
      <c r="B4">
        <v>36</v>
      </c>
      <c r="C4" t="b">
        <v>1</v>
      </c>
      <c r="D4">
        <v>8048</v>
      </c>
      <c r="E4">
        <v>8099</v>
      </c>
      <c r="F4">
        <v>204</v>
      </c>
      <c r="G4">
        <v>196</v>
      </c>
      <c r="H4">
        <v>1.0408162999999999</v>
      </c>
      <c r="I4">
        <v>-4.0816326E-2</v>
      </c>
      <c r="J4">
        <v>0.49</v>
      </c>
    </row>
    <row r="5" spans="1:10" x14ac:dyDescent="0.3">
      <c r="A5">
        <v>3</v>
      </c>
      <c r="B5">
        <v>52</v>
      </c>
      <c r="C5" t="b">
        <v>1</v>
      </c>
      <c r="D5">
        <v>8030</v>
      </c>
      <c r="E5">
        <v>8087</v>
      </c>
      <c r="F5">
        <v>205</v>
      </c>
      <c r="G5">
        <v>193</v>
      </c>
      <c r="H5">
        <v>1.0621761000000001</v>
      </c>
      <c r="I5">
        <v>-6.2176163999999999E-2</v>
      </c>
      <c r="J5">
        <v>0.48492459999999998</v>
      </c>
    </row>
    <row r="6" spans="1:10" x14ac:dyDescent="0.3">
      <c r="A6">
        <v>4</v>
      </c>
      <c r="B6">
        <v>84</v>
      </c>
      <c r="C6" t="b">
        <v>1</v>
      </c>
      <c r="D6">
        <v>8048</v>
      </c>
      <c r="E6">
        <v>8105</v>
      </c>
      <c r="F6">
        <v>205.6</v>
      </c>
      <c r="G6">
        <v>191.2</v>
      </c>
      <c r="H6">
        <v>1.0753138</v>
      </c>
      <c r="I6">
        <v>-7.5313859999999996E-2</v>
      </c>
      <c r="J6">
        <v>0.48185486</v>
      </c>
    </row>
    <row r="7" spans="1:10" x14ac:dyDescent="0.3">
      <c r="A7">
        <v>5</v>
      </c>
      <c r="B7">
        <v>116</v>
      </c>
      <c r="C7" t="b">
        <v>1</v>
      </c>
      <c r="D7">
        <v>8065</v>
      </c>
      <c r="E7">
        <v>8123</v>
      </c>
      <c r="F7">
        <v>206</v>
      </c>
      <c r="G7">
        <v>190</v>
      </c>
      <c r="H7">
        <v>1.0842105</v>
      </c>
      <c r="I7">
        <v>-8.4210530000000006E-2</v>
      </c>
      <c r="J7">
        <v>0.479798</v>
      </c>
    </row>
    <row r="8" spans="1:10" x14ac:dyDescent="0.3">
      <c r="A8">
        <v>6</v>
      </c>
      <c r="B8">
        <v>148</v>
      </c>
      <c r="C8" t="b">
        <v>1</v>
      </c>
      <c r="D8">
        <v>8030</v>
      </c>
      <c r="E8">
        <v>8111</v>
      </c>
      <c r="F8">
        <v>206.28572</v>
      </c>
      <c r="G8">
        <v>190</v>
      </c>
      <c r="H8">
        <v>1.0857143</v>
      </c>
      <c r="I8">
        <v>-8.5714319999999997E-2</v>
      </c>
      <c r="J8">
        <v>0.47945207000000001</v>
      </c>
    </row>
    <row r="9" spans="1:10" x14ac:dyDescent="0.3">
      <c r="A9">
        <v>7</v>
      </c>
      <c r="B9">
        <v>179</v>
      </c>
      <c r="C9" t="b">
        <v>1</v>
      </c>
      <c r="D9">
        <v>8054</v>
      </c>
      <c r="E9">
        <v>8105</v>
      </c>
      <c r="F9">
        <v>206.5</v>
      </c>
      <c r="G9">
        <v>190</v>
      </c>
      <c r="H9">
        <v>1.0868420999999999</v>
      </c>
      <c r="I9">
        <v>-8.6842105000000003E-2</v>
      </c>
      <c r="J9">
        <v>0.47919294000000001</v>
      </c>
    </row>
    <row r="10" spans="1:10" x14ac:dyDescent="0.3">
      <c r="A10">
        <v>8</v>
      </c>
      <c r="B10">
        <v>211</v>
      </c>
      <c r="C10" t="b">
        <v>1</v>
      </c>
      <c r="D10">
        <v>8023</v>
      </c>
      <c r="E10">
        <v>8081</v>
      </c>
      <c r="F10">
        <v>206.66667000000001</v>
      </c>
      <c r="G10">
        <v>190</v>
      </c>
      <c r="H10">
        <v>1.0877193000000001</v>
      </c>
      <c r="I10">
        <v>-8.7719329999999998E-2</v>
      </c>
      <c r="J10">
        <v>0.47899156999999998</v>
      </c>
    </row>
    <row r="11" spans="1:10" x14ac:dyDescent="0.3">
      <c r="A11">
        <v>9</v>
      </c>
      <c r="B11">
        <v>242</v>
      </c>
      <c r="C11" t="b">
        <v>1</v>
      </c>
      <c r="D11">
        <v>8037</v>
      </c>
      <c r="E11">
        <v>8111</v>
      </c>
      <c r="F11">
        <v>205.7</v>
      </c>
      <c r="G11">
        <v>190.6</v>
      </c>
      <c r="H11">
        <v>1.0792234999999999</v>
      </c>
      <c r="I11">
        <v>-7.9223453999999999E-2</v>
      </c>
      <c r="J11">
        <v>0.48094880000000001</v>
      </c>
    </row>
    <row r="12" spans="1:10" x14ac:dyDescent="0.3">
      <c r="A12">
        <v>10</v>
      </c>
      <c r="B12">
        <v>274</v>
      </c>
      <c r="C12" t="b">
        <v>1</v>
      </c>
      <c r="D12">
        <v>8042</v>
      </c>
      <c r="E12">
        <v>8129</v>
      </c>
      <c r="F12">
        <v>204.90908999999999</v>
      </c>
      <c r="G12">
        <v>191.09091000000001</v>
      </c>
      <c r="H12">
        <v>1.0723119999999999</v>
      </c>
      <c r="I12">
        <v>-7.2312059999999997E-2</v>
      </c>
      <c r="J12">
        <v>0.4825528</v>
      </c>
    </row>
    <row r="13" spans="1:10" x14ac:dyDescent="0.3">
      <c r="A13">
        <v>11</v>
      </c>
      <c r="B13">
        <v>306</v>
      </c>
      <c r="C13" t="b">
        <v>1</v>
      </c>
      <c r="D13">
        <v>8060</v>
      </c>
      <c r="E13">
        <v>8111</v>
      </c>
      <c r="F13">
        <v>204.66667000000001</v>
      </c>
      <c r="G13">
        <v>191.5</v>
      </c>
      <c r="H13">
        <v>1.0687555</v>
      </c>
      <c r="I13">
        <v>-6.8755460000000004E-2</v>
      </c>
      <c r="J13">
        <v>0.48338239999999999</v>
      </c>
    </row>
    <row r="14" spans="1:10" x14ac:dyDescent="0.3">
      <c r="A14">
        <v>12</v>
      </c>
      <c r="B14">
        <v>338</v>
      </c>
      <c r="C14" t="b">
        <v>1</v>
      </c>
      <c r="D14">
        <v>8054</v>
      </c>
      <c r="E14">
        <v>8099</v>
      </c>
      <c r="F14">
        <v>204.46153000000001</v>
      </c>
      <c r="G14">
        <v>191.84616</v>
      </c>
      <c r="H14">
        <v>1.0657578000000001</v>
      </c>
      <c r="I14">
        <v>-6.5757750000000004E-2</v>
      </c>
      <c r="J14">
        <v>0.48408390000000001</v>
      </c>
    </row>
    <row r="15" spans="1:10" x14ac:dyDescent="0.3">
      <c r="A15">
        <v>13</v>
      </c>
      <c r="B15">
        <v>370</v>
      </c>
      <c r="C15" t="b">
        <v>1</v>
      </c>
      <c r="D15">
        <v>8037</v>
      </c>
      <c r="E15">
        <v>8117</v>
      </c>
      <c r="F15">
        <v>204.28572</v>
      </c>
      <c r="G15">
        <v>192.14285000000001</v>
      </c>
      <c r="H15">
        <v>1.0631971</v>
      </c>
      <c r="I15">
        <v>-6.3197084000000001E-2</v>
      </c>
      <c r="J15">
        <v>0.48468464999999999</v>
      </c>
    </row>
    <row r="16" spans="1:10" x14ac:dyDescent="0.3">
      <c r="A16">
        <v>14</v>
      </c>
      <c r="B16">
        <v>386</v>
      </c>
      <c r="C16" t="b">
        <v>1</v>
      </c>
      <c r="D16">
        <v>8054</v>
      </c>
      <c r="E16">
        <v>8099</v>
      </c>
      <c r="F16">
        <v>204.93333000000001</v>
      </c>
      <c r="G16">
        <v>192.4</v>
      </c>
      <c r="H16">
        <v>1.0651421999999999</v>
      </c>
      <c r="I16">
        <v>-6.5142099999999994E-2</v>
      </c>
      <c r="J16">
        <v>0.4842282</v>
      </c>
    </row>
    <row r="17" spans="1:10" x14ac:dyDescent="0.3">
      <c r="A17">
        <v>15</v>
      </c>
      <c r="B17">
        <v>418</v>
      </c>
      <c r="C17" t="b">
        <v>1</v>
      </c>
      <c r="D17">
        <v>8042</v>
      </c>
      <c r="E17">
        <v>8099</v>
      </c>
      <c r="F17">
        <v>206.53334000000001</v>
      </c>
      <c r="G17">
        <v>191.2</v>
      </c>
      <c r="H17">
        <v>1.0801953</v>
      </c>
      <c r="I17">
        <v>-8.0195315000000003E-2</v>
      </c>
      <c r="J17">
        <v>0.48072409999999999</v>
      </c>
    </row>
    <row r="18" spans="1:10" x14ac:dyDescent="0.3">
      <c r="A18">
        <v>16</v>
      </c>
      <c r="B18">
        <v>450</v>
      </c>
      <c r="C18" t="b">
        <v>1</v>
      </c>
      <c r="D18">
        <v>8042</v>
      </c>
      <c r="E18">
        <v>8099</v>
      </c>
      <c r="F18">
        <v>205.73334</v>
      </c>
      <c r="G18">
        <v>190</v>
      </c>
      <c r="H18">
        <v>1.0828070999999999</v>
      </c>
      <c r="I18">
        <v>-8.2807039999999998E-2</v>
      </c>
      <c r="J18">
        <v>0.48012127999999998</v>
      </c>
    </row>
    <row r="19" spans="1:10" x14ac:dyDescent="0.3">
      <c r="A19">
        <v>17</v>
      </c>
      <c r="B19">
        <v>481</v>
      </c>
      <c r="C19" t="b">
        <v>1</v>
      </c>
      <c r="D19">
        <v>8054</v>
      </c>
      <c r="E19">
        <v>8105</v>
      </c>
      <c r="F19">
        <v>205.33332999999999</v>
      </c>
      <c r="G19">
        <v>190</v>
      </c>
      <c r="H19">
        <v>1.0807017000000001</v>
      </c>
      <c r="I19">
        <v>-8.0701729999999999E-2</v>
      </c>
      <c r="J19">
        <v>0.48060712</v>
      </c>
    </row>
    <row r="20" spans="1:10" x14ac:dyDescent="0.3">
      <c r="A20">
        <v>18</v>
      </c>
      <c r="B20">
        <v>513</v>
      </c>
      <c r="C20" t="b">
        <v>1</v>
      </c>
      <c r="D20">
        <v>8048</v>
      </c>
      <c r="E20">
        <v>8099</v>
      </c>
      <c r="F20">
        <v>205.33332999999999</v>
      </c>
      <c r="G20">
        <v>190</v>
      </c>
      <c r="H20">
        <v>1.0807017000000001</v>
      </c>
      <c r="I20">
        <v>-8.0701729999999999E-2</v>
      </c>
      <c r="J20">
        <v>0.48060712</v>
      </c>
    </row>
    <row r="21" spans="1:10" x14ac:dyDescent="0.3">
      <c r="A21">
        <v>19</v>
      </c>
      <c r="B21">
        <v>529</v>
      </c>
      <c r="C21" t="b">
        <v>1</v>
      </c>
      <c r="D21">
        <v>8048</v>
      </c>
      <c r="E21">
        <v>8099</v>
      </c>
      <c r="F21">
        <v>205.33332999999999</v>
      </c>
      <c r="G21">
        <v>190</v>
      </c>
      <c r="H21">
        <v>1.0807017000000001</v>
      </c>
      <c r="I21">
        <v>-8.0701729999999999E-2</v>
      </c>
      <c r="J21">
        <v>0.48060712</v>
      </c>
    </row>
    <row r="22" spans="1:10" x14ac:dyDescent="0.3">
      <c r="A22">
        <v>20</v>
      </c>
      <c r="B22">
        <v>545</v>
      </c>
      <c r="C22" t="b">
        <v>1</v>
      </c>
      <c r="D22">
        <v>8042</v>
      </c>
      <c r="E22">
        <v>8105</v>
      </c>
      <c r="F22">
        <v>205.33332999999999</v>
      </c>
      <c r="G22">
        <v>190</v>
      </c>
      <c r="H22">
        <v>1.0807017000000001</v>
      </c>
      <c r="I22">
        <v>-8.0701729999999999E-2</v>
      </c>
      <c r="J22">
        <v>0.48060712</v>
      </c>
    </row>
    <row r="23" spans="1:10" x14ac:dyDescent="0.3">
      <c r="A23">
        <v>21</v>
      </c>
      <c r="B23">
        <v>561</v>
      </c>
      <c r="C23" t="b">
        <v>1</v>
      </c>
      <c r="D23">
        <v>8042</v>
      </c>
      <c r="E23">
        <v>8117</v>
      </c>
      <c r="F23">
        <v>205.33332999999999</v>
      </c>
      <c r="G23">
        <v>190</v>
      </c>
      <c r="H23">
        <v>1.0807017000000001</v>
      </c>
      <c r="I23">
        <v>-8.0701729999999999E-2</v>
      </c>
      <c r="J23">
        <v>0.48060712</v>
      </c>
    </row>
    <row r="24" spans="1:10" x14ac:dyDescent="0.3">
      <c r="A24">
        <v>22</v>
      </c>
      <c r="B24">
        <v>593</v>
      </c>
      <c r="C24" t="b">
        <v>1</v>
      </c>
      <c r="D24">
        <v>8048</v>
      </c>
      <c r="E24">
        <v>8087</v>
      </c>
      <c r="F24">
        <v>205.33332999999999</v>
      </c>
      <c r="G24">
        <v>189.6</v>
      </c>
      <c r="H24">
        <v>1.0829816999999999</v>
      </c>
      <c r="I24">
        <v>-8.2981650000000004E-2</v>
      </c>
      <c r="J24">
        <v>0.48008102000000002</v>
      </c>
    </row>
    <row r="25" spans="1:10" x14ac:dyDescent="0.3">
      <c r="A25">
        <v>23</v>
      </c>
      <c r="B25">
        <v>625</v>
      </c>
      <c r="C25" t="b">
        <v>1</v>
      </c>
      <c r="D25">
        <v>8030</v>
      </c>
      <c r="E25">
        <v>8105</v>
      </c>
      <c r="F25">
        <v>204.93333000000001</v>
      </c>
      <c r="G25">
        <v>189.6</v>
      </c>
      <c r="H25">
        <v>1.0808719</v>
      </c>
      <c r="I25">
        <v>-8.0871983999999994E-2</v>
      </c>
      <c r="J25">
        <v>0.48056778</v>
      </c>
    </row>
    <row r="26" spans="1:10" x14ac:dyDescent="0.3">
      <c r="A26">
        <v>24</v>
      </c>
      <c r="B26">
        <v>657</v>
      </c>
      <c r="C26" t="b">
        <v>1</v>
      </c>
      <c r="D26">
        <v>8054</v>
      </c>
      <c r="E26">
        <v>8111</v>
      </c>
      <c r="F26">
        <v>205.26666</v>
      </c>
      <c r="G26">
        <v>189.2</v>
      </c>
      <c r="H26">
        <v>1.084919</v>
      </c>
      <c r="I26">
        <v>-8.4918950000000007E-2</v>
      </c>
      <c r="J26">
        <v>0.47963494000000001</v>
      </c>
    </row>
    <row r="27" spans="1:10" x14ac:dyDescent="0.3">
      <c r="A27">
        <v>25</v>
      </c>
      <c r="B27">
        <v>688</v>
      </c>
      <c r="C27" t="b">
        <v>1</v>
      </c>
      <c r="D27">
        <v>8071</v>
      </c>
      <c r="E27">
        <v>8099</v>
      </c>
      <c r="F27">
        <v>206</v>
      </c>
      <c r="G27">
        <v>188.8</v>
      </c>
      <c r="H27">
        <v>1.0911016</v>
      </c>
      <c r="I27">
        <v>-9.1101676000000006E-2</v>
      </c>
      <c r="J27">
        <v>0.47821682999999998</v>
      </c>
    </row>
    <row r="28" spans="1:10" x14ac:dyDescent="0.3">
      <c r="A28">
        <v>26</v>
      </c>
      <c r="B28">
        <v>704</v>
      </c>
      <c r="C28" t="b">
        <v>1</v>
      </c>
      <c r="D28">
        <v>8042</v>
      </c>
      <c r="E28">
        <v>8111</v>
      </c>
      <c r="F28">
        <v>206.4</v>
      </c>
      <c r="G28">
        <v>188.4</v>
      </c>
      <c r="H28">
        <v>1.0955414000000001</v>
      </c>
      <c r="I28">
        <v>-9.5541399999999999E-2</v>
      </c>
      <c r="J28">
        <v>0.47720363999999998</v>
      </c>
    </row>
    <row r="29" spans="1:10" x14ac:dyDescent="0.3">
      <c r="A29">
        <v>27</v>
      </c>
      <c r="B29">
        <v>736</v>
      </c>
      <c r="C29" t="b">
        <v>1</v>
      </c>
      <c r="D29">
        <v>8042</v>
      </c>
      <c r="E29">
        <v>8099</v>
      </c>
      <c r="F29">
        <v>206.4</v>
      </c>
      <c r="G29">
        <v>188</v>
      </c>
      <c r="H29">
        <v>1.0978722999999999</v>
      </c>
      <c r="I29">
        <v>-9.7872310000000004E-2</v>
      </c>
      <c r="J29">
        <v>0.47667342000000001</v>
      </c>
    </row>
    <row r="30" spans="1:10" x14ac:dyDescent="0.3">
      <c r="A30">
        <v>28</v>
      </c>
      <c r="B30">
        <v>767</v>
      </c>
      <c r="C30" t="b">
        <v>1</v>
      </c>
      <c r="D30">
        <v>8042</v>
      </c>
      <c r="E30">
        <v>8111</v>
      </c>
      <c r="F30">
        <v>206.4</v>
      </c>
      <c r="G30">
        <v>188</v>
      </c>
      <c r="H30">
        <v>1.0978722999999999</v>
      </c>
      <c r="I30">
        <v>-9.7872310000000004E-2</v>
      </c>
      <c r="J30">
        <v>0.47667342000000001</v>
      </c>
    </row>
    <row r="31" spans="1:10" x14ac:dyDescent="0.3">
      <c r="A31">
        <v>29</v>
      </c>
      <c r="B31">
        <v>799</v>
      </c>
      <c r="C31" t="b">
        <v>1</v>
      </c>
      <c r="D31">
        <v>8054</v>
      </c>
      <c r="E31">
        <v>8099</v>
      </c>
      <c r="F31">
        <v>205.6</v>
      </c>
      <c r="G31">
        <v>187.2</v>
      </c>
      <c r="H31">
        <v>1.0982907</v>
      </c>
      <c r="I31">
        <v>-9.8290649999999993E-2</v>
      </c>
      <c r="J31">
        <v>0.47657840000000001</v>
      </c>
    </row>
    <row r="32" spans="1:10" x14ac:dyDescent="0.3">
      <c r="A32">
        <v>30</v>
      </c>
      <c r="B32">
        <v>832</v>
      </c>
      <c r="C32" t="b">
        <v>1</v>
      </c>
      <c r="D32">
        <v>8054</v>
      </c>
      <c r="E32">
        <v>8105</v>
      </c>
      <c r="F32">
        <v>204.8</v>
      </c>
      <c r="G32">
        <v>187.6</v>
      </c>
      <c r="H32">
        <v>1.0916844999999999</v>
      </c>
      <c r="I32">
        <v>-9.1684416000000005E-2</v>
      </c>
      <c r="J32">
        <v>0.47808358000000001</v>
      </c>
    </row>
    <row r="33" spans="1:10" x14ac:dyDescent="0.3">
      <c r="A33">
        <v>31</v>
      </c>
      <c r="B33">
        <v>864</v>
      </c>
      <c r="C33" t="b">
        <v>1</v>
      </c>
      <c r="D33">
        <v>8042</v>
      </c>
      <c r="E33">
        <v>8093</v>
      </c>
      <c r="F33">
        <v>204.8</v>
      </c>
      <c r="G33">
        <v>187.6</v>
      </c>
      <c r="H33">
        <v>1.0916844999999999</v>
      </c>
      <c r="I33">
        <v>-9.1684416000000005E-2</v>
      </c>
      <c r="J33">
        <v>0.47808358000000001</v>
      </c>
    </row>
    <row r="34" spans="1:10" x14ac:dyDescent="0.3">
      <c r="A34">
        <v>32</v>
      </c>
      <c r="B34">
        <v>895</v>
      </c>
      <c r="C34" t="b">
        <v>1</v>
      </c>
      <c r="D34">
        <v>8023</v>
      </c>
      <c r="E34">
        <v>8111</v>
      </c>
      <c r="F34">
        <v>204.8</v>
      </c>
      <c r="G34">
        <v>188</v>
      </c>
      <c r="H34">
        <v>1.0893617</v>
      </c>
      <c r="I34">
        <v>-8.9361720000000006E-2</v>
      </c>
      <c r="J34">
        <v>0.47861508000000003</v>
      </c>
    </row>
    <row r="35" spans="1:10" x14ac:dyDescent="0.3">
      <c r="A35">
        <v>33</v>
      </c>
      <c r="B35">
        <v>927</v>
      </c>
      <c r="C35" t="b">
        <v>1</v>
      </c>
      <c r="D35">
        <v>8054</v>
      </c>
      <c r="E35">
        <v>8087</v>
      </c>
      <c r="F35">
        <v>205.2</v>
      </c>
      <c r="G35">
        <v>188</v>
      </c>
      <c r="H35">
        <v>1.0914893000000001</v>
      </c>
      <c r="I35">
        <v>-9.1489345E-2</v>
      </c>
      <c r="J35">
        <v>0.47812817000000002</v>
      </c>
    </row>
    <row r="36" spans="1:10" x14ac:dyDescent="0.3">
      <c r="A36">
        <v>34</v>
      </c>
      <c r="B36">
        <v>943</v>
      </c>
      <c r="C36" t="b">
        <v>1</v>
      </c>
      <c r="D36">
        <v>8048</v>
      </c>
      <c r="E36">
        <v>8087</v>
      </c>
      <c r="F36">
        <v>205.2</v>
      </c>
      <c r="G36">
        <v>187.6</v>
      </c>
      <c r="H36">
        <v>1.0938166</v>
      </c>
      <c r="I36">
        <v>-9.3816579999999997E-2</v>
      </c>
      <c r="J36">
        <v>0.47759676000000001</v>
      </c>
    </row>
    <row r="37" spans="1:10" x14ac:dyDescent="0.3">
      <c r="A37">
        <v>35</v>
      </c>
      <c r="B37">
        <v>974</v>
      </c>
      <c r="C37" t="b">
        <v>1</v>
      </c>
      <c r="D37">
        <v>8037</v>
      </c>
      <c r="E37">
        <v>8105</v>
      </c>
      <c r="F37">
        <v>204.8</v>
      </c>
      <c r="G37">
        <v>187.2</v>
      </c>
      <c r="H37">
        <v>1.0940171000000001</v>
      </c>
      <c r="I37">
        <v>-9.4017126000000006E-2</v>
      </c>
      <c r="J37">
        <v>0.477551</v>
      </c>
    </row>
    <row r="38" spans="1:10" x14ac:dyDescent="0.3">
      <c r="A38">
        <v>36</v>
      </c>
      <c r="B38">
        <v>1006</v>
      </c>
      <c r="C38" t="b">
        <v>1</v>
      </c>
      <c r="D38">
        <v>8048</v>
      </c>
      <c r="E38">
        <v>8117</v>
      </c>
      <c r="F38">
        <v>204.8</v>
      </c>
      <c r="G38">
        <v>187.2</v>
      </c>
      <c r="H38">
        <v>1.0940171000000001</v>
      </c>
      <c r="I38">
        <v>-9.4017126000000006E-2</v>
      </c>
      <c r="J38">
        <v>0.477551</v>
      </c>
    </row>
    <row r="39" spans="1:10" x14ac:dyDescent="0.3">
      <c r="A39">
        <v>37</v>
      </c>
      <c r="B39">
        <v>1038</v>
      </c>
      <c r="C39" t="b">
        <v>1</v>
      </c>
      <c r="D39">
        <v>8042</v>
      </c>
      <c r="E39">
        <v>8105</v>
      </c>
      <c r="F39">
        <v>204.8</v>
      </c>
      <c r="G39">
        <v>187.6</v>
      </c>
      <c r="H39">
        <v>1.0916844999999999</v>
      </c>
      <c r="I39">
        <v>-9.1684416000000005E-2</v>
      </c>
      <c r="J39">
        <v>0.47808358000000001</v>
      </c>
    </row>
    <row r="40" spans="1:10" x14ac:dyDescent="0.3">
      <c r="A40">
        <v>38</v>
      </c>
      <c r="B40">
        <v>1054</v>
      </c>
      <c r="C40" t="b">
        <v>1</v>
      </c>
      <c r="D40">
        <v>8048</v>
      </c>
      <c r="E40">
        <v>8081</v>
      </c>
      <c r="F40">
        <v>205.2</v>
      </c>
      <c r="G40">
        <v>187.6</v>
      </c>
      <c r="H40">
        <v>1.0938166</v>
      </c>
      <c r="I40">
        <v>-9.3816579999999997E-2</v>
      </c>
      <c r="J40">
        <v>0.47759676000000001</v>
      </c>
    </row>
    <row r="41" spans="1:10" x14ac:dyDescent="0.3">
      <c r="A41">
        <v>39</v>
      </c>
      <c r="B41">
        <v>1070</v>
      </c>
      <c r="C41" t="b">
        <v>1</v>
      </c>
      <c r="D41">
        <v>8048</v>
      </c>
      <c r="E41">
        <v>8075</v>
      </c>
      <c r="F41">
        <v>205.6</v>
      </c>
      <c r="G41">
        <v>187.6</v>
      </c>
      <c r="H41">
        <v>1.0959487999999999</v>
      </c>
      <c r="I41">
        <v>-9.5948820000000004E-2</v>
      </c>
      <c r="J41">
        <v>0.4771109</v>
      </c>
    </row>
    <row r="42" spans="1:10" x14ac:dyDescent="0.3">
      <c r="A42">
        <v>40</v>
      </c>
      <c r="B42">
        <v>1101</v>
      </c>
      <c r="C42" t="b">
        <v>1</v>
      </c>
      <c r="D42">
        <v>8037</v>
      </c>
      <c r="E42">
        <v>8105</v>
      </c>
      <c r="F42">
        <v>205.6</v>
      </c>
      <c r="G42">
        <v>187.6</v>
      </c>
      <c r="H42">
        <v>1.0959487999999999</v>
      </c>
      <c r="I42">
        <v>-9.5948820000000004E-2</v>
      </c>
      <c r="J42">
        <v>0.4771109</v>
      </c>
    </row>
    <row r="43" spans="1:10" x14ac:dyDescent="0.3">
      <c r="A43">
        <v>41</v>
      </c>
      <c r="B43">
        <v>1133</v>
      </c>
      <c r="C43" t="b">
        <v>1</v>
      </c>
      <c r="D43">
        <v>8054</v>
      </c>
      <c r="E43">
        <v>8099</v>
      </c>
      <c r="F43">
        <v>205.6</v>
      </c>
      <c r="G43">
        <v>187.2</v>
      </c>
      <c r="H43">
        <v>1.0982907</v>
      </c>
      <c r="I43">
        <v>-9.8290649999999993E-2</v>
      </c>
      <c r="J43">
        <v>0.47657840000000001</v>
      </c>
    </row>
    <row r="44" spans="1:10" x14ac:dyDescent="0.3">
      <c r="A44">
        <v>42</v>
      </c>
      <c r="B44">
        <v>1165</v>
      </c>
      <c r="C44" t="b">
        <v>1</v>
      </c>
      <c r="D44">
        <v>8065</v>
      </c>
      <c r="E44">
        <v>8134</v>
      </c>
      <c r="F44">
        <v>206</v>
      </c>
      <c r="G44">
        <v>186.8</v>
      </c>
      <c r="H44">
        <v>1.1027837</v>
      </c>
      <c r="I44">
        <v>-0.10278371</v>
      </c>
      <c r="J44">
        <v>0.47556009999999999</v>
      </c>
    </row>
    <row r="45" spans="1:10" x14ac:dyDescent="0.3">
      <c r="A45">
        <v>43</v>
      </c>
      <c r="B45">
        <v>1197</v>
      </c>
      <c r="C45" t="b">
        <v>1</v>
      </c>
      <c r="D45">
        <v>8042</v>
      </c>
      <c r="E45">
        <v>8099</v>
      </c>
      <c r="F45">
        <v>206.4</v>
      </c>
      <c r="G45">
        <v>186</v>
      </c>
      <c r="H45">
        <v>1.1096774</v>
      </c>
      <c r="I45">
        <v>-0.10967739</v>
      </c>
      <c r="J45">
        <v>0.47400611999999998</v>
      </c>
    </row>
    <row r="46" spans="1:10" x14ac:dyDescent="0.3">
      <c r="A46">
        <v>44</v>
      </c>
      <c r="B46">
        <v>1228</v>
      </c>
      <c r="C46" t="b">
        <v>1</v>
      </c>
      <c r="D46">
        <v>8030</v>
      </c>
      <c r="E46">
        <v>8081</v>
      </c>
      <c r="F46">
        <v>206.4</v>
      </c>
      <c r="G46">
        <v>186</v>
      </c>
      <c r="H46">
        <v>1.1096774</v>
      </c>
      <c r="I46">
        <v>-0.10967739</v>
      </c>
      <c r="J46">
        <v>0.47400611999999998</v>
      </c>
    </row>
    <row r="47" spans="1:10" x14ac:dyDescent="0.3">
      <c r="A47">
        <v>45</v>
      </c>
      <c r="B47">
        <v>1244</v>
      </c>
      <c r="C47" t="b">
        <v>1</v>
      </c>
      <c r="D47">
        <v>8048</v>
      </c>
      <c r="E47">
        <v>8105</v>
      </c>
      <c r="F47">
        <v>206.8</v>
      </c>
      <c r="G47">
        <v>185.6</v>
      </c>
      <c r="H47">
        <v>1.1142240999999999</v>
      </c>
      <c r="I47">
        <v>-0.11422412</v>
      </c>
      <c r="J47">
        <v>0.47298673000000002</v>
      </c>
    </row>
    <row r="48" spans="1:10" x14ac:dyDescent="0.3">
      <c r="A48">
        <v>46</v>
      </c>
      <c r="B48">
        <v>1260</v>
      </c>
      <c r="C48" t="b">
        <v>1</v>
      </c>
      <c r="D48">
        <v>8030</v>
      </c>
      <c r="E48">
        <v>8105</v>
      </c>
      <c r="F48">
        <v>206.8</v>
      </c>
      <c r="G48">
        <v>186</v>
      </c>
      <c r="H48">
        <v>1.111828</v>
      </c>
      <c r="I48">
        <v>-0.11182797999999999</v>
      </c>
      <c r="J48">
        <v>0.47352344000000002</v>
      </c>
    </row>
    <row r="49" spans="1:10" x14ac:dyDescent="0.3">
      <c r="A49">
        <v>47</v>
      </c>
      <c r="B49">
        <v>1276</v>
      </c>
      <c r="C49" t="b">
        <v>1</v>
      </c>
      <c r="D49">
        <v>8042</v>
      </c>
      <c r="E49">
        <v>8087</v>
      </c>
      <c r="F49">
        <v>206.8</v>
      </c>
      <c r="G49">
        <v>185.6</v>
      </c>
      <c r="H49">
        <v>1.1142240999999999</v>
      </c>
      <c r="I49">
        <v>-0.11422412</v>
      </c>
      <c r="J49">
        <v>0.47298673000000002</v>
      </c>
    </row>
    <row r="50" spans="1:10" x14ac:dyDescent="0.3">
      <c r="A50">
        <v>48</v>
      </c>
      <c r="B50">
        <v>1307</v>
      </c>
      <c r="C50" t="b">
        <v>1</v>
      </c>
      <c r="D50">
        <v>8048</v>
      </c>
      <c r="E50">
        <v>8111</v>
      </c>
      <c r="F50">
        <v>206</v>
      </c>
      <c r="G50">
        <v>186</v>
      </c>
      <c r="H50">
        <v>1.1075269000000001</v>
      </c>
      <c r="I50">
        <v>-0.10752688000000001</v>
      </c>
      <c r="J50">
        <v>0.47448980000000002</v>
      </c>
    </row>
    <row r="51" spans="1:10" x14ac:dyDescent="0.3">
      <c r="A51">
        <v>49</v>
      </c>
      <c r="B51">
        <v>1323</v>
      </c>
      <c r="C51" t="b">
        <v>1</v>
      </c>
      <c r="D51">
        <v>8060</v>
      </c>
      <c r="E51">
        <v>8105</v>
      </c>
      <c r="F51">
        <v>206</v>
      </c>
      <c r="G51">
        <v>186.8</v>
      </c>
      <c r="H51">
        <v>1.1027837</v>
      </c>
      <c r="I51">
        <v>-0.10278371</v>
      </c>
      <c r="J51">
        <v>0.47556009999999999</v>
      </c>
    </row>
    <row r="52" spans="1:10" x14ac:dyDescent="0.3">
      <c r="A52">
        <v>50</v>
      </c>
      <c r="B52">
        <v>1339</v>
      </c>
      <c r="C52" t="b">
        <v>1</v>
      </c>
      <c r="D52">
        <v>8042</v>
      </c>
      <c r="E52">
        <v>8105</v>
      </c>
      <c r="F52">
        <v>206</v>
      </c>
      <c r="G52">
        <v>187.6</v>
      </c>
      <c r="H52">
        <v>1.0980810000000001</v>
      </c>
      <c r="I52">
        <v>-9.8080984999999996E-2</v>
      </c>
      <c r="J52">
        <v>0.47662603999999997</v>
      </c>
    </row>
    <row r="53" spans="1:10" x14ac:dyDescent="0.3">
      <c r="A53">
        <v>51</v>
      </c>
      <c r="B53">
        <v>1372</v>
      </c>
      <c r="C53" t="b">
        <v>1</v>
      </c>
      <c r="D53">
        <v>8048</v>
      </c>
      <c r="E53">
        <v>8105</v>
      </c>
      <c r="F53">
        <v>206</v>
      </c>
      <c r="G53">
        <v>187.6</v>
      </c>
      <c r="H53">
        <v>1.0980810000000001</v>
      </c>
      <c r="I53">
        <v>-9.8080984999999996E-2</v>
      </c>
      <c r="J53">
        <v>0.47662603999999997</v>
      </c>
    </row>
    <row r="54" spans="1:10" x14ac:dyDescent="0.3">
      <c r="A54">
        <v>52</v>
      </c>
      <c r="B54">
        <v>1402</v>
      </c>
      <c r="C54" t="b">
        <v>1</v>
      </c>
      <c r="D54">
        <v>8048</v>
      </c>
      <c r="E54">
        <v>8123</v>
      </c>
      <c r="F54">
        <v>206</v>
      </c>
      <c r="G54">
        <v>187.6</v>
      </c>
      <c r="H54">
        <v>1.0980810000000001</v>
      </c>
      <c r="I54">
        <v>-9.8080984999999996E-2</v>
      </c>
      <c r="J54">
        <v>0.47662603999999997</v>
      </c>
    </row>
    <row r="55" spans="1:10" x14ac:dyDescent="0.3">
      <c r="A55">
        <v>53</v>
      </c>
      <c r="B55">
        <v>1433</v>
      </c>
      <c r="C55" t="b">
        <v>1</v>
      </c>
      <c r="D55">
        <v>8037</v>
      </c>
      <c r="E55">
        <v>8099</v>
      </c>
      <c r="F55">
        <v>206</v>
      </c>
      <c r="G55">
        <v>187.6</v>
      </c>
      <c r="H55">
        <v>1.0980810000000001</v>
      </c>
      <c r="I55">
        <v>-9.8080984999999996E-2</v>
      </c>
      <c r="J55">
        <v>0.47662603999999997</v>
      </c>
    </row>
    <row r="56" spans="1:10" x14ac:dyDescent="0.3">
      <c r="A56">
        <v>54</v>
      </c>
      <c r="B56">
        <v>1465</v>
      </c>
      <c r="C56" t="b">
        <v>1</v>
      </c>
      <c r="D56">
        <v>8030</v>
      </c>
      <c r="E56">
        <v>8123</v>
      </c>
      <c r="F56">
        <v>205.6</v>
      </c>
      <c r="G56">
        <v>187.6</v>
      </c>
      <c r="H56">
        <v>1.0959487999999999</v>
      </c>
      <c r="I56">
        <v>-9.5948820000000004E-2</v>
      </c>
      <c r="J56">
        <v>0.4771109</v>
      </c>
    </row>
    <row r="57" spans="1:10" x14ac:dyDescent="0.3">
      <c r="A57">
        <v>55</v>
      </c>
      <c r="B57">
        <v>1497</v>
      </c>
      <c r="C57" t="b">
        <v>1</v>
      </c>
      <c r="D57">
        <v>8060</v>
      </c>
      <c r="E57">
        <v>8093</v>
      </c>
      <c r="F57">
        <v>205.6</v>
      </c>
      <c r="G57">
        <v>187.6</v>
      </c>
      <c r="H57">
        <v>1.0959487999999999</v>
      </c>
      <c r="I57">
        <v>-9.5948820000000004E-2</v>
      </c>
      <c r="J57">
        <v>0.4771109</v>
      </c>
    </row>
    <row r="58" spans="1:10" x14ac:dyDescent="0.3">
      <c r="A58">
        <v>56</v>
      </c>
      <c r="B58">
        <v>1529</v>
      </c>
      <c r="C58" t="b">
        <v>1</v>
      </c>
      <c r="D58">
        <v>8042</v>
      </c>
      <c r="E58">
        <v>8105</v>
      </c>
      <c r="F58">
        <v>205.2</v>
      </c>
      <c r="G58">
        <v>188</v>
      </c>
      <c r="H58">
        <v>1.0914893000000001</v>
      </c>
      <c r="I58">
        <v>-9.1489345E-2</v>
      </c>
      <c r="J58">
        <v>0.47812817000000002</v>
      </c>
    </row>
    <row r="59" spans="1:10" x14ac:dyDescent="0.3">
      <c r="A59">
        <v>57</v>
      </c>
      <c r="B59">
        <v>1560</v>
      </c>
      <c r="C59" t="b">
        <v>1</v>
      </c>
      <c r="D59">
        <v>8048</v>
      </c>
      <c r="E59">
        <v>8099</v>
      </c>
      <c r="F59">
        <v>204.8</v>
      </c>
      <c r="G59">
        <v>188</v>
      </c>
      <c r="H59">
        <v>1.0893617</v>
      </c>
      <c r="I59">
        <v>-8.9361720000000006E-2</v>
      </c>
      <c r="J59">
        <v>0.47861508000000003</v>
      </c>
    </row>
    <row r="60" spans="1:10" x14ac:dyDescent="0.3">
      <c r="A60">
        <v>58</v>
      </c>
      <c r="B60">
        <v>1591</v>
      </c>
      <c r="C60" t="b">
        <v>1</v>
      </c>
      <c r="D60">
        <v>8023</v>
      </c>
      <c r="E60">
        <v>8111</v>
      </c>
      <c r="F60">
        <v>204.4</v>
      </c>
      <c r="G60">
        <v>188.4</v>
      </c>
      <c r="H60">
        <v>1.0849257000000001</v>
      </c>
      <c r="I60">
        <v>-8.4925695999999995E-2</v>
      </c>
      <c r="J60">
        <v>0.47963339999999999</v>
      </c>
    </row>
    <row r="61" spans="1:10" x14ac:dyDescent="0.3">
      <c r="A61">
        <v>59</v>
      </c>
      <c r="B61">
        <v>1623</v>
      </c>
      <c r="C61" t="b">
        <v>1</v>
      </c>
      <c r="D61">
        <v>8042</v>
      </c>
      <c r="E61">
        <v>8123</v>
      </c>
      <c r="F61">
        <v>204.4</v>
      </c>
      <c r="G61">
        <v>188.8</v>
      </c>
      <c r="H61">
        <v>1.082627</v>
      </c>
      <c r="I61">
        <v>-8.2627065E-2</v>
      </c>
      <c r="J61">
        <v>0.48016277000000002</v>
      </c>
    </row>
    <row r="62" spans="1:10" x14ac:dyDescent="0.3">
      <c r="A62">
        <v>60</v>
      </c>
      <c r="B62">
        <v>1639</v>
      </c>
      <c r="C62" t="b">
        <v>1</v>
      </c>
      <c r="D62">
        <v>8060</v>
      </c>
      <c r="E62">
        <v>8134</v>
      </c>
      <c r="F62">
        <v>204</v>
      </c>
      <c r="G62">
        <v>189.6</v>
      </c>
      <c r="H62">
        <v>1.0759493</v>
      </c>
      <c r="I62">
        <v>-7.5949329999999995E-2</v>
      </c>
      <c r="J62">
        <v>0.48170732999999999</v>
      </c>
    </row>
    <row r="63" spans="1:10" x14ac:dyDescent="0.3">
      <c r="A63">
        <v>61</v>
      </c>
      <c r="B63">
        <v>1671</v>
      </c>
      <c r="C63" t="b">
        <v>1</v>
      </c>
      <c r="D63">
        <v>8042</v>
      </c>
      <c r="E63">
        <v>8105</v>
      </c>
      <c r="F63">
        <v>204</v>
      </c>
      <c r="G63">
        <v>190</v>
      </c>
      <c r="H63">
        <v>1.0736842</v>
      </c>
      <c r="I63">
        <v>-7.368421E-2</v>
      </c>
      <c r="J63">
        <v>0.48223349999999998</v>
      </c>
    </row>
    <row r="64" spans="1:10" x14ac:dyDescent="0.3">
      <c r="A64">
        <v>62</v>
      </c>
      <c r="B64">
        <v>1704</v>
      </c>
      <c r="C64" t="b">
        <v>1</v>
      </c>
      <c r="D64">
        <v>8065</v>
      </c>
      <c r="E64">
        <v>8123</v>
      </c>
      <c r="F64">
        <v>204</v>
      </c>
      <c r="G64">
        <v>191.6</v>
      </c>
      <c r="H64">
        <v>1.0647180999999999</v>
      </c>
      <c r="I64">
        <v>-6.4718129999999999E-2</v>
      </c>
      <c r="J64">
        <v>0.48432760000000002</v>
      </c>
    </row>
    <row r="65" spans="1:10" x14ac:dyDescent="0.3">
      <c r="A65">
        <v>63</v>
      </c>
      <c r="B65">
        <v>1735</v>
      </c>
      <c r="C65" t="b">
        <v>1</v>
      </c>
      <c r="D65">
        <v>8060</v>
      </c>
      <c r="E65">
        <v>8105</v>
      </c>
      <c r="F65">
        <v>205.2</v>
      </c>
      <c r="G65">
        <v>192.8</v>
      </c>
      <c r="H65">
        <v>1.0643153000000001</v>
      </c>
      <c r="I65">
        <v>-6.4315319999999995E-2</v>
      </c>
      <c r="J65">
        <v>0.48442212000000001</v>
      </c>
    </row>
    <row r="66" spans="1:10" x14ac:dyDescent="0.3">
      <c r="A66">
        <v>64</v>
      </c>
      <c r="B66">
        <v>1767</v>
      </c>
      <c r="C66" t="b">
        <v>1</v>
      </c>
      <c r="D66">
        <v>8037</v>
      </c>
      <c r="E66">
        <v>8111</v>
      </c>
      <c r="F66">
        <v>206</v>
      </c>
      <c r="G66">
        <v>193.2</v>
      </c>
      <c r="H66">
        <v>1.0662526000000001</v>
      </c>
      <c r="I66">
        <v>-6.6252604000000007E-2</v>
      </c>
      <c r="J66">
        <v>0.48396790000000001</v>
      </c>
    </row>
    <row r="67" spans="1:10" x14ac:dyDescent="0.3">
      <c r="A67">
        <v>65</v>
      </c>
      <c r="B67">
        <v>1798</v>
      </c>
      <c r="C67" t="b">
        <v>1</v>
      </c>
      <c r="D67">
        <v>8030</v>
      </c>
      <c r="E67">
        <v>8111</v>
      </c>
      <c r="F67">
        <v>206</v>
      </c>
      <c r="G67">
        <v>193.6</v>
      </c>
      <c r="H67">
        <v>1.0640495999999999</v>
      </c>
      <c r="I67">
        <v>-6.4049560000000005E-2</v>
      </c>
      <c r="J67">
        <v>0.48448449999999998</v>
      </c>
    </row>
    <row r="68" spans="1:10" x14ac:dyDescent="0.3">
      <c r="A68">
        <v>66</v>
      </c>
      <c r="B68">
        <v>1830</v>
      </c>
      <c r="C68" t="b">
        <v>1</v>
      </c>
      <c r="D68">
        <v>8048</v>
      </c>
      <c r="E68">
        <v>8087</v>
      </c>
      <c r="F68">
        <v>206</v>
      </c>
      <c r="G68">
        <v>194</v>
      </c>
      <c r="H68">
        <v>1.0618557</v>
      </c>
      <c r="I68">
        <v>-6.1855670000000001E-2</v>
      </c>
      <c r="J68">
        <v>0.48499999999999999</v>
      </c>
    </row>
    <row r="69" spans="1:10" x14ac:dyDescent="0.3">
      <c r="A69">
        <v>67</v>
      </c>
      <c r="B69">
        <v>1846</v>
      </c>
      <c r="C69" t="b">
        <v>1</v>
      </c>
      <c r="D69">
        <v>8048</v>
      </c>
      <c r="E69">
        <v>8105</v>
      </c>
      <c r="F69">
        <v>206</v>
      </c>
      <c r="G69">
        <v>194</v>
      </c>
      <c r="H69">
        <v>1.0618557</v>
      </c>
      <c r="I69">
        <v>-6.1855670000000001E-2</v>
      </c>
      <c r="J69">
        <v>0.48499999999999999</v>
      </c>
    </row>
    <row r="70" spans="1:10" x14ac:dyDescent="0.3">
      <c r="A70">
        <v>68</v>
      </c>
      <c r="B70">
        <v>1862</v>
      </c>
      <c r="C70" t="b">
        <v>1</v>
      </c>
      <c r="D70">
        <v>8037</v>
      </c>
      <c r="E70">
        <v>8081</v>
      </c>
      <c r="F70">
        <v>205.26666</v>
      </c>
      <c r="G70">
        <v>194</v>
      </c>
      <c r="H70">
        <v>1.0580754999999999</v>
      </c>
      <c r="I70">
        <v>-5.8075580000000002E-2</v>
      </c>
      <c r="J70">
        <v>0.48589080000000001</v>
      </c>
    </row>
    <row r="71" spans="1:10" x14ac:dyDescent="0.3">
      <c r="A71">
        <v>69</v>
      </c>
      <c r="B71">
        <v>1878</v>
      </c>
      <c r="C71" t="b">
        <v>1</v>
      </c>
      <c r="D71">
        <v>8042</v>
      </c>
      <c r="E71">
        <v>8069</v>
      </c>
      <c r="F71">
        <v>205.26666</v>
      </c>
      <c r="G71">
        <v>192.8</v>
      </c>
      <c r="H71">
        <v>1.0646610999999999</v>
      </c>
      <c r="I71">
        <v>-6.4661090000000004E-2</v>
      </c>
      <c r="J71">
        <v>0.48434100000000002</v>
      </c>
    </row>
    <row r="72" spans="1:10" x14ac:dyDescent="0.3">
      <c r="A72">
        <v>70</v>
      </c>
      <c r="B72">
        <v>1909</v>
      </c>
      <c r="C72" t="b">
        <v>1</v>
      </c>
      <c r="D72">
        <v>8054</v>
      </c>
      <c r="E72">
        <v>8099</v>
      </c>
      <c r="F72">
        <v>205.26666</v>
      </c>
      <c r="G72">
        <v>191.6</v>
      </c>
      <c r="H72">
        <v>1.0713291</v>
      </c>
      <c r="I72">
        <v>-7.1329100000000006E-2</v>
      </c>
      <c r="J72">
        <v>0.48278179999999998</v>
      </c>
    </row>
    <row r="73" spans="1:10" x14ac:dyDescent="0.3">
      <c r="A73">
        <v>71</v>
      </c>
      <c r="B73">
        <v>1941</v>
      </c>
      <c r="C73" t="b">
        <v>1</v>
      </c>
      <c r="D73">
        <v>8048</v>
      </c>
      <c r="E73">
        <v>8129</v>
      </c>
      <c r="F73">
        <v>205.66667000000001</v>
      </c>
      <c r="G73">
        <v>191.2</v>
      </c>
      <c r="H73">
        <v>1.0756625</v>
      </c>
      <c r="I73">
        <v>-7.5662519999999997E-2</v>
      </c>
      <c r="J73">
        <v>0.48177387999999999</v>
      </c>
    </row>
    <row r="74" spans="1:10" x14ac:dyDescent="0.3">
      <c r="A74">
        <v>72</v>
      </c>
      <c r="B74">
        <v>1957</v>
      </c>
      <c r="C74" t="b">
        <v>1</v>
      </c>
      <c r="D74">
        <v>8037</v>
      </c>
      <c r="E74">
        <v>8093</v>
      </c>
      <c r="F74">
        <v>205.66667000000001</v>
      </c>
      <c r="G74">
        <v>190.8</v>
      </c>
      <c r="H74">
        <v>1.0779175999999999</v>
      </c>
      <c r="I74">
        <v>-7.7917546000000004E-2</v>
      </c>
      <c r="J74">
        <v>0.48125106000000001</v>
      </c>
    </row>
    <row r="75" spans="1:10" x14ac:dyDescent="0.3">
      <c r="A75">
        <v>73</v>
      </c>
      <c r="B75">
        <v>1973</v>
      </c>
      <c r="C75" t="b">
        <v>1</v>
      </c>
      <c r="D75">
        <v>8037</v>
      </c>
      <c r="E75">
        <v>8087</v>
      </c>
      <c r="F75">
        <v>205.66667000000001</v>
      </c>
      <c r="G75">
        <v>190</v>
      </c>
      <c r="H75">
        <v>1.0824560999999999</v>
      </c>
      <c r="I75">
        <v>-8.2456163999999998E-2</v>
      </c>
      <c r="J75">
        <v>0.48020216999999998</v>
      </c>
    </row>
    <row r="76" spans="1:10" x14ac:dyDescent="0.3">
      <c r="A76">
        <v>74</v>
      </c>
      <c r="B76">
        <v>2005</v>
      </c>
      <c r="C76" t="b">
        <v>1</v>
      </c>
      <c r="D76">
        <v>8060</v>
      </c>
      <c r="E76">
        <v>8099</v>
      </c>
      <c r="F76">
        <v>206.06666999999999</v>
      </c>
      <c r="G76">
        <v>189.6</v>
      </c>
      <c r="H76">
        <v>1.0868495</v>
      </c>
      <c r="I76">
        <v>-8.6849466E-2</v>
      </c>
      <c r="J76">
        <v>0.47919124000000002</v>
      </c>
    </row>
    <row r="77" spans="1:10" x14ac:dyDescent="0.3">
      <c r="A77">
        <v>75</v>
      </c>
      <c r="B77">
        <v>2037</v>
      </c>
      <c r="C77" t="b">
        <v>1</v>
      </c>
      <c r="D77">
        <v>8060</v>
      </c>
      <c r="E77">
        <v>8111</v>
      </c>
      <c r="F77">
        <v>206.46665999999999</v>
      </c>
      <c r="G77">
        <v>188.8</v>
      </c>
      <c r="H77">
        <v>1.0935733000000001</v>
      </c>
      <c r="I77">
        <v>-9.3573390000000006E-2</v>
      </c>
      <c r="J77">
        <v>0.47765222000000002</v>
      </c>
    </row>
    <row r="78" spans="1:10" x14ac:dyDescent="0.3">
      <c r="A78">
        <v>76</v>
      </c>
      <c r="B78">
        <v>2068</v>
      </c>
      <c r="C78" t="b">
        <v>1</v>
      </c>
      <c r="D78">
        <v>8042</v>
      </c>
      <c r="E78">
        <v>8117</v>
      </c>
      <c r="F78">
        <v>206.46665999999999</v>
      </c>
      <c r="G78">
        <v>188</v>
      </c>
      <c r="H78">
        <v>1.0982269</v>
      </c>
      <c r="I78">
        <v>-9.8226910000000001E-2</v>
      </c>
      <c r="J78">
        <v>0.47659287</v>
      </c>
    </row>
    <row r="79" spans="1:10" x14ac:dyDescent="0.3">
      <c r="A79">
        <v>77</v>
      </c>
      <c r="B79">
        <v>2100</v>
      </c>
      <c r="C79" t="b">
        <v>1</v>
      </c>
      <c r="D79">
        <v>8037</v>
      </c>
      <c r="E79">
        <v>8105</v>
      </c>
      <c r="F79">
        <v>206.46665999999999</v>
      </c>
      <c r="G79">
        <v>186.8</v>
      </c>
      <c r="H79">
        <v>1.1052818</v>
      </c>
      <c r="I79">
        <v>-0.10528187999999999</v>
      </c>
      <c r="J79">
        <v>0.47499575999999999</v>
      </c>
    </row>
    <row r="80" spans="1:10" x14ac:dyDescent="0.3">
      <c r="A80">
        <v>78</v>
      </c>
      <c r="B80">
        <v>2132</v>
      </c>
      <c r="C80" t="b">
        <v>1</v>
      </c>
      <c r="D80">
        <v>8023</v>
      </c>
      <c r="E80">
        <v>8087</v>
      </c>
      <c r="F80">
        <v>205.26666</v>
      </c>
      <c r="G80">
        <v>185.6</v>
      </c>
      <c r="H80">
        <v>1.1059626</v>
      </c>
      <c r="I80">
        <v>-0.10596258</v>
      </c>
      <c r="J80">
        <v>0.47484225000000002</v>
      </c>
    </row>
    <row r="81" spans="1:10" x14ac:dyDescent="0.3">
      <c r="A81">
        <v>79</v>
      </c>
      <c r="B81">
        <v>2163</v>
      </c>
      <c r="C81" t="b">
        <v>1</v>
      </c>
      <c r="D81">
        <v>8060</v>
      </c>
      <c r="E81">
        <v>8093</v>
      </c>
      <c r="F81">
        <v>204.06666999999999</v>
      </c>
      <c r="G81">
        <v>185.2</v>
      </c>
      <c r="H81">
        <v>1.1018718000000001</v>
      </c>
      <c r="I81">
        <v>-0.10187185999999999</v>
      </c>
      <c r="J81">
        <v>0.47576639999999998</v>
      </c>
    </row>
    <row r="82" spans="1:10" x14ac:dyDescent="0.3">
      <c r="A82">
        <v>80</v>
      </c>
      <c r="B82">
        <v>2194</v>
      </c>
      <c r="C82" t="b">
        <v>1</v>
      </c>
      <c r="D82">
        <v>8042</v>
      </c>
      <c r="E82">
        <v>8111</v>
      </c>
      <c r="F82">
        <v>204.06666999999999</v>
      </c>
      <c r="G82">
        <v>184.8</v>
      </c>
      <c r="H82">
        <v>1.1042569</v>
      </c>
      <c r="I82">
        <v>-0.10425682999999999</v>
      </c>
      <c r="J82">
        <v>0.47522714999999999</v>
      </c>
    </row>
    <row r="83" spans="1:10" x14ac:dyDescent="0.3">
      <c r="A83">
        <v>81</v>
      </c>
      <c r="B83">
        <v>2226</v>
      </c>
      <c r="C83" t="b">
        <v>1</v>
      </c>
      <c r="D83">
        <v>8042</v>
      </c>
      <c r="E83">
        <v>8093</v>
      </c>
      <c r="F83">
        <v>203.66667000000001</v>
      </c>
      <c r="G83">
        <v>183.6</v>
      </c>
      <c r="H83">
        <v>1.1092956</v>
      </c>
      <c r="I83">
        <v>-0.10929556</v>
      </c>
      <c r="J83">
        <v>0.47409194999999998</v>
      </c>
    </row>
    <row r="84" spans="1:10" x14ac:dyDescent="0.3">
      <c r="A84">
        <v>82</v>
      </c>
      <c r="B84">
        <v>2242</v>
      </c>
      <c r="C84" t="b">
        <v>1</v>
      </c>
      <c r="D84">
        <v>8017</v>
      </c>
      <c r="E84">
        <v>8105</v>
      </c>
      <c r="F84">
        <v>203.26666</v>
      </c>
      <c r="G84">
        <v>182.8</v>
      </c>
      <c r="H84">
        <v>1.1119621</v>
      </c>
      <c r="I84">
        <v>-0.11196203</v>
      </c>
      <c r="J84">
        <v>0.47349337000000002</v>
      </c>
    </row>
    <row r="85" spans="1:10" x14ac:dyDescent="0.3">
      <c r="A85">
        <v>83</v>
      </c>
      <c r="B85">
        <v>2257</v>
      </c>
      <c r="C85" t="b">
        <v>1</v>
      </c>
      <c r="D85">
        <v>8042</v>
      </c>
      <c r="E85">
        <v>8105</v>
      </c>
      <c r="F85">
        <v>203.6</v>
      </c>
      <c r="G85">
        <v>182.8</v>
      </c>
      <c r="H85">
        <v>1.1137855999999999</v>
      </c>
      <c r="I85">
        <v>-0.11378557</v>
      </c>
      <c r="J85">
        <v>0.47308486999999999</v>
      </c>
    </row>
    <row r="86" spans="1:10" x14ac:dyDescent="0.3">
      <c r="A86">
        <v>84</v>
      </c>
      <c r="B86">
        <v>2273</v>
      </c>
      <c r="C86" t="b">
        <v>1</v>
      </c>
      <c r="D86">
        <v>8023</v>
      </c>
      <c r="E86">
        <v>8093</v>
      </c>
      <c r="F86">
        <v>203.6</v>
      </c>
      <c r="G86">
        <v>184</v>
      </c>
      <c r="H86">
        <v>1.1065217000000001</v>
      </c>
      <c r="I86">
        <v>-0.10652177</v>
      </c>
      <c r="J86">
        <v>0.47471619999999998</v>
      </c>
    </row>
    <row r="87" spans="1:10" x14ac:dyDescent="0.3">
      <c r="A87">
        <v>85</v>
      </c>
      <c r="B87">
        <v>2289</v>
      </c>
      <c r="C87" t="b">
        <v>1</v>
      </c>
      <c r="D87">
        <v>8037</v>
      </c>
      <c r="E87">
        <v>8093</v>
      </c>
      <c r="F87">
        <v>202.86667</v>
      </c>
      <c r="G87">
        <v>184.4</v>
      </c>
      <c r="H87">
        <v>1.1001445999999999</v>
      </c>
      <c r="I87">
        <v>-0.10014466</v>
      </c>
      <c r="J87">
        <v>0.47615766999999998</v>
      </c>
    </row>
    <row r="88" spans="1:10" x14ac:dyDescent="0.3">
      <c r="A88">
        <v>86</v>
      </c>
      <c r="B88">
        <v>2305</v>
      </c>
      <c r="C88" t="b">
        <v>1</v>
      </c>
      <c r="D88">
        <v>8060</v>
      </c>
      <c r="E88">
        <v>8111</v>
      </c>
      <c r="F88">
        <v>202.13333</v>
      </c>
      <c r="G88">
        <v>184.8</v>
      </c>
      <c r="H88">
        <v>1.0937950999999999</v>
      </c>
      <c r="I88">
        <v>-9.379506E-2</v>
      </c>
      <c r="J88">
        <v>0.47760164999999999</v>
      </c>
    </row>
    <row r="89" spans="1:10" x14ac:dyDescent="0.3">
      <c r="A89">
        <v>87</v>
      </c>
      <c r="B89">
        <v>2337</v>
      </c>
      <c r="C89" t="b">
        <v>1</v>
      </c>
      <c r="D89">
        <v>8060</v>
      </c>
      <c r="E89">
        <v>8134</v>
      </c>
      <c r="F89">
        <v>202.13333</v>
      </c>
      <c r="G89">
        <v>185.6</v>
      </c>
      <c r="H89">
        <v>1.0890804999999999</v>
      </c>
      <c r="I89">
        <v>-8.9080415999999996E-2</v>
      </c>
      <c r="J89">
        <v>0.47867949999999998</v>
      </c>
    </row>
    <row r="90" spans="1:10" x14ac:dyDescent="0.3">
      <c r="A90">
        <v>88</v>
      </c>
      <c r="B90">
        <v>2369</v>
      </c>
      <c r="C90" t="b">
        <v>1</v>
      </c>
      <c r="D90">
        <v>8048</v>
      </c>
      <c r="E90">
        <v>8111</v>
      </c>
      <c r="F90">
        <v>202.53334000000001</v>
      </c>
      <c r="G90">
        <v>186.8</v>
      </c>
      <c r="H90">
        <v>1.0842255000000001</v>
      </c>
      <c r="I90">
        <v>-8.422557E-2</v>
      </c>
      <c r="J90">
        <v>0.47979450000000001</v>
      </c>
    </row>
    <row r="91" spans="1:10" x14ac:dyDescent="0.3">
      <c r="A91">
        <v>89</v>
      </c>
      <c r="B91">
        <v>2401</v>
      </c>
      <c r="C91" t="b">
        <v>1</v>
      </c>
      <c r="D91">
        <v>8023</v>
      </c>
      <c r="E91">
        <v>8129</v>
      </c>
      <c r="F91">
        <v>202.53334000000001</v>
      </c>
      <c r="G91">
        <v>187.6</v>
      </c>
      <c r="H91">
        <v>1.079602</v>
      </c>
      <c r="I91">
        <v>-7.9601995999999994E-2</v>
      </c>
      <c r="J91">
        <v>0.48086121999999998</v>
      </c>
    </row>
    <row r="92" spans="1:10" x14ac:dyDescent="0.3">
      <c r="A92">
        <v>90</v>
      </c>
      <c r="B92">
        <v>2433</v>
      </c>
      <c r="C92" t="b">
        <v>1</v>
      </c>
      <c r="D92">
        <v>8048</v>
      </c>
      <c r="E92">
        <v>8105</v>
      </c>
      <c r="F92">
        <v>202.53334000000001</v>
      </c>
      <c r="G92">
        <v>188.4</v>
      </c>
      <c r="H92">
        <v>1.0750177999999999</v>
      </c>
      <c r="I92">
        <v>-7.5017765E-2</v>
      </c>
      <c r="J92">
        <v>0.48192358000000002</v>
      </c>
    </row>
    <row r="93" spans="1:10" x14ac:dyDescent="0.3">
      <c r="A93">
        <v>91</v>
      </c>
      <c r="B93">
        <v>2465</v>
      </c>
      <c r="C93" t="b">
        <v>1</v>
      </c>
      <c r="D93">
        <v>8023</v>
      </c>
      <c r="E93">
        <v>8117</v>
      </c>
      <c r="F93">
        <v>202.93333000000001</v>
      </c>
      <c r="G93">
        <v>189.6</v>
      </c>
      <c r="H93">
        <v>1.0703235</v>
      </c>
      <c r="I93">
        <v>-7.0323460000000004E-2</v>
      </c>
      <c r="J93">
        <v>0.48301633999999999</v>
      </c>
    </row>
    <row r="94" spans="1:10" x14ac:dyDescent="0.3">
      <c r="A94">
        <v>92</v>
      </c>
      <c r="B94">
        <v>2496</v>
      </c>
      <c r="C94" t="b">
        <v>1</v>
      </c>
      <c r="D94">
        <v>8042</v>
      </c>
      <c r="E94">
        <v>8123</v>
      </c>
      <c r="F94">
        <v>202.93333000000001</v>
      </c>
      <c r="G94">
        <v>190.4</v>
      </c>
      <c r="H94">
        <v>1.0658264</v>
      </c>
      <c r="I94">
        <v>-6.5826369999999995E-2</v>
      </c>
      <c r="J94">
        <v>0.48406779999999999</v>
      </c>
    </row>
    <row r="95" spans="1:10" x14ac:dyDescent="0.3">
      <c r="A95">
        <v>93</v>
      </c>
      <c r="B95">
        <v>2528</v>
      </c>
      <c r="C95" t="b">
        <v>1</v>
      </c>
      <c r="D95">
        <v>8037</v>
      </c>
      <c r="E95">
        <v>8117</v>
      </c>
      <c r="F95">
        <v>202.6</v>
      </c>
      <c r="G95">
        <v>191.2</v>
      </c>
      <c r="H95">
        <v>1.0596235000000001</v>
      </c>
      <c r="I95">
        <v>-5.962348E-2</v>
      </c>
      <c r="J95">
        <v>0.48552567000000002</v>
      </c>
    </row>
    <row r="96" spans="1:10" x14ac:dyDescent="0.3">
      <c r="A96">
        <v>94</v>
      </c>
      <c r="B96">
        <v>2560</v>
      </c>
      <c r="C96" t="b">
        <v>1</v>
      </c>
      <c r="D96">
        <v>8030</v>
      </c>
      <c r="E96">
        <v>8099</v>
      </c>
      <c r="F96">
        <v>202.26666</v>
      </c>
      <c r="G96">
        <v>192</v>
      </c>
      <c r="H96">
        <v>1.0534722000000001</v>
      </c>
      <c r="I96">
        <v>-5.3472202000000003E-2</v>
      </c>
      <c r="J96">
        <v>0.48698005</v>
      </c>
    </row>
    <row r="97" spans="1:10" x14ac:dyDescent="0.3">
      <c r="A97">
        <v>95</v>
      </c>
      <c r="B97">
        <v>2592</v>
      </c>
      <c r="C97" t="b">
        <v>1</v>
      </c>
      <c r="D97">
        <v>8037</v>
      </c>
      <c r="E97">
        <v>8099</v>
      </c>
      <c r="F97">
        <v>201.93333000000001</v>
      </c>
      <c r="G97">
        <v>192.8</v>
      </c>
      <c r="H97">
        <v>1.0473721</v>
      </c>
      <c r="I97">
        <v>-4.7372049999999999E-2</v>
      </c>
      <c r="J97">
        <v>0.488431</v>
      </c>
    </row>
    <row r="98" spans="1:10" x14ac:dyDescent="0.3">
      <c r="A98">
        <v>96</v>
      </c>
      <c r="B98">
        <v>2623</v>
      </c>
      <c r="C98" t="b">
        <v>1</v>
      </c>
      <c r="D98">
        <v>8060</v>
      </c>
      <c r="E98">
        <v>8099</v>
      </c>
      <c r="F98">
        <v>201.6</v>
      </c>
      <c r="G98">
        <v>193.2</v>
      </c>
      <c r="H98">
        <v>1.0434783000000001</v>
      </c>
      <c r="I98">
        <v>-4.3478309999999999E-2</v>
      </c>
      <c r="J98">
        <v>0.48936170000000001</v>
      </c>
    </row>
    <row r="99" spans="1:10" x14ac:dyDescent="0.3">
      <c r="A99">
        <v>97</v>
      </c>
      <c r="B99">
        <v>2655</v>
      </c>
      <c r="C99" t="b">
        <v>1</v>
      </c>
      <c r="D99">
        <v>8054</v>
      </c>
      <c r="E99">
        <v>8099</v>
      </c>
      <c r="F99">
        <v>201.26666</v>
      </c>
      <c r="G99">
        <v>193.6</v>
      </c>
      <c r="H99">
        <v>1.0396004999999999</v>
      </c>
      <c r="I99">
        <v>-3.9600499999999997E-2</v>
      </c>
      <c r="J99">
        <v>0.49029210000000001</v>
      </c>
    </row>
    <row r="100" spans="1:10" x14ac:dyDescent="0.3">
      <c r="A100">
        <v>98</v>
      </c>
      <c r="B100">
        <v>2686</v>
      </c>
      <c r="C100" t="b">
        <v>1</v>
      </c>
      <c r="D100">
        <v>8037</v>
      </c>
      <c r="E100">
        <v>8117</v>
      </c>
      <c r="F100">
        <v>200.93333000000001</v>
      </c>
      <c r="G100">
        <v>193.2</v>
      </c>
      <c r="H100">
        <v>1.0400275999999999</v>
      </c>
      <c r="I100">
        <v>-4.0027625999999997E-2</v>
      </c>
      <c r="J100">
        <v>0.49018942999999998</v>
      </c>
    </row>
    <row r="101" spans="1:10" x14ac:dyDescent="0.3">
      <c r="A101">
        <v>99</v>
      </c>
      <c r="B101">
        <v>2716</v>
      </c>
      <c r="C101" t="b">
        <v>1</v>
      </c>
      <c r="D101">
        <v>8048</v>
      </c>
      <c r="E101">
        <v>8111</v>
      </c>
      <c r="F101">
        <v>201.33332999999999</v>
      </c>
      <c r="G101">
        <v>192.8</v>
      </c>
      <c r="H101">
        <v>1.04426</v>
      </c>
      <c r="I101">
        <v>-4.4259984000000002E-2</v>
      </c>
      <c r="J101">
        <v>0.48917456999999998</v>
      </c>
    </row>
    <row r="102" spans="1:10" x14ac:dyDescent="0.3">
      <c r="A102">
        <v>100</v>
      </c>
      <c r="B102">
        <v>2748</v>
      </c>
      <c r="C102" t="b">
        <v>1</v>
      </c>
      <c r="D102">
        <v>8042</v>
      </c>
      <c r="E102">
        <v>8087</v>
      </c>
      <c r="F102">
        <v>202.06666999999999</v>
      </c>
      <c r="G102">
        <v>193.2</v>
      </c>
      <c r="H102">
        <v>1.0458938</v>
      </c>
      <c r="I102">
        <v>-4.5893732E-2</v>
      </c>
      <c r="J102">
        <v>0.48878392999999998</v>
      </c>
    </row>
    <row r="103" spans="1:10" x14ac:dyDescent="0.3">
      <c r="A103">
        <v>101</v>
      </c>
      <c r="B103">
        <v>2779</v>
      </c>
      <c r="C103" t="b">
        <v>1</v>
      </c>
      <c r="D103">
        <v>8042</v>
      </c>
      <c r="E103">
        <v>8099</v>
      </c>
      <c r="F103">
        <v>202.4</v>
      </c>
      <c r="G103">
        <v>192.8</v>
      </c>
      <c r="H103">
        <v>1.0497924999999999</v>
      </c>
      <c r="I103">
        <v>-4.9792482999999998E-2</v>
      </c>
      <c r="J103">
        <v>0.48785423999999999</v>
      </c>
    </row>
    <row r="104" spans="1:10" x14ac:dyDescent="0.3">
      <c r="A104">
        <v>102</v>
      </c>
      <c r="B104">
        <v>2795</v>
      </c>
      <c r="C104" t="b">
        <v>1</v>
      </c>
      <c r="D104">
        <v>8054</v>
      </c>
      <c r="E104">
        <v>8140</v>
      </c>
      <c r="F104">
        <v>202.4</v>
      </c>
      <c r="G104">
        <v>193.2</v>
      </c>
      <c r="H104">
        <v>1.0476190000000001</v>
      </c>
      <c r="I104">
        <v>-4.7619033999999998E-2</v>
      </c>
      <c r="J104">
        <v>0.48837212000000002</v>
      </c>
    </row>
    <row r="105" spans="1:10" x14ac:dyDescent="0.3">
      <c r="A105">
        <v>103</v>
      </c>
      <c r="B105">
        <v>2811</v>
      </c>
      <c r="C105" t="b">
        <v>1</v>
      </c>
      <c r="D105">
        <v>8060</v>
      </c>
      <c r="E105">
        <v>8093</v>
      </c>
      <c r="F105">
        <v>202.4</v>
      </c>
      <c r="G105">
        <v>192.4</v>
      </c>
      <c r="H105">
        <v>1.0519750000000001</v>
      </c>
      <c r="I105">
        <v>-5.1975053E-2</v>
      </c>
      <c r="J105">
        <v>0.48733535</v>
      </c>
    </row>
    <row r="106" spans="1:10" x14ac:dyDescent="0.3">
      <c r="A106">
        <v>104</v>
      </c>
      <c r="B106">
        <v>2843</v>
      </c>
      <c r="C106" t="b">
        <v>1</v>
      </c>
      <c r="D106">
        <v>8042</v>
      </c>
      <c r="E106">
        <v>8117</v>
      </c>
      <c r="F106">
        <v>202</v>
      </c>
      <c r="G106">
        <v>191.6</v>
      </c>
      <c r="H106">
        <v>1.0542796999999999</v>
      </c>
      <c r="I106">
        <v>-5.4279714999999999E-2</v>
      </c>
      <c r="J106">
        <v>0.48678863</v>
      </c>
    </row>
    <row r="107" spans="1:10" x14ac:dyDescent="0.3">
      <c r="A107">
        <v>105</v>
      </c>
      <c r="B107">
        <v>2874</v>
      </c>
      <c r="C107" t="b">
        <v>1</v>
      </c>
      <c r="D107">
        <v>8048</v>
      </c>
      <c r="E107">
        <v>8129</v>
      </c>
      <c r="F107">
        <v>202</v>
      </c>
      <c r="G107">
        <v>192</v>
      </c>
      <c r="H107">
        <v>1.0520833999999999</v>
      </c>
      <c r="I107">
        <v>-5.2083332000000003E-2</v>
      </c>
      <c r="J107">
        <v>0.48730962999999999</v>
      </c>
    </row>
    <row r="108" spans="1:10" x14ac:dyDescent="0.3">
      <c r="A108">
        <v>106</v>
      </c>
      <c r="B108">
        <v>2906</v>
      </c>
      <c r="C108" t="b">
        <v>1</v>
      </c>
      <c r="D108">
        <v>8060</v>
      </c>
      <c r="E108">
        <v>8111</v>
      </c>
      <c r="F108">
        <v>202.4</v>
      </c>
      <c r="G108">
        <v>192</v>
      </c>
      <c r="H108">
        <v>1.0541666999999999</v>
      </c>
      <c r="I108">
        <v>-5.4166633999999998E-2</v>
      </c>
      <c r="J108">
        <v>0.48681542</v>
      </c>
    </row>
    <row r="109" spans="1:10" x14ac:dyDescent="0.3">
      <c r="A109">
        <v>107</v>
      </c>
      <c r="B109">
        <v>2922</v>
      </c>
      <c r="C109" t="b">
        <v>1</v>
      </c>
      <c r="D109">
        <v>8042</v>
      </c>
      <c r="E109">
        <v>8123</v>
      </c>
      <c r="F109">
        <v>202.8</v>
      </c>
      <c r="G109">
        <v>192</v>
      </c>
      <c r="H109">
        <v>1.0562499999999999</v>
      </c>
      <c r="I109">
        <v>-5.6250016999999999E-2</v>
      </c>
      <c r="J109">
        <v>0.48632219999999998</v>
      </c>
    </row>
    <row r="110" spans="1:10" x14ac:dyDescent="0.3">
      <c r="A110">
        <v>108</v>
      </c>
      <c r="B110">
        <v>2937</v>
      </c>
      <c r="C110" t="b">
        <v>1</v>
      </c>
      <c r="D110">
        <v>8030</v>
      </c>
      <c r="E110">
        <v>8099</v>
      </c>
      <c r="F110">
        <v>203.13333</v>
      </c>
      <c r="G110">
        <v>192</v>
      </c>
      <c r="H110">
        <v>1.0579860999999999</v>
      </c>
      <c r="I110">
        <v>-5.7986099999999999E-2</v>
      </c>
      <c r="J110">
        <v>0.48591193999999999</v>
      </c>
    </row>
    <row r="111" spans="1:10" x14ac:dyDescent="0.3">
      <c r="A111">
        <v>109</v>
      </c>
      <c r="B111">
        <v>2953</v>
      </c>
      <c r="C111" t="b">
        <v>1</v>
      </c>
      <c r="D111">
        <v>8054</v>
      </c>
      <c r="E111">
        <v>8093</v>
      </c>
      <c r="F111">
        <v>203.86667</v>
      </c>
      <c r="G111">
        <v>191.6</v>
      </c>
      <c r="H111">
        <v>1.0640223</v>
      </c>
      <c r="I111">
        <v>-6.4022239999999994E-2</v>
      </c>
      <c r="J111">
        <v>0.4844909</v>
      </c>
    </row>
    <row r="112" spans="1:10" x14ac:dyDescent="0.3">
      <c r="A112">
        <v>110</v>
      </c>
      <c r="B112">
        <v>2969</v>
      </c>
      <c r="C112" t="b">
        <v>1</v>
      </c>
      <c r="D112">
        <v>8060</v>
      </c>
      <c r="E112">
        <v>8140</v>
      </c>
      <c r="F112">
        <v>205</v>
      </c>
      <c r="G112">
        <v>191.2</v>
      </c>
      <c r="H112">
        <v>1.0721757000000001</v>
      </c>
      <c r="I112">
        <v>-7.2175749999999997E-2</v>
      </c>
      <c r="J112">
        <v>0.48258454000000001</v>
      </c>
    </row>
    <row r="113" spans="1:10" x14ac:dyDescent="0.3">
      <c r="A113">
        <v>111</v>
      </c>
      <c r="B113">
        <v>3002</v>
      </c>
      <c r="C113" t="b">
        <v>1</v>
      </c>
      <c r="D113">
        <v>8048</v>
      </c>
      <c r="E113">
        <v>8087</v>
      </c>
      <c r="F113">
        <v>205.73334</v>
      </c>
      <c r="G113">
        <v>191.2</v>
      </c>
      <c r="H113">
        <v>1.0760111999999999</v>
      </c>
      <c r="I113">
        <v>-7.6011196000000003E-2</v>
      </c>
      <c r="J113">
        <v>0.48169294000000001</v>
      </c>
    </row>
    <row r="114" spans="1:10" x14ac:dyDescent="0.3">
      <c r="A114">
        <v>112</v>
      </c>
      <c r="B114">
        <v>3034</v>
      </c>
      <c r="C114" t="b">
        <v>1</v>
      </c>
      <c r="D114">
        <v>8030</v>
      </c>
      <c r="E114">
        <v>8093</v>
      </c>
      <c r="F114">
        <v>206.46665999999999</v>
      </c>
      <c r="G114">
        <v>190.8</v>
      </c>
      <c r="H114">
        <v>1.0821103999999999</v>
      </c>
      <c r="I114">
        <v>-8.2110359999999993E-2</v>
      </c>
      <c r="J114">
        <v>0.48028195000000001</v>
      </c>
    </row>
    <row r="115" spans="1:10" x14ac:dyDescent="0.3">
      <c r="A115">
        <v>113</v>
      </c>
      <c r="B115">
        <v>3066</v>
      </c>
      <c r="C115" t="b">
        <v>1</v>
      </c>
      <c r="D115">
        <v>8037</v>
      </c>
      <c r="E115">
        <v>8105</v>
      </c>
      <c r="F115">
        <v>207.2</v>
      </c>
      <c r="G115">
        <v>190.4</v>
      </c>
      <c r="H115">
        <v>1.0882353</v>
      </c>
      <c r="I115">
        <v>-8.8235309999999997E-2</v>
      </c>
      <c r="J115">
        <v>0.47887324999999997</v>
      </c>
    </row>
    <row r="116" spans="1:10" x14ac:dyDescent="0.3">
      <c r="A116">
        <v>114</v>
      </c>
      <c r="B116">
        <v>3097</v>
      </c>
      <c r="C116" t="b">
        <v>1</v>
      </c>
      <c r="D116">
        <v>8006</v>
      </c>
      <c r="E116">
        <v>8117</v>
      </c>
      <c r="F116">
        <v>206.46665999999999</v>
      </c>
      <c r="G116">
        <v>190.8</v>
      </c>
      <c r="H116">
        <v>1.0821103999999999</v>
      </c>
      <c r="I116">
        <v>-8.2110359999999993E-2</v>
      </c>
      <c r="J116">
        <v>0.48028195000000001</v>
      </c>
    </row>
    <row r="117" spans="1:10" x14ac:dyDescent="0.3">
      <c r="A117">
        <v>115</v>
      </c>
      <c r="B117">
        <v>3129</v>
      </c>
      <c r="C117" t="b">
        <v>1</v>
      </c>
      <c r="D117">
        <v>8042</v>
      </c>
      <c r="E117">
        <v>8123</v>
      </c>
      <c r="F117">
        <v>205.73334</v>
      </c>
      <c r="G117">
        <v>191.2</v>
      </c>
      <c r="H117">
        <v>1.0760111999999999</v>
      </c>
      <c r="I117">
        <v>-7.6011196000000003E-2</v>
      </c>
      <c r="J117">
        <v>0.48169294000000001</v>
      </c>
    </row>
    <row r="118" spans="1:10" x14ac:dyDescent="0.3">
      <c r="A118">
        <v>116</v>
      </c>
      <c r="B118">
        <v>3145</v>
      </c>
      <c r="C118" t="b">
        <v>1</v>
      </c>
      <c r="D118">
        <v>8042</v>
      </c>
      <c r="E118">
        <v>8111</v>
      </c>
      <c r="F118">
        <v>205.4</v>
      </c>
      <c r="G118">
        <v>192</v>
      </c>
      <c r="H118">
        <v>1.0697916999999999</v>
      </c>
      <c r="I118">
        <v>-6.9791640000000002E-2</v>
      </c>
      <c r="J118">
        <v>0.48314040000000003</v>
      </c>
    </row>
    <row r="119" spans="1:10" x14ac:dyDescent="0.3">
      <c r="A119">
        <v>117</v>
      </c>
      <c r="B119">
        <v>3177</v>
      </c>
      <c r="C119" t="b">
        <v>1</v>
      </c>
      <c r="D119">
        <v>8054</v>
      </c>
      <c r="E119">
        <v>8117</v>
      </c>
      <c r="F119">
        <v>205.4</v>
      </c>
      <c r="G119">
        <v>192.4</v>
      </c>
      <c r="H119">
        <v>1.0675676000000001</v>
      </c>
      <c r="I119">
        <v>-6.7567569999999993E-2</v>
      </c>
      <c r="J119">
        <v>0.48366013000000002</v>
      </c>
    </row>
    <row r="120" spans="1:10" x14ac:dyDescent="0.3">
      <c r="A120">
        <v>118</v>
      </c>
      <c r="B120">
        <v>3193</v>
      </c>
      <c r="C120" t="b">
        <v>1</v>
      </c>
      <c r="D120">
        <v>8037</v>
      </c>
      <c r="E120">
        <v>8093</v>
      </c>
      <c r="F120">
        <v>205</v>
      </c>
      <c r="G120">
        <v>193.6</v>
      </c>
      <c r="H120">
        <v>1.0588842999999999</v>
      </c>
      <c r="I120">
        <v>-5.8884262999999999E-2</v>
      </c>
      <c r="J120">
        <v>0.48569994999999999</v>
      </c>
    </row>
    <row r="121" spans="1:10" x14ac:dyDescent="0.3">
      <c r="A121">
        <v>119</v>
      </c>
      <c r="B121">
        <v>3225</v>
      </c>
      <c r="C121" t="b">
        <v>1</v>
      </c>
      <c r="D121">
        <v>8054</v>
      </c>
      <c r="E121">
        <v>8117</v>
      </c>
      <c r="F121">
        <v>205</v>
      </c>
      <c r="G121">
        <v>194.8</v>
      </c>
      <c r="H121">
        <v>1.0523613999999999</v>
      </c>
      <c r="I121">
        <v>-5.2361379999999999E-2</v>
      </c>
      <c r="J121">
        <v>0.48724364999999997</v>
      </c>
    </row>
    <row r="122" spans="1:10" x14ac:dyDescent="0.3">
      <c r="A122">
        <v>120</v>
      </c>
      <c r="B122">
        <v>3256</v>
      </c>
      <c r="C122" t="b">
        <v>1</v>
      </c>
      <c r="D122">
        <v>8042</v>
      </c>
      <c r="E122">
        <v>8093</v>
      </c>
      <c r="F122">
        <v>204.6</v>
      </c>
      <c r="G122">
        <v>194.4</v>
      </c>
      <c r="H122">
        <v>1.0524693000000001</v>
      </c>
      <c r="I122">
        <v>-5.2469200000000001E-2</v>
      </c>
      <c r="J122">
        <v>0.48721801999999997</v>
      </c>
    </row>
    <row r="123" spans="1:10" x14ac:dyDescent="0.3">
      <c r="A123">
        <v>121</v>
      </c>
      <c r="B123">
        <v>3272</v>
      </c>
      <c r="C123" t="b">
        <v>1</v>
      </c>
      <c r="D123">
        <v>8042</v>
      </c>
      <c r="E123">
        <v>8123</v>
      </c>
      <c r="F123">
        <v>203.8</v>
      </c>
      <c r="G123">
        <v>194.4</v>
      </c>
      <c r="H123">
        <v>1.0483538999999999</v>
      </c>
      <c r="I123">
        <v>-4.8353960000000001E-2</v>
      </c>
      <c r="J123">
        <v>0.48819685000000002</v>
      </c>
    </row>
    <row r="124" spans="1:10" x14ac:dyDescent="0.3">
      <c r="A124">
        <v>122</v>
      </c>
      <c r="B124">
        <v>3288</v>
      </c>
      <c r="C124" t="b">
        <v>1</v>
      </c>
      <c r="D124">
        <v>8037</v>
      </c>
      <c r="E124">
        <v>8111</v>
      </c>
      <c r="F124">
        <v>203.4</v>
      </c>
      <c r="G124">
        <v>194</v>
      </c>
      <c r="H124">
        <v>1.0484536</v>
      </c>
      <c r="I124">
        <v>-4.8453576999999998E-2</v>
      </c>
      <c r="J124">
        <v>0.48817313000000001</v>
      </c>
    </row>
    <row r="125" spans="1:10" x14ac:dyDescent="0.3">
      <c r="A125">
        <v>123</v>
      </c>
      <c r="B125">
        <v>3320</v>
      </c>
      <c r="C125" t="b">
        <v>1</v>
      </c>
      <c r="D125">
        <v>8071</v>
      </c>
      <c r="E125">
        <v>8099</v>
      </c>
      <c r="F125">
        <v>203.4</v>
      </c>
      <c r="G125">
        <v>193.6</v>
      </c>
      <c r="H125">
        <v>1.0506196999999999</v>
      </c>
      <c r="I125">
        <v>-5.0619770000000001E-2</v>
      </c>
      <c r="J125">
        <v>0.48765745999999999</v>
      </c>
    </row>
    <row r="126" spans="1:10" x14ac:dyDescent="0.3">
      <c r="A126">
        <v>124</v>
      </c>
      <c r="B126">
        <v>3351</v>
      </c>
      <c r="C126" t="b">
        <v>1</v>
      </c>
      <c r="D126">
        <v>8042</v>
      </c>
      <c r="E126">
        <v>8105</v>
      </c>
      <c r="F126">
        <v>203</v>
      </c>
      <c r="G126">
        <v>193.2</v>
      </c>
      <c r="H126">
        <v>1.0507245999999999</v>
      </c>
      <c r="I126">
        <v>-5.0724655E-2</v>
      </c>
      <c r="J126">
        <v>0.48763247999999998</v>
      </c>
    </row>
    <row r="127" spans="1:10" x14ac:dyDescent="0.3">
      <c r="A127">
        <v>125</v>
      </c>
      <c r="B127">
        <v>3383</v>
      </c>
      <c r="C127" t="b">
        <v>1</v>
      </c>
      <c r="D127">
        <v>8048</v>
      </c>
      <c r="E127">
        <v>8117</v>
      </c>
      <c r="F127">
        <v>202.2</v>
      </c>
      <c r="G127">
        <v>193.2</v>
      </c>
      <c r="H127">
        <v>1.0465838999999999</v>
      </c>
      <c r="I127">
        <v>-4.6583850000000003E-2</v>
      </c>
      <c r="J127">
        <v>0.48861912000000002</v>
      </c>
    </row>
    <row r="128" spans="1:10" x14ac:dyDescent="0.3">
      <c r="A128">
        <v>126</v>
      </c>
      <c r="B128">
        <v>3415</v>
      </c>
      <c r="C128" t="b">
        <v>1</v>
      </c>
      <c r="D128">
        <v>8048</v>
      </c>
      <c r="E128">
        <v>8081</v>
      </c>
      <c r="F128">
        <v>202.2</v>
      </c>
      <c r="G128">
        <v>193.6</v>
      </c>
      <c r="H128">
        <v>1.0444214000000001</v>
      </c>
      <c r="I128">
        <v>-4.4421438000000001E-2</v>
      </c>
      <c r="J128">
        <v>0.48913594999999999</v>
      </c>
    </row>
    <row r="129" spans="1:10" x14ac:dyDescent="0.3">
      <c r="A129">
        <v>127</v>
      </c>
      <c r="B129">
        <v>3447</v>
      </c>
      <c r="C129" t="b">
        <v>1</v>
      </c>
      <c r="D129">
        <v>8042</v>
      </c>
      <c r="E129">
        <v>8123</v>
      </c>
      <c r="F129">
        <v>202.2</v>
      </c>
      <c r="G129">
        <v>194.4</v>
      </c>
      <c r="H129">
        <v>1.0401235</v>
      </c>
      <c r="I129">
        <v>-4.0123473999999999E-2</v>
      </c>
      <c r="J129">
        <v>0.49016642999999999</v>
      </c>
    </row>
    <row r="130" spans="1:10" x14ac:dyDescent="0.3">
      <c r="A130">
        <v>128</v>
      </c>
      <c r="B130">
        <v>3463</v>
      </c>
      <c r="C130" t="b">
        <v>1</v>
      </c>
      <c r="D130">
        <v>8037</v>
      </c>
      <c r="E130">
        <v>8093</v>
      </c>
      <c r="F130">
        <v>201.8</v>
      </c>
      <c r="G130">
        <v>195.2</v>
      </c>
      <c r="H130">
        <v>1.0338115000000001</v>
      </c>
      <c r="I130">
        <v>-3.3811505999999998E-2</v>
      </c>
      <c r="J130">
        <v>0.49168766000000003</v>
      </c>
    </row>
    <row r="131" spans="1:10" x14ac:dyDescent="0.3">
      <c r="A131">
        <v>129</v>
      </c>
      <c r="B131">
        <v>3478</v>
      </c>
      <c r="C131" t="b">
        <v>1</v>
      </c>
      <c r="D131">
        <v>8037</v>
      </c>
      <c r="E131">
        <v>8099</v>
      </c>
      <c r="F131">
        <v>202.13333</v>
      </c>
      <c r="G131">
        <v>194.8</v>
      </c>
      <c r="H131">
        <v>1.0376455</v>
      </c>
      <c r="I131">
        <v>-3.7645421999999998E-2</v>
      </c>
      <c r="J131">
        <v>0.49076249999999999</v>
      </c>
    </row>
    <row r="132" spans="1:10" x14ac:dyDescent="0.3">
      <c r="A132">
        <v>130</v>
      </c>
      <c r="B132">
        <v>3510</v>
      </c>
      <c r="C132" t="b">
        <v>1</v>
      </c>
      <c r="D132">
        <v>8030</v>
      </c>
      <c r="E132">
        <v>8117</v>
      </c>
      <c r="F132">
        <v>202.13333</v>
      </c>
      <c r="G132">
        <v>194.4</v>
      </c>
      <c r="H132">
        <v>1.0397805</v>
      </c>
      <c r="I132">
        <v>-3.9780542000000002E-2</v>
      </c>
      <c r="J132">
        <v>0.49024883000000002</v>
      </c>
    </row>
    <row r="133" spans="1:10" x14ac:dyDescent="0.3">
      <c r="A133">
        <v>131</v>
      </c>
      <c r="B133">
        <v>3542</v>
      </c>
      <c r="C133" t="b">
        <v>1</v>
      </c>
      <c r="D133">
        <v>8030</v>
      </c>
      <c r="E133">
        <v>8099</v>
      </c>
      <c r="F133">
        <v>202.13333</v>
      </c>
      <c r="G133">
        <v>193.6</v>
      </c>
      <c r="H133">
        <v>1.0440769999999999</v>
      </c>
      <c r="I133">
        <v>-4.4077089999999999E-2</v>
      </c>
      <c r="J133">
        <v>0.48921831999999998</v>
      </c>
    </row>
    <row r="134" spans="1:10" x14ac:dyDescent="0.3">
      <c r="A134">
        <v>132</v>
      </c>
      <c r="B134">
        <v>3573</v>
      </c>
      <c r="C134" t="b">
        <v>1</v>
      </c>
      <c r="D134">
        <v>8030</v>
      </c>
      <c r="E134">
        <v>8111</v>
      </c>
      <c r="F134">
        <v>201.33332999999999</v>
      </c>
      <c r="G134">
        <v>192.4</v>
      </c>
      <c r="H134">
        <v>1.0464310999999999</v>
      </c>
      <c r="I134">
        <v>-4.6431053E-2</v>
      </c>
      <c r="J134">
        <v>0.48865560000000002</v>
      </c>
    </row>
    <row r="135" spans="1:10" x14ac:dyDescent="0.3">
      <c r="A135">
        <v>133</v>
      </c>
      <c r="B135">
        <v>3589</v>
      </c>
      <c r="C135" t="b">
        <v>1</v>
      </c>
      <c r="D135">
        <v>8030</v>
      </c>
      <c r="E135">
        <v>8111</v>
      </c>
      <c r="F135">
        <v>200.53334000000001</v>
      </c>
      <c r="G135">
        <v>192</v>
      </c>
      <c r="H135">
        <v>1.0444443999999999</v>
      </c>
      <c r="I135">
        <v>-4.4444483E-2</v>
      </c>
      <c r="J135">
        <v>0.48913044</v>
      </c>
    </row>
    <row r="136" spans="1:10" x14ac:dyDescent="0.3">
      <c r="A136">
        <v>134</v>
      </c>
      <c r="B136">
        <v>3605</v>
      </c>
      <c r="C136" t="b">
        <v>1</v>
      </c>
      <c r="D136">
        <v>8042</v>
      </c>
      <c r="E136">
        <v>8146</v>
      </c>
      <c r="F136">
        <v>199.73334</v>
      </c>
      <c r="G136">
        <v>191.6</v>
      </c>
      <c r="H136">
        <v>1.0424496000000001</v>
      </c>
      <c r="I136">
        <v>-4.2449533999999997E-2</v>
      </c>
      <c r="J136">
        <v>0.48960817000000001</v>
      </c>
    </row>
    <row r="137" spans="1:10" x14ac:dyDescent="0.3">
      <c r="A137">
        <v>135</v>
      </c>
      <c r="B137">
        <v>3638</v>
      </c>
      <c r="C137" t="b">
        <v>1</v>
      </c>
      <c r="D137">
        <v>8054</v>
      </c>
      <c r="E137">
        <v>8129</v>
      </c>
      <c r="F137">
        <v>198.93333000000001</v>
      </c>
      <c r="G137">
        <v>191.6</v>
      </c>
      <c r="H137">
        <v>1.0382742</v>
      </c>
      <c r="I137">
        <v>-3.8274153999999998E-2</v>
      </c>
      <c r="J137">
        <v>0.49061116999999999</v>
      </c>
    </row>
    <row r="138" spans="1:10" x14ac:dyDescent="0.3">
      <c r="A138">
        <v>136</v>
      </c>
      <c r="B138">
        <v>3669</v>
      </c>
      <c r="C138" t="b">
        <v>1</v>
      </c>
      <c r="D138">
        <v>8048</v>
      </c>
      <c r="E138">
        <v>8140</v>
      </c>
      <c r="F138">
        <v>198.93333000000001</v>
      </c>
      <c r="G138">
        <v>192.4</v>
      </c>
      <c r="H138">
        <v>1.0339571000000001</v>
      </c>
      <c r="I138">
        <v>-3.3957069999999999E-2</v>
      </c>
      <c r="J138">
        <v>0.49165249999999999</v>
      </c>
    </row>
    <row r="139" spans="1:10" x14ac:dyDescent="0.3">
      <c r="A139">
        <v>137</v>
      </c>
      <c r="B139">
        <v>3701</v>
      </c>
      <c r="C139" t="b">
        <v>1</v>
      </c>
      <c r="D139">
        <v>8060</v>
      </c>
      <c r="E139">
        <v>8093</v>
      </c>
      <c r="F139">
        <v>199.33332999999999</v>
      </c>
      <c r="G139">
        <v>193.6</v>
      </c>
      <c r="H139">
        <v>1.0296141999999999</v>
      </c>
      <c r="I139">
        <v>-2.9614266E-2</v>
      </c>
      <c r="J139">
        <v>0.49270445000000002</v>
      </c>
    </row>
    <row r="140" spans="1:10" x14ac:dyDescent="0.3">
      <c r="A140">
        <v>138</v>
      </c>
      <c r="B140">
        <v>3733</v>
      </c>
      <c r="C140" t="b">
        <v>1</v>
      </c>
      <c r="D140">
        <v>8054</v>
      </c>
      <c r="E140">
        <v>8105</v>
      </c>
      <c r="F140">
        <v>200.13333</v>
      </c>
      <c r="G140">
        <v>194.8</v>
      </c>
      <c r="H140">
        <v>1.0273783999999999</v>
      </c>
      <c r="I140">
        <v>-2.737848E-2</v>
      </c>
      <c r="J140">
        <v>0.49324780000000001</v>
      </c>
    </row>
    <row r="141" spans="1:10" x14ac:dyDescent="0.3">
      <c r="A141">
        <v>139</v>
      </c>
      <c r="B141">
        <v>3764</v>
      </c>
      <c r="C141" t="b">
        <v>1</v>
      </c>
      <c r="D141">
        <v>8042</v>
      </c>
      <c r="E141">
        <v>8117</v>
      </c>
      <c r="F141">
        <v>200.93333000000001</v>
      </c>
      <c r="G141">
        <v>195.6</v>
      </c>
      <c r="H141">
        <v>1.0272665000000001</v>
      </c>
      <c r="I141">
        <v>-2.7266504E-2</v>
      </c>
      <c r="J141">
        <v>0.49327507999999998</v>
      </c>
    </row>
    <row r="142" spans="1:10" x14ac:dyDescent="0.3">
      <c r="A142">
        <v>140</v>
      </c>
      <c r="B142">
        <v>3796</v>
      </c>
      <c r="C142" t="b">
        <v>1</v>
      </c>
      <c r="D142">
        <v>8060</v>
      </c>
      <c r="E142">
        <v>8081</v>
      </c>
      <c r="F142">
        <v>201.73334</v>
      </c>
      <c r="G142">
        <v>195.2</v>
      </c>
      <c r="H142">
        <v>1.0334700000000001</v>
      </c>
      <c r="I142">
        <v>-3.3469982000000002E-2</v>
      </c>
      <c r="J142">
        <v>0.49177019999999999</v>
      </c>
    </row>
    <row r="143" spans="1:10" x14ac:dyDescent="0.3">
      <c r="A143">
        <v>141</v>
      </c>
      <c r="B143">
        <v>3812</v>
      </c>
      <c r="C143" t="b">
        <v>1</v>
      </c>
      <c r="D143">
        <v>8054</v>
      </c>
      <c r="E143">
        <v>8105</v>
      </c>
      <c r="F143">
        <v>202.13333</v>
      </c>
      <c r="G143">
        <v>195.2</v>
      </c>
      <c r="H143">
        <v>1.0355190999999999</v>
      </c>
      <c r="I143">
        <v>-3.5519130000000003E-2</v>
      </c>
      <c r="J143">
        <v>0.49127520000000002</v>
      </c>
    </row>
    <row r="144" spans="1:10" x14ac:dyDescent="0.3">
      <c r="A144">
        <v>142</v>
      </c>
      <c r="B144">
        <v>3828</v>
      </c>
      <c r="C144" t="b">
        <v>1</v>
      </c>
      <c r="D144">
        <v>8054</v>
      </c>
      <c r="E144">
        <v>8099</v>
      </c>
      <c r="F144">
        <v>202.53334000000001</v>
      </c>
      <c r="G144">
        <v>195.2</v>
      </c>
      <c r="H144">
        <v>1.0375683</v>
      </c>
      <c r="I144">
        <v>-3.7568360000000002E-2</v>
      </c>
      <c r="J144">
        <v>0.49078106999999999</v>
      </c>
    </row>
    <row r="145" spans="1:10" x14ac:dyDescent="0.3">
      <c r="A145">
        <v>143</v>
      </c>
      <c r="B145">
        <v>3844</v>
      </c>
      <c r="C145" t="b">
        <v>1</v>
      </c>
      <c r="D145">
        <v>8037</v>
      </c>
      <c r="E145">
        <v>8099</v>
      </c>
      <c r="F145">
        <v>203.33332999999999</v>
      </c>
      <c r="G145">
        <v>194.8</v>
      </c>
      <c r="H145">
        <v>1.0438056</v>
      </c>
      <c r="I145">
        <v>-4.3805570000000002E-2</v>
      </c>
      <c r="J145">
        <v>0.48928332000000002</v>
      </c>
    </row>
    <row r="146" spans="1:10" x14ac:dyDescent="0.3">
      <c r="A146">
        <v>144</v>
      </c>
      <c r="B146">
        <v>3860</v>
      </c>
      <c r="C146" t="b">
        <v>1</v>
      </c>
      <c r="D146">
        <v>8048</v>
      </c>
      <c r="E146">
        <v>8105</v>
      </c>
      <c r="F146">
        <v>204.13333</v>
      </c>
      <c r="G146">
        <v>194.8</v>
      </c>
      <c r="H146">
        <v>1.0479124</v>
      </c>
      <c r="I146">
        <v>-4.7912362999999999E-2</v>
      </c>
      <c r="J146">
        <v>0.48830214</v>
      </c>
    </row>
    <row r="147" spans="1:10" x14ac:dyDescent="0.3">
      <c r="A147">
        <v>145</v>
      </c>
      <c r="B147">
        <v>3876</v>
      </c>
      <c r="C147" t="b">
        <v>1</v>
      </c>
      <c r="D147">
        <v>8048</v>
      </c>
      <c r="E147">
        <v>8099</v>
      </c>
      <c r="F147">
        <v>204.86667</v>
      </c>
      <c r="G147">
        <v>194.8</v>
      </c>
      <c r="H147">
        <v>1.0516768999999999</v>
      </c>
      <c r="I147">
        <v>-5.1676930000000003E-2</v>
      </c>
      <c r="J147">
        <v>0.48740615999999998</v>
      </c>
    </row>
    <row r="148" spans="1:10" x14ac:dyDescent="0.3">
      <c r="A148">
        <v>146</v>
      </c>
      <c r="B148">
        <v>3892</v>
      </c>
      <c r="C148" t="b">
        <v>1</v>
      </c>
      <c r="D148">
        <v>8042</v>
      </c>
      <c r="E148">
        <v>8099</v>
      </c>
      <c r="F148">
        <v>205.6</v>
      </c>
      <c r="G148">
        <v>194.8</v>
      </c>
      <c r="H148">
        <v>1.0554414999999999</v>
      </c>
      <c r="I148">
        <v>-5.5441495E-2</v>
      </c>
      <c r="J148">
        <v>0.48651347</v>
      </c>
    </row>
    <row r="149" spans="1:10" x14ac:dyDescent="0.3">
      <c r="A149">
        <v>147</v>
      </c>
      <c r="B149">
        <v>3908</v>
      </c>
      <c r="C149" t="b">
        <v>1</v>
      </c>
      <c r="D149">
        <v>8023</v>
      </c>
      <c r="E149">
        <v>8105</v>
      </c>
      <c r="F149">
        <v>206.4</v>
      </c>
      <c r="G149">
        <v>194.8</v>
      </c>
      <c r="H149">
        <v>1.0595483000000001</v>
      </c>
      <c r="I149">
        <v>-5.9548206999999999E-2</v>
      </c>
      <c r="J149">
        <v>0.48554336999999997</v>
      </c>
    </row>
    <row r="150" spans="1:10" x14ac:dyDescent="0.3">
      <c r="A150">
        <v>148</v>
      </c>
      <c r="B150">
        <v>3924</v>
      </c>
      <c r="C150" t="b">
        <v>1</v>
      </c>
      <c r="D150">
        <v>8030</v>
      </c>
      <c r="E150">
        <v>8093</v>
      </c>
      <c r="F150">
        <v>207.2</v>
      </c>
      <c r="G150">
        <v>194</v>
      </c>
      <c r="H150">
        <v>1.0680411999999999</v>
      </c>
      <c r="I150">
        <v>-6.8041219999999999E-2</v>
      </c>
      <c r="J150">
        <v>0.48354933</v>
      </c>
    </row>
    <row r="151" spans="1:10" x14ac:dyDescent="0.3">
      <c r="A151">
        <v>149</v>
      </c>
      <c r="B151">
        <v>3940</v>
      </c>
      <c r="C151" t="b">
        <v>1</v>
      </c>
      <c r="D151">
        <v>8037</v>
      </c>
      <c r="E151">
        <v>8093</v>
      </c>
      <c r="F151">
        <v>207.66667000000001</v>
      </c>
      <c r="G151">
        <v>193.2</v>
      </c>
      <c r="H151">
        <v>1.0748793000000001</v>
      </c>
      <c r="I151">
        <v>-7.4879273999999996E-2</v>
      </c>
      <c r="J151">
        <v>0.48195577000000001</v>
      </c>
    </row>
    <row r="152" spans="1:10" x14ac:dyDescent="0.3">
      <c r="A152">
        <v>150</v>
      </c>
      <c r="B152">
        <v>3955</v>
      </c>
      <c r="C152" t="b">
        <v>1</v>
      </c>
      <c r="D152">
        <v>8048</v>
      </c>
      <c r="E152">
        <v>8105</v>
      </c>
      <c r="F152">
        <v>208.13333</v>
      </c>
      <c r="G152">
        <v>192.4</v>
      </c>
      <c r="H152">
        <v>1.0817741000000001</v>
      </c>
      <c r="I152">
        <v>-8.1774109999999997E-2</v>
      </c>
      <c r="J152">
        <v>0.48035951999999998</v>
      </c>
    </row>
    <row r="153" spans="1:10" x14ac:dyDescent="0.3">
      <c r="A153">
        <v>151</v>
      </c>
      <c r="B153">
        <v>3971</v>
      </c>
      <c r="C153" t="b">
        <v>1</v>
      </c>
      <c r="D153">
        <v>8054</v>
      </c>
      <c r="E153">
        <v>8099</v>
      </c>
      <c r="F153">
        <v>207.8</v>
      </c>
      <c r="G153">
        <v>190.4</v>
      </c>
      <c r="H153">
        <v>1.0913866000000001</v>
      </c>
      <c r="I153">
        <v>-9.1386609999999993E-2</v>
      </c>
      <c r="J153">
        <v>0.47815164999999998</v>
      </c>
    </row>
    <row r="154" spans="1:10" x14ac:dyDescent="0.3">
      <c r="A154">
        <v>152</v>
      </c>
      <c r="B154">
        <v>4004</v>
      </c>
      <c r="C154" t="b">
        <v>1</v>
      </c>
      <c r="D154">
        <v>8054</v>
      </c>
      <c r="E154">
        <v>8111</v>
      </c>
      <c r="F154">
        <v>207.8</v>
      </c>
      <c r="G154">
        <v>188.4</v>
      </c>
      <c r="H154">
        <v>1.1029724999999999</v>
      </c>
      <c r="I154">
        <v>-0.10297244999999999</v>
      </c>
      <c r="J154">
        <v>0.47551739999999998</v>
      </c>
    </row>
    <row r="155" spans="1:10" x14ac:dyDescent="0.3">
      <c r="A155">
        <v>153</v>
      </c>
      <c r="B155">
        <v>4034</v>
      </c>
      <c r="C155" t="b">
        <v>1</v>
      </c>
      <c r="D155">
        <v>8060</v>
      </c>
      <c r="E155">
        <v>8099</v>
      </c>
      <c r="F155">
        <v>207.8</v>
      </c>
      <c r="G155">
        <v>186.4</v>
      </c>
      <c r="H155">
        <v>1.1148069</v>
      </c>
      <c r="I155">
        <v>-0.11480692000000001</v>
      </c>
      <c r="J155">
        <v>0.47285640000000001</v>
      </c>
    </row>
    <row r="156" spans="1:10" x14ac:dyDescent="0.3">
      <c r="A156">
        <v>154</v>
      </c>
      <c r="B156">
        <v>4050</v>
      </c>
      <c r="C156" t="b">
        <v>1</v>
      </c>
      <c r="D156">
        <v>8042</v>
      </c>
      <c r="E156">
        <v>8105</v>
      </c>
      <c r="F156">
        <v>207.8</v>
      </c>
      <c r="G156">
        <v>185.6</v>
      </c>
      <c r="H156">
        <v>1.1196121000000001</v>
      </c>
      <c r="I156">
        <v>-0.119612046</v>
      </c>
      <c r="J156">
        <v>0.47178444000000003</v>
      </c>
    </row>
    <row r="157" spans="1:10" x14ac:dyDescent="0.3">
      <c r="A157">
        <v>155</v>
      </c>
      <c r="B157">
        <v>4082</v>
      </c>
      <c r="C157" t="b">
        <v>1</v>
      </c>
      <c r="D157">
        <v>8037</v>
      </c>
      <c r="E157">
        <v>8117</v>
      </c>
      <c r="F157">
        <v>207.8</v>
      </c>
      <c r="G157">
        <v>185.6</v>
      </c>
      <c r="H157">
        <v>1.1196121000000001</v>
      </c>
      <c r="I157">
        <v>-0.119612046</v>
      </c>
      <c r="J157">
        <v>0.47178444000000003</v>
      </c>
    </row>
    <row r="158" spans="1:10" x14ac:dyDescent="0.3">
      <c r="A158">
        <v>156</v>
      </c>
      <c r="B158">
        <v>4114</v>
      </c>
      <c r="C158" t="b">
        <v>1</v>
      </c>
      <c r="D158">
        <v>8037</v>
      </c>
      <c r="E158">
        <v>8099</v>
      </c>
      <c r="F158">
        <v>207</v>
      </c>
      <c r="G158">
        <v>185.6</v>
      </c>
      <c r="H158">
        <v>1.1153017000000001</v>
      </c>
      <c r="I158">
        <v>-0.11530169</v>
      </c>
      <c r="J158">
        <v>0.47274579999999999</v>
      </c>
    </row>
    <row r="159" spans="1:10" x14ac:dyDescent="0.3">
      <c r="A159">
        <v>157</v>
      </c>
      <c r="B159">
        <v>4146</v>
      </c>
      <c r="C159" t="b">
        <v>1</v>
      </c>
      <c r="D159">
        <v>8030</v>
      </c>
      <c r="E159">
        <v>8111</v>
      </c>
      <c r="F159">
        <v>205.86667</v>
      </c>
      <c r="G159">
        <v>185.6</v>
      </c>
      <c r="H159">
        <v>1.1091953999999999</v>
      </c>
      <c r="I159">
        <v>-0.109195374</v>
      </c>
      <c r="J159">
        <v>0.47411445000000002</v>
      </c>
    </row>
    <row r="160" spans="1:10" x14ac:dyDescent="0.3">
      <c r="A160">
        <v>158</v>
      </c>
      <c r="B160">
        <v>4162</v>
      </c>
      <c r="C160" t="b">
        <v>1</v>
      </c>
      <c r="D160">
        <v>8054</v>
      </c>
      <c r="E160">
        <v>8087</v>
      </c>
      <c r="F160">
        <v>204.73334</v>
      </c>
      <c r="G160">
        <v>186</v>
      </c>
      <c r="H160">
        <v>1.1007168000000001</v>
      </c>
      <c r="I160">
        <v>-0.10071687</v>
      </c>
      <c r="J160">
        <v>0.47602797000000002</v>
      </c>
    </row>
    <row r="161" spans="1:10" x14ac:dyDescent="0.3">
      <c r="A161">
        <v>159</v>
      </c>
      <c r="B161">
        <v>4194</v>
      </c>
      <c r="C161" t="b">
        <v>1</v>
      </c>
      <c r="D161">
        <v>8048</v>
      </c>
      <c r="E161">
        <v>8117</v>
      </c>
      <c r="F161">
        <v>203.6</v>
      </c>
      <c r="G161">
        <v>186.8</v>
      </c>
      <c r="H161">
        <v>1.0899357999999999</v>
      </c>
      <c r="I161">
        <v>-8.9935769999999998E-2</v>
      </c>
      <c r="J161">
        <v>0.47848360000000001</v>
      </c>
    </row>
    <row r="162" spans="1:10" x14ac:dyDescent="0.3">
      <c r="A162">
        <v>160</v>
      </c>
      <c r="B162">
        <v>4226</v>
      </c>
      <c r="C162" t="b">
        <v>1</v>
      </c>
      <c r="D162">
        <v>8037</v>
      </c>
      <c r="E162">
        <v>8105</v>
      </c>
      <c r="F162">
        <v>202.86667</v>
      </c>
      <c r="G162">
        <v>187.2</v>
      </c>
      <c r="H162">
        <v>1.0836895</v>
      </c>
      <c r="I162">
        <v>-8.3689490000000005E-2</v>
      </c>
      <c r="J162">
        <v>0.47991797000000003</v>
      </c>
    </row>
    <row r="163" spans="1:10" x14ac:dyDescent="0.3">
      <c r="A163">
        <v>161</v>
      </c>
      <c r="B163">
        <v>4258</v>
      </c>
      <c r="C163" t="b">
        <v>1</v>
      </c>
      <c r="D163">
        <v>8054</v>
      </c>
      <c r="E163">
        <v>8099</v>
      </c>
      <c r="F163">
        <v>202.86667</v>
      </c>
      <c r="G163">
        <v>187.6</v>
      </c>
      <c r="H163">
        <v>1.0813788</v>
      </c>
      <c r="I163">
        <v>-8.1378795000000004E-2</v>
      </c>
      <c r="J163">
        <v>0.48045074999999998</v>
      </c>
    </row>
    <row r="164" spans="1:10" x14ac:dyDescent="0.3">
      <c r="A164">
        <v>162</v>
      </c>
      <c r="B164">
        <v>4289</v>
      </c>
      <c r="C164" t="b">
        <v>1</v>
      </c>
      <c r="D164">
        <v>8048</v>
      </c>
      <c r="E164">
        <v>8105</v>
      </c>
      <c r="F164">
        <v>203.26666</v>
      </c>
      <c r="G164">
        <v>188</v>
      </c>
      <c r="H164">
        <v>1.0812056000000001</v>
      </c>
      <c r="I164">
        <v>-8.1205650000000004E-2</v>
      </c>
      <c r="J164">
        <v>0.48049069999999999</v>
      </c>
    </row>
    <row r="165" spans="1:10" x14ac:dyDescent="0.3">
      <c r="A165">
        <v>163</v>
      </c>
      <c r="B165">
        <v>4321</v>
      </c>
      <c r="C165" t="b">
        <v>1</v>
      </c>
      <c r="D165">
        <v>8054</v>
      </c>
      <c r="E165">
        <v>8134</v>
      </c>
      <c r="F165">
        <v>203.66667000000001</v>
      </c>
      <c r="G165">
        <v>188.4</v>
      </c>
      <c r="H165">
        <v>1.0810333000000001</v>
      </c>
      <c r="I165">
        <v>-8.1033330000000001E-2</v>
      </c>
      <c r="J165">
        <v>0.48053053000000001</v>
      </c>
    </row>
    <row r="166" spans="1:10" x14ac:dyDescent="0.3">
      <c r="A166">
        <v>164</v>
      </c>
      <c r="B166">
        <v>4337</v>
      </c>
      <c r="C166" t="b">
        <v>1</v>
      </c>
      <c r="D166">
        <v>8054</v>
      </c>
      <c r="E166">
        <v>8105</v>
      </c>
      <c r="F166">
        <v>204.8</v>
      </c>
      <c r="G166">
        <v>188.8</v>
      </c>
      <c r="H166">
        <v>1.0847458000000001</v>
      </c>
      <c r="I166">
        <v>-8.4745765000000001E-2</v>
      </c>
      <c r="J166">
        <v>0.47967480000000001</v>
      </c>
    </row>
    <row r="167" spans="1:10" x14ac:dyDescent="0.3">
      <c r="A167">
        <v>165</v>
      </c>
      <c r="B167">
        <v>4369</v>
      </c>
      <c r="C167" t="b">
        <v>1</v>
      </c>
      <c r="D167">
        <v>8042</v>
      </c>
      <c r="E167">
        <v>8123</v>
      </c>
      <c r="F167">
        <v>205.93333000000001</v>
      </c>
      <c r="G167">
        <v>189.2</v>
      </c>
      <c r="H167">
        <v>1.0884426</v>
      </c>
      <c r="I167">
        <v>-8.8442590000000001E-2</v>
      </c>
      <c r="J167">
        <v>0.47882572000000001</v>
      </c>
    </row>
    <row r="168" spans="1:10" x14ac:dyDescent="0.3">
      <c r="A168">
        <v>166</v>
      </c>
      <c r="B168">
        <v>4402</v>
      </c>
      <c r="C168" t="b">
        <v>1</v>
      </c>
      <c r="D168">
        <v>8060</v>
      </c>
      <c r="E168">
        <v>8134</v>
      </c>
      <c r="F168">
        <v>207.06666999999999</v>
      </c>
      <c r="G168">
        <v>190.8</v>
      </c>
      <c r="H168">
        <v>1.0852550000000001</v>
      </c>
      <c r="I168">
        <v>-8.5255040000000004E-2</v>
      </c>
      <c r="J168">
        <v>0.47955763000000001</v>
      </c>
    </row>
    <row r="169" spans="1:10" x14ac:dyDescent="0.3">
      <c r="A169">
        <v>167</v>
      </c>
      <c r="B169">
        <v>4433</v>
      </c>
      <c r="C169" t="b">
        <v>1</v>
      </c>
      <c r="D169">
        <v>8048</v>
      </c>
      <c r="E169">
        <v>8117</v>
      </c>
      <c r="F169">
        <v>207.46665999999999</v>
      </c>
      <c r="G169">
        <v>192.4</v>
      </c>
      <c r="H169">
        <v>1.078309</v>
      </c>
      <c r="I169">
        <v>-7.8309074000000006E-2</v>
      </c>
      <c r="J169">
        <v>0.48116039999999999</v>
      </c>
    </row>
    <row r="170" spans="1:10" x14ac:dyDescent="0.3">
      <c r="A170">
        <v>168</v>
      </c>
      <c r="B170">
        <v>4465</v>
      </c>
      <c r="C170" t="b">
        <v>1</v>
      </c>
      <c r="D170">
        <v>8042</v>
      </c>
      <c r="E170">
        <v>8087</v>
      </c>
      <c r="F170">
        <v>207.06666999999999</v>
      </c>
      <c r="G170">
        <v>193.6</v>
      </c>
      <c r="H170">
        <v>1.0695592</v>
      </c>
      <c r="I170">
        <v>-6.9559190000000007E-2</v>
      </c>
      <c r="J170">
        <v>0.48319467999999999</v>
      </c>
    </row>
    <row r="171" spans="1:10" x14ac:dyDescent="0.3">
      <c r="A171">
        <v>169</v>
      </c>
      <c r="B171">
        <v>4497</v>
      </c>
      <c r="C171" t="b">
        <v>1</v>
      </c>
      <c r="D171">
        <v>8048</v>
      </c>
      <c r="E171">
        <v>8099</v>
      </c>
      <c r="F171">
        <v>206.66667000000001</v>
      </c>
      <c r="G171">
        <v>194.4</v>
      </c>
      <c r="H171">
        <v>1.0631002000000001</v>
      </c>
      <c r="I171">
        <v>-6.3100199999999995E-2</v>
      </c>
      <c r="J171">
        <v>0.48470743999999999</v>
      </c>
    </row>
    <row r="172" spans="1:10" x14ac:dyDescent="0.3">
      <c r="A172">
        <v>170</v>
      </c>
      <c r="B172">
        <v>4528</v>
      </c>
      <c r="C172" t="b">
        <v>1</v>
      </c>
      <c r="D172">
        <v>8042</v>
      </c>
      <c r="E172">
        <v>8129</v>
      </c>
      <c r="F172">
        <v>206.26666</v>
      </c>
      <c r="G172">
        <v>195.2</v>
      </c>
      <c r="H172">
        <v>1.056694</v>
      </c>
      <c r="I172">
        <v>-5.6693986000000002E-2</v>
      </c>
      <c r="J172">
        <v>0.48621720000000002</v>
      </c>
    </row>
    <row r="173" spans="1:10" x14ac:dyDescent="0.3">
      <c r="A173">
        <v>171</v>
      </c>
      <c r="B173">
        <v>4560</v>
      </c>
      <c r="C173" t="b">
        <v>1</v>
      </c>
      <c r="D173">
        <v>8042</v>
      </c>
      <c r="E173">
        <v>8105</v>
      </c>
      <c r="F173">
        <v>206.26666</v>
      </c>
      <c r="G173">
        <v>195.2</v>
      </c>
      <c r="H173">
        <v>1.056694</v>
      </c>
      <c r="I173">
        <v>-5.6693986000000002E-2</v>
      </c>
      <c r="J173">
        <v>0.48621720000000002</v>
      </c>
    </row>
    <row r="174" spans="1:10" x14ac:dyDescent="0.3">
      <c r="A174">
        <v>172</v>
      </c>
      <c r="B174">
        <v>4576</v>
      </c>
      <c r="C174" t="b">
        <v>1</v>
      </c>
      <c r="D174">
        <v>8042</v>
      </c>
      <c r="E174">
        <v>8134</v>
      </c>
      <c r="F174">
        <v>206.6</v>
      </c>
      <c r="G174">
        <v>195.2</v>
      </c>
      <c r="H174">
        <v>1.0584016999999999</v>
      </c>
      <c r="I174">
        <v>-5.8401689999999999E-2</v>
      </c>
      <c r="J174">
        <v>0.48581385999999999</v>
      </c>
    </row>
    <row r="175" spans="1:10" x14ac:dyDescent="0.3">
      <c r="A175">
        <v>173</v>
      </c>
      <c r="B175">
        <v>4592</v>
      </c>
      <c r="C175" t="b">
        <v>1</v>
      </c>
      <c r="D175">
        <v>8042</v>
      </c>
      <c r="E175">
        <v>8099</v>
      </c>
      <c r="F175">
        <v>206.93333000000001</v>
      </c>
      <c r="G175">
        <v>195.2</v>
      </c>
      <c r="H175">
        <v>1.0601092999999999</v>
      </c>
      <c r="I175">
        <v>-6.0109309999999999E-2</v>
      </c>
      <c r="J175">
        <v>0.48541114000000002</v>
      </c>
    </row>
    <row r="176" spans="1:10" x14ac:dyDescent="0.3">
      <c r="A176">
        <v>174</v>
      </c>
      <c r="B176">
        <v>4608</v>
      </c>
      <c r="C176" t="b">
        <v>1</v>
      </c>
      <c r="D176">
        <v>8048</v>
      </c>
      <c r="E176">
        <v>8134</v>
      </c>
      <c r="F176">
        <v>207.26666</v>
      </c>
      <c r="G176">
        <v>196.4</v>
      </c>
      <c r="H176">
        <v>1.0553292999999999</v>
      </c>
      <c r="I176">
        <v>-5.532927E-2</v>
      </c>
      <c r="J176">
        <v>0.48654005</v>
      </c>
    </row>
    <row r="177" spans="1:10" x14ac:dyDescent="0.3">
      <c r="A177">
        <v>175</v>
      </c>
      <c r="B177">
        <v>4624</v>
      </c>
      <c r="C177" t="b">
        <v>1</v>
      </c>
      <c r="D177">
        <v>8042</v>
      </c>
      <c r="E177">
        <v>8099</v>
      </c>
      <c r="F177">
        <v>207.6</v>
      </c>
      <c r="G177">
        <v>196.4</v>
      </c>
      <c r="H177">
        <v>1.0570265000000001</v>
      </c>
      <c r="I177">
        <v>-5.7026540000000001E-2</v>
      </c>
      <c r="J177">
        <v>0.48613859999999998</v>
      </c>
    </row>
    <row r="178" spans="1:10" x14ac:dyDescent="0.3">
      <c r="A178">
        <v>176</v>
      </c>
      <c r="B178">
        <v>4640</v>
      </c>
      <c r="C178" t="b">
        <v>1</v>
      </c>
      <c r="D178">
        <v>8054</v>
      </c>
      <c r="E178">
        <v>8105</v>
      </c>
      <c r="F178">
        <v>207.2</v>
      </c>
      <c r="G178">
        <v>196.4</v>
      </c>
      <c r="H178">
        <v>1.0549898</v>
      </c>
      <c r="I178">
        <v>-5.4989833000000002E-2</v>
      </c>
      <c r="J178">
        <v>0.48662042999999999</v>
      </c>
    </row>
    <row r="179" spans="1:10" x14ac:dyDescent="0.3">
      <c r="A179">
        <v>177</v>
      </c>
      <c r="B179">
        <v>4656</v>
      </c>
      <c r="C179" t="b">
        <v>1</v>
      </c>
      <c r="D179">
        <v>8023</v>
      </c>
      <c r="E179">
        <v>8099</v>
      </c>
      <c r="F179">
        <v>206.8</v>
      </c>
      <c r="G179">
        <v>196</v>
      </c>
      <c r="H179">
        <v>1.0551021</v>
      </c>
      <c r="I179">
        <v>-5.5102058000000002E-2</v>
      </c>
      <c r="J179">
        <v>0.48659386999999998</v>
      </c>
    </row>
    <row r="180" spans="1:10" x14ac:dyDescent="0.3">
      <c r="A180">
        <v>178</v>
      </c>
      <c r="B180">
        <v>4671</v>
      </c>
      <c r="C180" t="b">
        <v>1</v>
      </c>
      <c r="D180">
        <v>8037</v>
      </c>
      <c r="E180">
        <v>8105</v>
      </c>
      <c r="F180">
        <v>206.4</v>
      </c>
      <c r="G180">
        <v>196</v>
      </c>
      <c r="H180">
        <v>1.0530611999999999</v>
      </c>
      <c r="I180">
        <v>-5.3061194999999999E-2</v>
      </c>
      <c r="J180">
        <v>0.48707752999999998</v>
      </c>
    </row>
    <row r="181" spans="1:10" x14ac:dyDescent="0.3">
      <c r="A181">
        <v>179</v>
      </c>
      <c r="B181">
        <v>4687</v>
      </c>
      <c r="C181" t="b">
        <v>1</v>
      </c>
      <c r="D181">
        <v>8048</v>
      </c>
      <c r="E181">
        <v>8105</v>
      </c>
      <c r="F181">
        <v>205.6</v>
      </c>
      <c r="G181">
        <v>196</v>
      </c>
      <c r="H181">
        <v>1.0489796</v>
      </c>
      <c r="I181">
        <v>-4.8979620000000001E-2</v>
      </c>
      <c r="J181">
        <v>0.48804779999999998</v>
      </c>
    </row>
    <row r="182" spans="1:10" x14ac:dyDescent="0.3">
      <c r="A182">
        <v>180</v>
      </c>
      <c r="B182">
        <v>4703</v>
      </c>
      <c r="C182" t="b">
        <v>1</v>
      </c>
      <c r="D182">
        <v>8065</v>
      </c>
      <c r="E182">
        <v>8111</v>
      </c>
      <c r="F182">
        <v>205.2</v>
      </c>
      <c r="G182">
        <v>196</v>
      </c>
      <c r="H182">
        <v>1.0469387999999999</v>
      </c>
      <c r="I182">
        <v>-4.6938760000000003E-2</v>
      </c>
      <c r="J182">
        <v>0.48853439999999998</v>
      </c>
    </row>
    <row r="183" spans="1:10" x14ac:dyDescent="0.3">
      <c r="A183">
        <v>181</v>
      </c>
      <c r="B183">
        <v>4719</v>
      </c>
      <c r="C183" t="b">
        <v>1</v>
      </c>
      <c r="D183">
        <v>8042</v>
      </c>
      <c r="E183">
        <v>8087</v>
      </c>
      <c r="F183">
        <v>204.4</v>
      </c>
      <c r="G183">
        <v>194.8</v>
      </c>
      <c r="H183">
        <v>1.0492812</v>
      </c>
      <c r="I183">
        <v>-4.9281265999999997E-2</v>
      </c>
      <c r="J183">
        <v>0.48797595999999999</v>
      </c>
    </row>
    <row r="184" spans="1:10" x14ac:dyDescent="0.3">
      <c r="A184">
        <v>182</v>
      </c>
      <c r="B184">
        <v>4735</v>
      </c>
      <c r="C184" t="b">
        <v>1</v>
      </c>
      <c r="D184">
        <v>8060</v>
      </c>
      <c r="E184">
        <v>8105</v>
      </c>
      <c r="F184">
        <v>204</v>
      </c>
      <c r="G184">
        <v>193.6</v>
      </c>
      <c r="H184">
        <v>1.0537189</v>
      </c>
      <c r="I184">
        <v>-5.3718977000000001E-2</v>
      </c>
      <c r="J184">
        <v>0.48692154999999998</v>
      </c>
    </row>
    <row r="185" spans="1:10" x14ac:dyDescent="0.3">
      <c r="A185">
        <v>183</v>
      </c>
      <c r="B185">
        <v>4767</v>
      </c>
      <c r="C185" t="b">
        <v>1</v>
      </c>
      <c r="D185">
        <v>8054</v>
      </c>
      <c r="E185">
        <v>8111</v>
      </c>
      <c r="F185">
        <v>204.4</v>
      </c>
      <c r="G185">
        <v>192.8</v>
      </c>
      <c r="H185">
        <v>1.0601659000000001</v>
      </c>
      <c r="I185">
        <v>-6.0165927000000001E-2</v>
      </c>
      <c r="J185">
        <v>0.48539779999999999</v>
      </c>
    </row>
    <row r="186" spans="1:10" x14ac:dyDescent="0.3">
      <c r="A186">
        <v>184</v>
      </c>
      <c r="B186">
        <v>4783</v>
      </c>
      <c r="C186" t="b">
        <v>1</v>
      </c>
      <c r="D186">
        <v>8037</v>
      </c>
      <c r="E186">
        <v>8087</v>
      </c>
      <c r="F186">
        <v>204.8</v>
      </c>
      <c r="G186">
        <v>192</v>
      </c>
      <c r="H186">
        <v>1.0666667000000001</v>
      </c>
      <c r="I186">
        <v>-6.6666685000000003E-2</v>
      </c>
      <c r="J186">
        <v>0.48387098000000001</v>
      </c>
    </row>
    <row r="187" spans="1:10" x14ac:dyDescent="0.3">
      <c r="A187">
        <v>185</v>
      </c>
      <c r="B187">
        <v>4815</v>
      </c>
      <c r="C187" t="b">
        <v>1</v>
      </c>
      <c r="D187">
        <v>8042</v>
      </c>
      <c r="E187">
        <v>8093</v>
      </c>
      <c r="F187">
        <v>204.4</v>
      </c>
      <c r="G187">
        <v>190.4</v>
      </c>
      <c r="H187">
        <v>1.0735294</v>
      </c>
      <c r="I187">
        <v>-7.3529415000000001E-2</v>
      </c>
      <c r="J187">
        <v>0.48226950000000002</v>
      </c>
    </row>
    <row r="188" spans="1:10" x14ac:dyDescent="0.3">
      <c r="A188">
        <v>186</v>
      </c>
      <c r="B188">
        <v>4846</v>
      </c>
      <c r="C188" t="b">
        <v>1</v>
      </c>
      <c r="D188">
        <v>8023</v>
      </c>
      <c r="E188">
        <v>8105</v>
      </c>
      <c r="F188">
        <v>204.4</v>
      </c>
      <c r="G188">
        <v>190.4</v>
      </c>
      <c r="H188">
        <v>1.0735294</v>
      </c>
      <c r="I188">
        <v>-7.3529415000000001E-2</v>
      </c>
      <c r="J188">
        <v>0.48226950000000002</v>
      </c>
    </row>
    <row r="189" spans="1:10" x14ac:dyDescent="0.3">
      <c r="A189">
        <v>187</v>
      </c>
      <c r="B189">
        <v>4862</v>
      </c>
      <c r="C189" t="b">
        <v>1</v>
      </c>
      <c r="D189">
        <v>8037</v>
      </c>
      <c r="E189">
        <v>8123</v>
      </c>
      <c r="F189">
        <v>204.06666999999999</v>
      </c>
      <c r="G189">
        <v>190.4</v>
      </c>
      <c r="H189">
        <v>1.0717787999999999</v>
      </c>
      <c r="I189">
        <v>-7.1778739999999994E-2</v>
      </c>
      <c r="J189">
        <v>0.48267700000000002</v>
      </c>
    </row>
    <row r="190" spans="1:10" x14ac:dyDescent="0.3">
      <c r="A190">
        <v>188</v>
      </c>
      <c r="B190">
        <v>4878</v>
      </c>
      <c r="C190" t="b">
        <v>1</v>
      </c>
      <c r="D190">
        <v>8048</v>
      </c>
      <c r="E190">
        <v>8081</v>
      </c>
      <c r="F190">
        <v>203.73334</v>
      </c>
      <c r="G190">
        <v>189.6</v>
      </c>
      <c r="H190">
        <v>1.0745429</v>
      </c>
      <c r="I190">
        <v>-7.4542890000000001E-2</v>
      </c>
      <c r="J190">
        <v>0.48203390000000002</v>
      </c>
    </row>
    <row r="191" spans="1:10" x14ac:dyDescent="0.3">
      <c r="A191">
        <v>189</v>
      </c>
      <c r="B191">
        <v>4910</v>
      </c>
      <c r="C191" t="b">
        <v>1</v>
      </c>
      <c r="D191">
        <v>8037</v>
      </c>
      <c r="E191">
        <v>8123</v>
      </c>
      <c r="F191">
        <v>203.4</v>
      </c>
      <c r="G191">
        <v>188</v>
      </c>
      <c r="H191">
        <v>1.0819148999999999</v>
      </c>
      <c r="I191">
        <v>-8.1914864000000004E-2</v>
      </c>
      <c r="J191">
        <v>0.48032703999999998</v>
      </c>
    </row>
    <row r="192" spans="1:10" x14ac:dyDescent="0.3">
      <c r="A192">
        <v>190</v>
      </c>
      <c r="B192">
        <v>4925</v>
      </c>
      <c r="C192" t="b">
        <v>1</v>
      </c>
      <c r="D192">
        <v>8030</v>
      </c>
      <c r="E192">
        <v>8123</v>
      </c>
      <c r="F192">
        <v>203.06666999999999</v>
      </c>
      <c r="G192">
        <v>189.2</v>
      </c>
      <c r="H192">
        <v>1.0732911000000001</v>
      </c>
      <c r="I192">
        <v>-7.3291060000000005E-2</v>
      </c>
      <c r="J192">
        <v>0.48232496000000002</v>
      </c>
    </row>
    <row r="193" spans="1:10" x14ac:dyDescent="0.3">
      <c r="A193">
        <v>191</v>
      </c>
      <c r="B193">
        <v>4957</v>
      </c>
      <c r="C193" t="b">
        <v>1</v>
      </c>
      <c r="D193">
        <v>8060</v>
      </c>
      <c r="E193">
        <v>8117</v>
      </c>
      <c r="F193">
        <v>202.73334</v>
      </c>
      <c r="G193">
        <v>190.4</v>
      </c>
      <c r="H193">
        <v>1.0647759999999999</v>
      </c>
      <c r="I193">
        <v>-6.4775966000000004E-2</v>
      </c>
      <c r="J193">
        <v>0.48431405</v>
      </c>
    </row>
    <row r="194" spans="1:10" x14ac:dyDescent="0.3">
      <c r="A194">
        <v>192</v>
      </c>
      <c r="B194">
        <v>4973</v>
      </c>
      <c r="C194" t="b">
        <v>1</v>
      </c>
      <c r="D194">
        <v>8042</v>
      </c>
      <c r="E194">
        <v>8117</v>
      </c>
      <c r="F194">
        <v>202.73334</v>
      </c>
      <c r="G194">
        <v>191.6</v>
      </c>
      <c r="H194">
        <v>1.0581071</v>
      </c>
      <c r="I194">
        <v>-5.8107156E-2</v>
      </c>
      <c r="J194">
        <v>0.48588335999999999</v>
      </c>
    </row>
    <row r="195" spans="1:10" x14ac:dyDescent="0.3">
      <c r="A195">
        <v>193</v>
      </c>
      <c r="B195">
        <v>4989</v>
      </c>
      <c r="C195" t="b">
        <v>1</v>
      </c>
      <c r="D195">
        <v>8054</v>
      </c>
      <c r="E195">
        <v>8117</v>
      </c>
      <c r="F195">
        <v>202.73334</v>
      </c>
      <c r="G195">
        <v>192.4</v>
      </c>
      <c r="H195">
        <v>1.0537076000000001</v>
      </c>
      <c r="I195">
        <v>-5.3707606999999997E-2</v>
      </c>
      <c r="J195">
        <v>0.48692423000000001</v>
      </c>
    </row>
    <row r="196" spans="1:10" x14ac:dyDescent="0.3">
      <c r="A196">
        <v>194</v>
      </c>
      <c r="B196">
        <v>5005</v>
      </c>
      <c r="C196" t="b">
        <v>1</v>
      </c>
      <c r="D196">
        <v>8030</v>
      </c>
      <c r="E196">
        <v>8117</v>
      </c>
      <c r="F196">
        <v>202.73334</v>
      </c>
      <c r="G196">
        <v>193.2</v>
      </c>
      <c r="H196">
        <v>1.0493444000000001</v>
      </c>
      <c r="I196">
        <v>-4.9344412999999997E-2</v>
      </c>
      <c r="J196">
        <v>0.48796089999999998</v>
      </c>
    </row>
    <row r="197" spans="1:10" x14ac:dyDescent="0.3">
      <c r="A197">
        <v>195</v>
      </c>
      <c r="B197">
        <v>5021</v>
      </c>
      <c r="C197" t="b">
        <v>1</v>
      </c>
      <c r="D197">
        <v>8054</v>
      </c>
      <c r="E197">
        <v>8111</v>
      </c>
      <c r="F197">
        <v>203.13333</v>
      </c>
      <c r="G197">
        <v>194</v>
      </c>
      <c r="H197">
        <v>1.0470790999999999</v>
      </c>
      <c r="I197">
        <v>-4.7079027000000002E-2</v>
      </c>
      <c r="J197">
        <v>0.48850092000000001</v>
      </c>
    </row>
    <row r="198" spans="1:10" x14ac:dyDescent="0.3">
      <c r="A198">
        <v>196</v>
      </c>
      <c r="B198">
        <v>5053</v>
      </c>
      <c r="C198" t="b">
        <v>1</v>
      </c>
      <c r="D198">
        <v>8060</v>
      </c>
      <c r="E198">
        <v>8140</v>
      </c>
      <c r="F198">
        <v>203.93333000000001</v>
      </c>
      <c r="G198">
        <v>194.8</v>
      </c>
      <c r="H198">
        <v>1.0468857</v>
      </c>
      <c r="I198">
        <v>-4.6885683999999997E-2</v>
      </c>
      <c r="J198">
        <v>0.48854705999999998</v>
      </c>
    </row>
    <row r="199" spans="1:10" x14ac:dyDescent="0.3">
      <c r="A199">
        <v>197</v>
      </c>
      <c r="B199">
        <v>5069</v>
      </c>
      <c r="C199" t="b">
        <v>1</v>
      </c>
      <c r="D199">
        <v>8042</v>
      </c>
      <c r="E199">
        <v>8105</v>
      </c>
      <c r="F199">
        <v>204.33332999999999</v>
      </c>
      <c r="G199">
        <v>195.6</v>
      </c>
      <c r="H199">
        <v>1.0446489000000001</v>
      </c>
      <c r="I199">
        <v>-4.4648885999999999E-2</v>
      </c>
      <c r="J199">
        <v>0.4890815</v>
      </c>
    </row>
    <row r="200" spans="1:10" x14ac:dyDescent="0.3">
      <c r="A200">
        <v>198</v>
      </c>
      <c r="B200">
        <v>5085</v>
      </c>
      <c r="C200" t="b">
        <v>1</v>
      </c>
      <c r="D200">
        <v>8065</v>
      </c>
      <c r="E200">
        <v>8099</v>
      </c>
      <c r="F200">
        <v>204.33332999999999</v>
      </c>
      <c r="G200">
        <v>196</v>
      </c>
      <c r="H200">
        <v>1.0425169999999999</v>
      </c>
      <c r="I200">
        <v>-4.2516980000000003E-2</v>
      </c>
      <c r="J200">
        <v>0.48959205</v>
      </c>
    </row>
    <row r="201" spans="1:10" x14ac:dyDescent="0.3">
      <c r="A201">
        <v>199</v>
      </c>
      <c r="B201">
        <v>5117</v>
      </c>
      <c r="C201" t="b">
        <v>1</v>
      </c>
      <c r="D201">
        <v>8030</v>
      </c>
      <c r="E201">
        <v>8099</v>
      </c>
      <c r="F201">
        <v>204.33332999999999</v>
      </c>
      <c r="G201">
        <v>196</v>
      </c>
      <c r="H201">
        <v>1.0425169999999999</v>
      </c>
      <c r="I201">
        <v>-4.2516980000000003E-2</v>
      </c>
      <c r="J201">
        <v>0.48959205</v>
      </c>
    </row>
    <row r="202" spans="1:10" x14ac:dyDescent="0.3">
      <c r="A202">
        <v>200</v>
      </c>
      <c r="B202">
        <v>5133</v>
      </c>
      <c r="C202" t="b">
        <v>1</v>
      </c>
      <c r="D202">
        <v>8030</v>
      </c>
      <c r="E202">
        <v>8111</v>
      </c>
      <c r="F202">
        <v>204.33332999999999</v>
      </c>
      <c r="G202">
        <v>196.8</v>
      </c>
      <c r="H202">
        <v>1.038279</v>
      </c>
      <c r="I202">
        <v>-3.8279090000000002E-2</v>
      </c>
      <c r="J202">
        <v>0.49060994000000002</v>
      </c>
    </row>
    <row r="203" spans="1:10" x14ac:dyDescent="0.3">
      <c r="A203">
        <v>201</v>
      </c>
      <c r="B203">
        <v>5149</v>
      </c>
      <c r="C203" t="b">
        <v>1</v>
      </c>
      <c r="D203">
        <v>8042</v>
      </c>
      <c r="E203">
        <v>8099</v>
      </c>
      <c r="F203">
        <v>204.33332999999999</v>
      </c>
      <c r="G203">
        <v>196.4</v>
      </c>
      <c r="H203">
        <v>1.0403937000000001</v>
      </c>
      <c r="I203">
        <v>-4.0393762E-2</v>
      </c>
      <c r="J203">
        <v>0.49010145999999999</v>
      </c>
    </row>
    <row r="204" spans="1:10" x14ac:dyDescent="0.3">
      <c r="A204">
        <v>202</v>
      </c>
      <c r="B204">
        <v>5165</v>
      </c>
      <c r="C204" t="b">
        <v>1</v>
      </c>
      <c r="D204">
        <v>8042</v>
      </c>
      <c r="E204">
        <v>8117</v>
      </c>
      <c r="F204">
        <v>204.66667000000001</v>
      </c>
      <c r="G204">
        <v>196</v>
      </c>
      <c r="H204">
        <v>1.0442176999999999</v>
      </c>
      <c r="I204">
        <v>-4.4217712999999999E-2</v>
      </c>
      <c r="J204">
        <v>0.48918467999999998</v>
      </c>
    </row>
    <row r="205" spans="1:10" x14ac:dyDescent="0.3">
      <c r="A205">
        <v>203</v>
      </c>
      <c r="B205">
        <v>5197</v>
      </c>
      <c r="C205" t="b">
        <v>1</v>
      </c>
      <c r="D205">
        <v>8042</v>
      </c>
      <c r="E205">
        <v>8099</v>
      </c>
      <c r="F205">
        <v>205</v>
      </c>
      <c r="G205">
        <v>196.4</v>
      </c>
      <c r="H205">
        <v>1.0437882000000001</v>
      </c>
      <c r="I205">
        <v>-4.3788220000000003E-2</v>
      </c>
      <c r="J205">
        <v>0.48928749999999999</v>
      </c>
    </row>
    <row r="206" spans="1:10" x14ac:dyDescent="0.3">
      <c r="A206">
        <v>204</v>
      </c>
      <c r="B206">
        <v>5228</v>
      </c>
      <c r="C206" t="b">
        <v>1</v>
      </c>
      <c r="D206">
        <v>8037</v>
      </c>
      <c r="E206">
        <v>8111</v>
      </c>
      <c r="F206">
        <v>205.33332999999999</v>
      </c>
      <c r="G206">
        <v>196.8</v>
      </c>
      <c r="H206">
        <v>1.0433604000000001</v>
      </c>
      <c r="I206">
        <v>-4.3360389999999999E-2</v>
      </c>
      <c r="J206">
        <v>0.48938992999999997</v>
      </c>
    </row>
    <row r="207" spans="1:10" x14ac:dyDescent="0.3">
      <c r="A207">
        <v>205</v>
      </c>
      <c r="B207">
        <v>5259</v>
      </c>
      <c r="C207" t="b">
        <v>1</v>
      </c>
      <c r="D207">
        <v>8042</v>
      </c>
      <c r="E207">
        <v>8093</v>
      </c>
      <c r="F207">
        <v>205.66667000000001</v>
      </c>
      <c r="G207">
        <v>195.2</v>
      </c>
      <c r="H207">
        <v>1.0536201999999999</v>
      </c>
      <c r="I207">
        <v>-5.3620260000000003E-2</v>
      </c>
      <c r="J207">
        <v>0.48694493999999999</v>
      </c>
    </row>
    <row r="208" spans="1:10" x14ac:dyDescent="0.3">
      <c r="A208">
        <v>206</v>
      </c>
      <c r="B208">
        <v>5275</v>
      </c>
      <c r="C208" t="b">
        <v>1</v>
      </c>
      <c r="D208">
        <v>8042</v>
      </c>
      <c r="E208">
        <v>8117</v>
      </c>
      <c r="F208">
        <v>206</v>
      </c>
      <c r="G208">
        <v>194.4</v>
      </c>
      <c r="H208">
        <v>1.0596707999999999</v>
      </c>
      <c r="I208">
        <v>-5.9670813000000003E-2</v>
      </c>
      <c r="J208">
        <v>0.48551450000000002</v>
      </c>
    </row>
    <row r="209" spans="1:10" x14ac:dyDescent="0.3">
      <c r="A209">
        <v>207</v>
      </c>
      <c r="B209">
        <v>5291</v>
      </c>
      <c r="C209" t="b">
        <v>1</v>
      </c>
      <c r="D209">
        <v>8023</v>
      </c>
      <c r="E209">
        <v>8105</v>
      </c>
      <c r="F209">
        <v>206</v>
      </c>
      <c r="G209">
        <v>193.6</v>
      </c>
      <c r="H209">
        <v>1.0640495999999999</v>
      </c>
      <c r="I209">
        <v>-6.4049560000000005E-2</v>
      </c>
      <c r="J209">
        <v>0.48448449999999998</v>
      </c>
    </row>
    <row r="210" spans="1:10" x14ac:dyDescent="0.3">
      <c r="A210">
        <v>208</v>
      </c>
      <c r="B210">
        <v>5307</v>
      </c>
      <c r="C210" t="b">
        <v>1</v>
      </c>
      <c r="D210">
        <v>8023</v>
      </c>
      <c r="E210">
        <v>8105</v>
      </c>
      <c r="F210">
        <v>205.66667000000001</v>
      </c>
      <c r="G210">
        <v>192.8</v>
      </c>
      <c r="H210">
        <v>1.0667359000000001</v>
      </c>
      <c r="I210">
        <v>-6.6735833999999994E-2</v>
      </c>
      <c r="J210">
        <v>0.48385476999999999</v>
      </c>
    </row>
    <row r="211" spans="1:10" x14ac:dyDescent="0.3">
      <c r="A211">
        <v>209</v>
      </c>
      <c r="B211">
        <v>5323</v>
      </c>
      <c r="C211" t="b">
        <v>1</v>
      </c>
      <c r="D211">
        <v>8054</v>
      </c>
      <c r="E211">
        <v>8105</v>
      </c>
      <c r="F211">
        <v>205.66667000000001</v>
      </c>
      <c r="G211">
        <v>192</v>
      </c>
      <c r="H211">
        <v>1.0711805999999999</v>
      </c>
      <c r="I211">
        <v>-7.1180579999999993E-2</v>
      </c>
      <c r="J211">
        <v>0.48281639999999998</v>
      </c>
    </row>
    <row r="212" spans="1:10" x14ac:dyDescent="0.3">
      <c r="A212">
        <v>210</v>
      </c>
      <c r="B212">
        <v>5354</v>
      </c>
      <c r="C212" t="b">
        <v>1</v>
      </c>
      <c r="D212">
        <v>8042</v>
      </c>
      <c r="E212">
        <v>8105</v>
      </c>
      <c r="F212">
        <v>204.86667</v>
      </c>
      <c r="G212">
        <v>191.2</v>
      </c>
      <c r="H212">
        <v>1.0714783999999999</v>
      </c>
      <c r="I212">
        <v>-7.1478410000000006E-2</v>
      </c>
      <c r="J212">
        <v>0.48274702000000003</v>
      </c>
    </row>
    <row r="213" spans="1:10" x14ac:dyDescent="0.3">
      <c r="A213">
        <v>211</v>
      </c>
      <c r="B213">
        <v>5370</v>
      </c>
      <c r="C213" t="b">
        <v>1</v>
      </c>
      <c r="D213">
        <v>8037</v>
      </c>
      <c r="E213">
        <v>8105</v>
      </c>
      <c r="F213">
        <v>203.73334</v>
      </c>
      <c r="G213">
        <v>190.4</v>
      </c>
      <c r="H213">
        <v>1.0700281</v>
      </c>
      <c r="I213">
        <v>-7.0028069999999998E-2</v>
      </c>
      <c r="J213">
        <v>0.48308524000000003</v>
      </c>
    </row>
    <row r="214" spans="1:10" x14ac:dyDescent="0.3">
      <c r="A214">
        <v>212</v>
      </c>
      <c r="B214">
        <v>5403</v>
      </c>
      <c r="C214" t="b">
        <v>1</v>
      </c>
      <c r="D214">
        <v>8054</v>
      </c>
      <c r="E214">
        <v>8105</v>
      </c>
      <c r="F214">
        <v>202.93333000000001</v>
      </c>
      <c r="G214">
        <v>189.6</v>
      </c>
      <c r="H214">
        <v>1.0703235</v>
      </c>
      <c r="I214">
        <v>-7.0323460000000004E-2</v>
      </c>
      <c r="J214">
        <v>0.48301633999999999</v>
      </c>
    </row>
    <row r="215" spans="1:10" x14ac:dyDescent="0.3">
      <c r="A215">
        <v>213</v>
      </c>
      <c r="B215">
        <v>5435</v>
      </c>
      <c r="C215" t="b">
        <v>1</v>
      </c>
      <c r="D215">
        <v>8060</v>
      </c>
      <c r="E215">
        <v>8105</v>
      </c>
      <c r="F215">
        <v>202.93333000000001</v>
      </c>
      <c r="G215">
        <v>189.2</v>
      </c>
      <c r="H215">
        <v>1.0725863</v>
      </c>
      <c r="I215">
        <v>-7.2586349999999994E-2</v>
      </c>
      <c r="J215">
        <v>0.48248892999999998</v>
      </c>
    </row>
    <row r="216" spans="1:10" x14ac:dyDescent="0.3">
      <c r="A216">
        <v>214</v>
      </c>
      <c r="B216">
        <v>5467</v>
      </c>
      <c r="C216" t="b">
        <v>1</v>
      </c>
      <c r="D216">
        <v>8060</v>
      </c>
      <c r="E216">
        <v>8087</v>
      </c>
      <c r="F216">
        <v>202.93333000000001</v>
      </c>
      <c r="G216">
        <v>189.2</v>
      </c>
      <c r="H216">
        <v>1.0725863</v>
      </c>
      <c r="I216">
        <v>-7.2586349999999994E-2</v>
      </c>
      <c r="J216">
        <v>0.48248892999999998</v>
      </c>
    </row>
    <row r="217" spans="1:10" x14ac:dyDescent="0.3">
      <c r="A217">
        <v>215</v>
      </c>
      <c r="B217">
        <v>5498</v>
      </c>
      <c r="C217" t="b">
        <v>1</v>
      </c>
      <c r="D217">
        <v>8048</v>
      </c>
      <c r="E217">
        <v>8111</v>
      </c>
      <c r="F217">
        <v>203.73334</v>
      </c>
      <c r="G217">
        <v>189.2</v>
      </c>
      <c r="H217">
        <v>1.0768146999999999</v>
      </c>
      <c r="I217">
        <v>-7.6814696000000002E-2</v>
      </c>
      <c r="J217">
        <v>0.48150660000000001</v>
      </c>
    </row>
    <row r="218" spans="1:10" x14ac:dyDescent="0.3">
      <c r="A218">
        <v>216</v>
      </c>
      <c r="B218">
        <v>5530</v>
      </c>
      <c r="C218" t="b">
        <v>1</v>
      </c>
      <c r="D218">
        <v>8054</v>
      </c>
      <c r="E218">
        <v>8129</v>
      </c>
      <c r="F218">
        <v>204.53334000000001</v>
      </c>
      <c r="G218">
        <v>189.6</v>
      </c>
      <c r="H218">
        <v>1.0787623</v>
      </c>
      <c r="I218">
        <v>-7.8762310000000002E-2</v>
      </c>
      <c r="J218">
        <v>0.48105546999999999</v>
      </c>
    </row>
    <row r="219" spans="1:10" x14ac:dyDescent="0.3">
      <c r="A219">
        <v>217</v>
      </c>
      <c r="B219">
        <v>5562</v>
      </c>
      <c r="C219" t="b">
        <v>1</v>
      </c>
      <c r="D219">
        <v>8054</v>
      </c>
      <c r="E219">
        <v>8081</v>
      </c>
      <c r="F219">
        <v>205.33332999999999</v>
      </c>
      <c r="G219">
        <v>190</v>
      </c>
      <c r="H219">
        <v>1.0807017000000001</v>
      </c>
      <c r="I219">
        <v>-8.0701729999999999E-2</v>
      </c>
      <c r="J219">
        <v>0.48060712</v>
      </c>
    </row>
    <row r="220" spans="1:10" x14ac:dyDescent="0.3">
      <c r="A220">
        <v>218</v>
      </c>
      <c r="B220">
        <v>5593</v>
      </c>
      <c r="C220" t="b">
        <v>1</v>
      </c>
      <c r="D220">
        <v>8037</v>
      </c>
      <c r="E220">
        <v>8087</v>
      </c>
      <c r="F220">
        <v>206.13333</v>
      </c>
      <c r="G220">
        <v>189.2</v>
      </c>
      <c r="H220">
        <v>1.0894997</v>
      </c>
      <c r="I220">
        <v>-8.949965E-2</v>
      </c>
      <c r="J220">
        <v>0.47858348000000001</v>
      </c>
    </row>
    <row r="221" spans="1:10" x14ac:dyDescent="0.3">
      <c r="A221">
        <v>219</v>
      </c>
      <c r="B221">
        <v>5625</v>
      </c>
      <c r="C221" t="b">
        <v>1</v>
      </c>
      <c r="D221">
        <v>8030</v>
      </c>
      <c r="E221">
        <v>8099</v>
      </c>
      <c r="F221">
        <v>206.53334000000001</v>
      </c>
      <c r="G221">
        <v>188.4</v>
      </c>
      <c r="H221">
        <v>1.0962491999999999</v>
      </c>
      <c r="I221">
        <v>-9.6249186E-2</v>
      </c>
      <c r="J221">
        <v>0.47704249999999998</v>
      </c>
    </row>
    <row r="222" spans="1:10" x14ac:dyDescent="0.3">
      <c r="A222">
        <v>220</v>
      </c>
      <c r="B222">
        <v>5640</v>
      </c>
      <c r="C222" t="b">
        <v>1</v>
      </c>
      <c r="D222">
        <v>8023</v>
      </c>
      <c r="E222">
        <v>8105</v>
      </c>
      <c r="F222">
        <v>206.2</v>
      </c>
      <c r="G222">
        <v>188.4</v>
      </c>
      <c r="H222">
        <v>1.0944798</v>
      </c>
      <c r="I222">
        <v>-9.4479850000000004E-2</v>
      </c>
      <c r="J222">
        <v>0.47744554</v>
      </c>
    </row>
    <row r="223" spans="1:10" x14ac:dyDescent="0.3">
      <c r="A223">
        <v>221</v>
      </c>
      <c r="B223">
        <v>5656</v>
      </c>
      <c r="C223" t="b">
        <v>1</v>
      </c>
      <c r="D223">
        <v>8048</v>
      </c>
      <c r="E223">
        <v>8099</v>
      </c>
      <c r="F223">
        <v>205.86667</v>
      </c>
      <c r="G223">
        <v>187.6</v>
      </c>
      <c r="H223">
        <v>1.0973702999999999</v>
      </c>
      <c r="I223">
        <v>-9.7370269999999995E-2</v>
      </c>
      <c r="J223">
        <v>0.47678754000000001</v>
      </c>
    </row>
    <row r="224" spans="1:10" x14ac:dyDescent="0.3">
      <c r="A224">
        <v>222</v>
      </c>
      <c r="B224">
        <v>5672</v>
      </c>
      <c r="C224" t="b">
        <v>1</v>
      </c>
      <c r="D224">
        <v>8054</v>
      </c>
      <c r="E224">
        <v>8117</v>
      </c>
      <c r="F224">
        <v>205.53334000000001</v>
      </c>
      <c r="G224">
        <v>187.2</v>
      </c>
      <c r="H224">
        <v>1.0979345</v>
      </c>
      <c r="I224">
        <v>-9.7934530000000006E-2</v>
      </c>
      <c r="J224">
        <v>0.47665930000000001</v>
      </c>
    </row>
    <row r="225" spans="1:10" x14ac:dyDescent="0.3">
      <c r="A225">
        <v>223</v>
      </c>
      <c r="B225">
        <v>5687</v>
      </c>
      <c r="C225" t="b">
        <v>1</v>
      </c>
      <c r="D225">
        <v>8037</v>
      </c>
      <c r="E225">
        <v>8105</v>
      </c>
      <c r="F225">
        <v>205.53334000000001</v>
      </c>
      <c r="G225">
        <v>187.2</v>
      </c>
      <c r="H225">
        <v>1.0979345</v>
      </c>
      <c r="I225">
        <v>-9.7934530000000006E-2</v>
      </c>
      <c r="J225">
        <v>0.47665930000000001</v>
      </c>
    </row>
    <row r="226" spans="1:10" x14ac:dyDescent="0.3">
      <c r="A226">
        <v>224</v>
      </c>
      <c r="B226">
        <v>5703</v>
      </c>
      <c r="C226" t="b">
        <v>1</v>
      </c>
      <c r="D226">
        <v>8048</v>
      </c>
      <c r="E226">
        <v>8105</v>
      </c>
      <c r="F226">
        <v>205.93333000000001</v>
      </c>
      <c r="G226">
        <v>187.2</v>
      </c>
      <c r="H226">
        <v>1.1000711999999999</v>
      </c>
      <c r="I226">
        <v>-0.10007125</v>
      </c>
      <c r="J226">
        <v>0.47617431999999998</v>
      </c>
    </row>
    <row r="227" spans="1:10" x14ac:dyDescent="0.3">
      <c r="A227">
        <v>225</v>
      </c>
      <c r="B227">
        <v>5719</v>
      </c>
      <c r="C227" t="b">
        <v>1</v>
      </c>
      <c r="D227">
        <v>8042</v>
      </c>
      <c r="E227">
        <v>8105</v>
      </c>
      <c r="F227">
        <v>206.33332999999999</v>
      </c>
      <c r="G227">
        <v>187.2</v>
      </c>
      <c r="H227">
        <v>1.1022080000000001</v>
      </c>
      <c r="I227">
        <v>-0.102207966</v>
      </c>
      <c r="J227">
        <v>0.47569033999999999</v>
      </c>
    </row>
    <row r="228" spans="1:10" x14ac:dyDescent="0.3">
      <c r="A228">
        <v>226</v>
      </c>
      <c r="B228">
        <v>5735</v>
      </c>
      <c r="C228" t="b">
        <v>1</v>
      </c>
      <c r="D228">
        <v>8023</v>
      </c>
      <c r="E228">
        <v>8105</v>
      </c>
      <c r="F228">
        <v>206.66667000000001</v>
      </c>
      <c r="G228">
        <v>187.2</v>
      </c>
      <c r="H228">
        <v>1.1039886000000001</v>
      </c>
      <c r="I228">
        <v>-0.10398865</v>
      </c>
      <c r="J228">
        <v>0.47528774000000001</v>
      </c>
    </row>
    <row r="229" spans="1:10" x14ac:dyDescent="0.3">
      <c r="A229">
        <v>227</v>
      </c>
      <c r="B229">
        <v>5751</v>
      </c>
      <c r="C229" t="b">
        <v>1</v>
      </c>
      <c r="D229">
        <v>8060</v>
      </c>
      <c r="E229">
        <v>8099</v>
      </c>
      <c r="F229">
        <v>206.66667000000001</v>
      </c>
      <c r="G229">
        <v>187.2</v>
      </c>
      <c r="H229">
        <v>1.1039886000000001</v>
      </c>
      <c r="I229">
        <v>-0.10398865</v>
      </c>
      <c r="J229">
        <v>0.47528774000000001</v>
      </c>
    </row>
    <row r="230" spans="1:10" x14ac:dyDescent="0.3">
      <c r="A230">
        <v>228</v>
      </c>
      <c r="B230">
        <v>5782</v>
      </c>
      <c r="C230" t="b">
        <v>1</v>
      </c>
      <c r="D230">
        <v>8030</v>
      </c>
      <c r="E230">
        <v>8117</v>
      </c>
      <c r="F230">
        <v>205.86667</v>
      </c>
      <c r="G230">
        <v>187.2</v>
      </c>
      <c r="H230">
        <v>1.0997151000000001</v>
      </c>
      <c r="I230">
        <v>-9.9715129999999999E-2</v>
      </c>
      <c r="J230">
        <v>0.47625509999999999</v>
      </c>
    </row>
    <row r="231" spans="1:10" x14ac:dyDescent="0.3">
      <c r="A231">
        <v>229</v>
      </c>
      <c r="B231">
        <v>5815</v>
      </c>
      <c r="C231" t="b">
        <v>1</v>
      </c>
      <c r="D231">
        <v>8030</v>
      </c>
      <c r="E231">
        <v>8105</v>
      </c>
      <c r="F231">
        <v>204.26666</v>
      </c>
      <c r="G231">
        <v>187.2</v>
      </c>
      <c r="H231">
        <v>1.0911679999999999</v>
      </c>
      <c r="I231">
        <v>-9.1168089999999993E-2</v>
      </c>
      <c r="J231">
        <v>0.47820162999999999</v>
      </c>
    </row>
    <row r="232" spans="1:10" x14ac:dyDescent="0.3">
      <c r="A232">
        <v>230</v>
      </c>
      <c r="B232">
        <v>5830</v>
      </c>
      <c r="C232" t="b">
        <v>1</v>
      </c>
      <c r="D232">
        <v>8060</v>
      </c>
      <c r="E232">
        <v>8099</v>
      </c>
      <c r="F232">
        <v>202.66667000000001</v>
      </c>
      <c r="G232">
        <v>187.2</v>
      </c>
      <c r="H232">
        <v>1.0826210999999999</v>
      </c>
      <c r="I232">
        <v>-8.2621130000000001E-2</v>
      </c>
      <c r="J232">
        <v>0.48016414000000002</v>
      </c>
    </row>
    <row r="233" spans="1:10" x14ac:dyDescent="0.3">
      <c r="A233">
        <v>231</v>
      </c>
      <c r="B233">
        <v>5846</v>
      </c>
      <c r="C233" t="b">
        <v>1</v>
      </c>
      <c r="D233">
        <v>8054</v>
      </c>
      <c r="E233">
        <v>8111</v>
      </c>
      <c r="F233">
        <v>202.66667000000001</v>
      </c>
      <c r="G233">
        <v>187.2</v>
      </c>
      <c r="H233">
        <v>1.0826210999999999</v>
      </c>
      <c r="I233">
        <v>-8.2621130000000001E-2</v>
      </c>
      <c r="J233">
        <v>0.48016414000000002</v>
      </c>
    </row>
    <row r="234" spans="1:10" x14ac:dyDescent="0.3">
      <c r="A234">
        <v>232</v>
      </c>
      <c r="B234">
        <v>5862</v>
      </c>
      <c r="C234" t="b">
        <v>1</v>
      </c>
      <c r="D234">
        <v>8060</v>
      </c>
      <c r="E234">
        <v>8111</v>
      </c>
      <c r="F234">
        <v>202.66667000000001</v>
      </c>
      <c r="G234">
        <v>187.6</v>
      </c>
      <c r="H234">
        <v>1.0803126999999999</v>
      </c>
      <c r="I234">
        <v>-8.0312713999999993E-2</v>
      </c>
      <c r="J234">
        <v>0.48069698</v>
      </c>
    </row>
    <row r="235" spans="1:10" x14ac:dyDescent="0.3">
      <c r="A235">
        <v>233</v>
      </c>
      <c r="B235">
        <v>5878</v>
      </c>
      <c r="C235" t="b">
        <v>1</v>
      </c>
      <c r="D235">
        <v>8048</v>
      </c>
      <c r="E235">
        <v>8117</v>
      </c>
      <c r="F235">
        <v>202.66667000000001</v>
      </c>
      <c r="G235">
        <v>189.2</v>
      </c>
      <c r="H235">
        <v>1.0711769</v>
      </c>
      <c r="I235">
        <v>-7.1176929999999999E-2</v>
      </c>
      <c r="J235">
        <v>0.48281726000000003</v>
      </c>
    </row>
    <row r="236" spans="1:10" x14ac:dyDescent="0.3">
      <c r="A236">
        <v>234</v>
      </c>
      <c r="B236">
        <v>5894</v>
      </c>
      <c r="C236" t="b">
        <v>1</v>
      </c>
      <c r="D236">
        <v>8037</v>
      </c>
      <c r="E236">
        <v>8117</v>
      </c>
      <c r="F236">
        <v>203.06666999999999</v>
      </c>
      <c r="G236">
        <v>190</v>
      </c>
      <c r="H236">
        <v>1.0687720000000001</v>
      </c>
      <c r="I236">
        <v>-6.877192E-2</v>
      </c>
      <c r="J236">
        <v>0.48337859999999999</v>
      </c>
    </row>
    <row r="237" spans="1:10" x14ac:dyDescent="0.3">
      <c r="A237">
        <v>235</v>
      </c>
      <c r="B237">
        <v>5910</v>
      </c>
      <c r="C237" t="b">
        <v>1</v>
      </c>
      <c r="D237">
        <v>8071</v>
      </c>
      <c r="E237">
        <v>8105</v>
      </c>
      <c r="F237">
        <v>204.2</v>
      </c>
      <c r="G237">
        <v>190.8</v>
      </c>
      <c r="H237">
        <v>1.0702305999999999</v>
      </c>
      <c r="I237">
        <v>-7.0230570000000006E-2</v>
      </c>
      <c r="J237">
        <v>0.48303797999999998</v>
      </c>
    </row>
    <row r="238" spans="1:10" x14ac:dyDescent="0.3">
      <c r="A238">
        <v>236</v>
      </c>
      <c r="B238">
        <v>5926</v>
      </c>
      <c r="C238" t="b">
        <v>1</v>
      </c>
      <c r="D238">
        <v>8065</v>
      </c>
      <c r="E238">
        <v>8117</v>
      </c>
      <c r="F238">
        <v>205.73334</v>
      </c>
      <c r="G238">
        <v>192</v>
      </c>
      <c r="H238">
        <v>1.0715277999999999</v>
      </c>
      <c r="I238">
        <v>-7.1527800000000002E-2</v>
      </c>
      <c r="J238">
        <v>0.48273547999999999</v>
      </c>
    </row>
    <row r="239" spans="1:10" x14ac:dyDescent="0.3">
      <c r="A239">
        <v>237</v>
      </c>
      <c r="B239">
        <v>5942</v>
      </c>
      <c r="C239" t="b">
        <v>1</v>
      </c>
      <c r="D239">
        <v>8060</v>
      </c>
      <c r="E239">
        <v>8117</v>
      </c>
      <c r="F239">
        <v>207.26666</v>
      </c>
      <c r="G239">
        <v>193.2</v>
      </c>
      <c r="H239">
        <v>1.0728089000000001</v>
      </c>
      <c r="I239">
        <v>-7.2808830000000005E-2</v>
      </c>
      <c r="J239">
        <v>0.48243712999999999</v>
      </c>
    </row>
    <row r="240" spans="1:10" x14ac:dyDescent="0.3">
      <c r="A240">
        <v>238</v>
      </c>
      <c r="B240">
        <v>5958</v>
      </c>
      <c r="C240" t="b">
        <v>1</v>
      </c>
      <c r="D240">
        <v>8042</v>
      </c>
      <c r="E240">
        <v>8099</v>
      </c>
      <c r="F240">
        <v>208.8</v>
      </c>
      <c r="G240">
        <v>194</v>
      </c>
      <c r="H240">
        <v>1.0762887000000001</v>
      </c>
      <c r="I240">
        <v>-7.6288679999999998E-2</v>
      </c>
      <c r="J240">
        <v>0.48162863</v>
      </c>
    </row>
    <row r="241" spans="1:10" x14ac:dyDescent="0.3">
      <c r="A241">
        <v>239</v>
      </c>
      <c r="B241">
        <v>5974</v>
      </c>
      <c r="C241" t="b">
        <v>1</v>
      </c>
      <c r="D241">
        <v>8023</v>
      </c>
      <c r="E241">
        <v>8105</v>
      </c>
      <c r="F241">
        <v>209.6</v>
      </c>
      <c r="G241">
        <v>194</v>
      </c>
      <c r="H241">
        <v>1.0804123999999999</v>
      </c>
      <c r="I241">
        <v>-8.0412399999999995E-2</v>
      </c>
      <c r="J241">
        <v>0.48067394000000002</v>
      </c>
    </row>
    <row r="242" spans="1:10" x14ac:dyDescent="0.3">
      <c r="A242">
        <v>240</v>
      </c>
      <c r="B242">
        <v>5989</v>
      </c>
      <c r="C242" t="b">
        <v>1</v>
      </c>
      <c r="D242">
        <v>8048</v>
      </c>
      <c r="E242">
        <v>8105</v>
      </c>
      <c r="F242">
        <v>209.6</v>
      </c>
      <c r="G242">
        <v>194</v>
      </c>
      <c r="H242">
        <v>1.0804123999999999</v>
      </c>
      <c r="I242">
        <v>-8.0412399999999995E-2</v>
      </c>
      <c r="J242">
        <v>0.48067394000000002</v>
      </c>
    </row>
    <row r="243" spans="1:10" x14ac:dyDescent="0.3">
      <c r="A243">
        <v>241</v>
      </c>
      <c r="B243">
        <v>6005</v>
      </c>
      <c r="C243" t="b">
        <v>1</v>
      </c>
      <c r="D243">
        <v>8054</v>
      </c>
      <c r="E243">
        <v>8099</v>
      </c>
      <c r="F243">
        <v>210</v>
      </c>
      <c r="G243">
        <v>194</v>
      </c>
      <c r="H243">
        <v>1.0824742000000001</v>
      </c>
      <c r="I243">
        <v>-8.2474223999999999E-2</v>
      </c>
      <c r="J243">
        <v>0.48019803</v>
      </c>
    </row>
    <row r="244" spans="1:10" x14ac:dyDescent="0.3">
      <c r="A244">
        <v>242</v>
      </c>
      <c r="B244">
        <v>6021</v>
      </c>
      <c r="C244" t="b">
        <v>1</v>
      </c>
      <c r="D244">
        <v>8042</v>
      </c>
      <c r="E244">
        <v>8093</v>
      </c>
      <c r="F244">
        <v>210</v>
      </c>
      <c r="G244">
        <v>193.6</v>
      </c>
      <c r="H244">
        <v>1.0847107</v>
      </c>
      <c r="I244">
        <v>-8.4710709999999995E-2</v>
      </c>
      <c r="J244">
        <v>0.47968285999999999</v>
      </c>
    </row>
    <row r="245" spans="1:10" x14ac:dyDescent="0.3">
      <c r="A245">
        <v>243</v>
      </c>
      <c r="B245">
        <v>6037</v>
      </c>
      <c r="C245" t="b">
        <v>1</v>
      </c>
      <c r="D245">
        <v>8048</v>
      </c>
      <c r="E245">
        <v>8134</v>
      </c>
      <c r="F245">
        <v>210.4</v>
      </c>
      <c r="G245">
        <v>193.6</v>
      </c>
      <c r="H245">
        <v>1.0867769</v>
      </c>
      <c r="I245">
        <v>-8.6776790000000006E-2</v>
      </c>
      <c r="J245">
        <v>0.47920793</v>
      </c>
    </row>
    <row r="246" spans="1:10" x14ac:dyDescent="0.3">
      <c r="A246">
        <v>244</v>
      </c>
      <c r="B246">
        <v>6053</v>
      </c>
      <c r="C246" t="b">
        <v>1</v>
      </c>
      <c r="D246">
        <v>8023</v>
      </c>
      <c r="E246">
        <v>8111</v>
      </c>
      <c r="F246">
        <v>211.6</v>
      </c>
      <c r="G246">
        <v>193.6</v>
      </c>
      <c r="H246">
        <v>1.0929753</v>
      </c>
      <c r="I246">
        <v>-9.2975210000000003E-2</v>
      </c>
      <c r="J246">
        <v>0.47778874999999998</v>
      </c>
    </row>
    <row r="247" spans="1:10" x14ac:dyDescent="0.3">
      <c r="A247">
        <v>245</v>
      </c>
      <c r="B247">
        <v>6069</v>
      </c>
      <c r="C247" t="b">
        <v>1</v>
      </c>
      <c r="D247">
        <v>8042</v>
      </c>
      <c r="E247">
        <v>8105</v>
      </c>
      <c r="F247">
        <v>212.4</v>
      </c>
      <c r="G247">
        <v>193.6</v>
      </c>
      <c r="H247">
        <v>1.0971074000000001</v>
      </c>
      <c r="I247">
        <v>-9.7107369999999998E-2</v>
      </c>
      <c r="J247">
        <v>0.47684729999999997</v>
      </c>
    </row>
    <row r="248" spans="1:10" x14ac:dyDescent="0.3">
      <c r="A248">
        <v>246</v>
      </c>
      <c r="B248">
        <v>6100</v>
      </c>
      <c r="C248" t="b">
        <v>1</v>
      </c>
      <c r="D248">
        <v>8030</v>
      </c>
      <c r="E248">
        <v>8093</v>
      </c>
      <c r="F248">
        <v>211.6</v>
      </c>
      <c r="G248">
        <v>193.6</v>
      </c>
      <c r="H248">
        <v>1.0929753</v>
      </c>
      <c r="I248">
        <v>-9.2975210000000003E-2</v>
      </c>
      <c r="J248">
        <v>0.47778874999999998</v>
      </c>
    </row>
    <row r="249" spans="1:10" x14ac:dyDescent="0.3">
      <c r="A249">
        <v>247</v>
      </c>
      <c r="B249">
        <v>6132</v>
      </c>
      <c r="C249" t="b">
        <v>1</v>
      </c>
      <c r="D249">
        <v>8023</v>
      </c>
      <c r="E249">
        <v>8099</v>
      </c>
      <c r="F249">
        <v>210</v>
      </c>
      <c r="G249">
        <v>193.2</v>
      </c>
      <c r="H249">
        <v>1.0869565000000001</v>
      </c>
      <c r="I249">
        <v>-8.6956539999999999E-2</v>
      </c>
      <c r="J249">
        <v>0.47916666000000002</v>
      </c>
    </row>
    <row r="250" spans="1:10" x14ac:dyDescent="0.3">
      <c r="A250">
        <v>248</v>
      </c>
      <c r="B250">
        <v>6148</v>
      </c>
      <c r="C250" t="b">
        <v>1</v>
      </c>
      <c r="D250">
        <v>8030</v>
      </c>
      <c r="E250">
        <v>8105</v>
      </c>
      <c r="F250">
        <v>208.4</v>
      </c>
      <c r="G250">
        <v>192.8</v>
      </c>
      <c r="H250">
        <v>1.0809127999999999</v>
      </c>
      <c r="I250">
        <v>-8.0912810000000002E-2</v>
      </c>
      <c r="J250">
        <v>0.48055829999999999</v>
      </c>
    </row>
    <row r="251" spans="1:10" x14ac:dyDescent="0.3">
      <c r="A251">
        <v>249</v>
      </c>
      <c r="B251">
        <v>6164</v>
      </c>
      <c r="C251" t="b">
        <v>1</v>
      </c>
      <c r="D251">
        <v>8060</v>
      </c>
      <c r="E251">
        <v>8099</v>
      </c>
      <c r="F251">
        <v>206.8</v>
      </c>
      <c r="G251">
        <v>192</v>
      </c>
      <c r="H251">
        <v>1.0770833</v>
      </c>
      <c r="I251">
        <v>-7.7083349999999995E-2</v>
      </c>
      <c r="J251">
        <v>0.48144436000000002</v>
      </c>
    </row>
    <row r="252" spans="1:10" x14ac:dyDescent="0.3">
      <c r="A252">
        <v>250</v>
      </c>
      <c r="B252">
        <v>6196</v>
      </c>
      <c r="C252" t="b">
        <v>1</v>
      </c>
      <c r="D252">
        <v>8042</v>
      </c>
      <c r="E252">
        <v>8117</v>
      </c>
      <c r="F252">
        <v>205.2</v>
      </c>
      <c r="G252">
        <v>191.2</v>
      </c>
      <c r="H252">
        <v>1.0732218</v>
      </c>
      <c r="I252">
        <v>-7.3221759999999997E-2</v>
      </c>
      <c r="J252">
        <v>0.48234107999999998</v>
      </c>
    </row>
    <row r="253" spans="1:10" x14ac:dyDescent="0.3">
      <c r="A253">
        <v>251</v>
      </c>
      <c r="B253">
        <v>6228</v>
      </c>
      <c r="C253" t="b">
        <v>1</v>
      </c>
      <c r="D253">
        <v>8054</v>
      </c>
      <c r="E253">
        <v>8129</v>
      </c>
      <c r="F253">
        <v>204</v>
      </c>
      <c r="G253">
        <v>190.4</v>
      </c>
      <c r="H253">
        <v>1.0714287</v>
      </c>
      <c r="I253">
        <v>-7.1428604000000007E-2</v>
      </c>
      <c r="J253">
        <v>0.48275859999999998</v>
      </c>
    </row>
    <row r="254" spans="1:10" x14ac:dyDescent="0.3">
      <c r="A254">
        <v>252</v>
      </c>
      <c r="B254">
        <v>6260</v>
      </c>
      <c r="C254" t="b">
        <v>1</v>
      </c>
      <c r="D254">
        <v>8030</v>
      </c>
      <c r="E254">
        <v>8099</v>
      </c>
      <c r="F254">
        <v>202.8</v>
      </c>
      <c r="G254">
        <v>189.6</v>
      </c>
      <c r="H254">
        <v>1.0696203</v>
      </c>
      <c r="I254">
        <v>-6.962024E-2</v>
      </c>
      <c r="J254">
        <v>0.48318040000000001</v>
      </c>
    </row>
    <row r="255" spans="1:10" x14ac:dyDescent="0.3">
      <c r="A255">
        <v>253</v>
      </c>
      <c r="B255">
        <v>6291</v>
      </c>
      <c r="C255" t="b">
        <v>1</v>
      </c>
      <c r="D255">
        <v>8054</v>
      </c>
      <c r="E255">
        <v>8111</v>
      </c>
      <c r="F255">
        <v>202.4</v>
      </c>
      <c r="G255">
        <v>189.2</v>
      </c>
      <c r="H255">
        <v>1.0697675</v>
      </c>
      <c r="I255">
        <v>-6.9767430000000005E-2</v>
      </c>
      <c r="J255">
        <v>0.48314610000000002</v>
      </c>
    </row>
    <row r="256" spans="1:10" x14ac:dyDescent="0.3">
      <c r="A256">
        <v>254</v>
      </c>
      <c r="B256">
        <v>6323</v>
      </c>
      <c r="C256" t="b">
        <v>1</v>
      </c>
      <c r="D256">
        <v>8030</v>
      </c>
      <c r="E256">
        <v>8099</v>
      </c>
      <c r="F256">
        <v>201.2</v>
      </c>
      <c r="G256">
        <v>189.6</v>
      </c>
      <c r="H256">
        <v>1.0611813999999999</v>
      </c>
      <c r="I256">
        <v>-6.1181384999999998E-2</v>
      </c>
      <c r="J256">
        <v>0.48515868000000001</v>
      </c>
    </row>
    <row r="257" spans="1:10" x14ac:dyDescent="0.3">
      <c r="A257">
        <v>255</v>
      </c>
      <c r="B257">
        <v>6339</v>
      </c>
      <c r="C257" t="b">
        <v>1</v>
      </c>
      <c r="D257">
        <v>8048</v>
      </c>
      <c r="E257">
        <v>8140</v>
      </c>
      <c r="F257">
        <v>201.2</v>
      </c>
      <c r="G257">
        <v>190</v>
      </c>
      <c r="H257">
        <v>1.0589473</v>
      </c>
      <c r="I257">
        <v>-5.8947350000000003E-2</v>
      </c>
      <c r="J257">
        <v>0.48568505000000001</v>
      </c>
    </row>
    <row r="258" spans="1:10" x14ac:dyDescent="0.3">
      <c r="A258">
        <v>256</v>
      </c>
      <c r="B258">
        <v>6355</v>
      </c>
      <c r="C258" t="b">
        <v>1</v>
      </c>
      <c r="D258">
        <v>8037</v>
      </c>
      <c r="E258">
        <v>8105</v>
      </c>
      <c r="F258">
        <v>200.46665999999999</v>
      </c>
      <c r="G258">
        <v>190</v>
      </c>
      <c r="H258">
        <v>1.0550877000000001</v>
      </c>
      <c r="I258">
        <v>-5.508768E-2</v>
      </c>
      <c r="J258">
        <v>0.48659720000000001</v>
      </c>
    </row>
    <row r="259" spans="1:10" x14ac:dyDescent="0.3">
      <c r="A259">
        <v>257</v>
      </c>
      <c r="B259">
        <v>6372</v>
      </c>
      <c r="C259" t="b">
        <v>1</v>
      </c>
      <c r="D259">
        <v>8048</v>
      </c>
      <c r="E259">
        <v>8087</v>
      </c>
      <c r="F259">
        <v>200.86667</v>
      </c>
      <c r="G259">
        <v>190.4</v>
      </c>
      <c r="H259">
        <v>1.054972</v>
      </c>
      <c r="I259">
        <v>-5.4972034000000003E-2</v>
      </c>
      <c r="J259">
        <v>0.48662463</v>
      </c>
    </row>
    <row r="260" spans="1:10" x14ac:dyDescent="0.3">
      <c r="A260">
        <v>258</v>
      </c>
      <c r="B260">
        <v>6404</v>
      </c>
      <c r="C260" t="b">
        <v>1</v>
      </c>
      <c r="D260">
        <v>8054</v>
      </c>
      <c r="E260">
        <v>8111</v>
      </c>
      <c r="F260">
        <v>200.86667</v>
      </c>
      <c r="G260">
        <v>190.4</v>
      </c>
      <c r="H260">
        <v>1.054972</v>
      </c>
      <c r="I260">
        <v>-5.4972034000000003E-2</v>
      </c>
      <c r="J260">
        <v>0.48662463</v>
      </c>
    </row>
    <row r="261" spans="1:10" x14ac:dyDescent="0.3">
      <c r="A261">
        <v>259</v>
      </c>
      <c r="B261">
        <v>6420</v>
      </c>
      <c r="C261" t="b">
        <v>1</v>
      </c>
      <c r="D261">
        <v>8037</v>
      </c>
      <c r="E261">
        <v>8111</v>
      </c>
      <c r="F261">
        <v>200.86667</v>
      </c>
      <c r="G261">
        <v>190.8</v>
      </c>
      <c r="H261">
        <v>1.0527602</v>
      </c>
      <c r="I261">
        <v>-5.2760303000000001E-2</v>
      </c>
      <c r="J261">
        <v>0.4871489</v>
      </c>
    </row>
    <row r="262" spans="1:10" x14ac:dyDescent="0.3">
      <c r="A262">
        <v>260</v>
      </c>
      <c r="B262">
        <v>6436</v>
      </c>
      <c r="C262" t="b">
        <v>1</v>
      </c>
      <c r="D262">
        <v>8042</v>
      </c>
      <c r="E262">
        <v>8099</v>
      </c>
      <c r="F262">
        <v>200.86667</v>
      </c>
      <c r="G262">
        <v>190.8</v>
      </c>
      <c r="H262">
        <v>1.0527602</v>
      </c>
      <c r="I262">
        <v>-5.2760303000000001E-2</v>
      </c>
      <c r="J262">
        <v>0.4871489</v>
      </c>
    </row>
    <row r="263" spans="1:10" x14ac:dyDescent="0.3">
      <c r="A263">
        <v>261</v>
      </c>
      <c r="B263">
        <v>6467</v>
      </c>
      <c r="C263" t="b">
        <v>1</v>
      </c>
      <c r="D263">
        <v>8054</v>
      </c>
      <c r="E263">
        <v>8087</v>
      </c>
      <c r="F263">
        <v>201.26666</v>
      </c>
      <c r="G263">
        <v>190.4</v>
      </c>
      <c r="H263">
        <v>1.0570729000000001</v>
      </c>
      <c r="I263">
        <v>-5.707284E-2</v>
      </c>
      <c r="J263">
        <v>0.48612764000000003</v>
      </c>
    </row>
    <row r="264" spans="1:10" x14ac:dyDescent="0.3">
      <c r="A264">
        <v>262</v>
      </c>
      <c r="B264">
        <v>6499</v>
      </c>
      <c r="C264" t="b">
        <v>1</v>
      </c>
      <c r="D264">
        <v>8037</v>
      </c>
      <c r="E264">
        <v>8117</v>
      </c>
      <c r="F264">
        <v>202.06666999999999</v>
      </c>
      <c r="G264">
        <v>190.8</v>
      </c>
      <c r="H264">
        <v>1.0590496</v>
      </c>
      <c r="I264">
        <v>-5.9049595000000003E-2</v>
      </c>
      <c r="J264">
        <v>0.48566097000000003</v>
      </c>
    </row>
    <row r="265" spans="1:10" x14ac:dyDescent="0.3">
      <c r="A265">
        <v>263</v>
      </c>
      <c r="B265">
        <v>6531</v>
      </c>
      <c r="C265" t="b">
        <v>1</v>
      </c>
      <c r="D265">
        <v>8060</v>
      </c>
      <c r="E265">
        <v>8093</v>
      </c>
      <c r="F265">
        <v>202.86667</v>
      </c>
      <c r="G265">
        <v>190.4</v>
      </c>
      <c r="H265">
        <v>1.0654762</v>
      </c>
      <c r="I265">
        <v>-6.5476240000000005E-2</v>
      </c>
      <c r="J265">
        <v>0.48414984</v>
      </c>
    </row>
    <row r="266" spans="1:10" x14ac:dyDescent="0.3">
      <c r="A266">
        <v>264</v>
      </c>
      <c r="B266">
        <v>6563</v>
      </c>
      <c r="C266" t="b">
        <v>1</v>
      </c>
      <c r="D266">
        <v>8048</v>
      </c>
      <c r="E266">
        <v>8123</v>
      </c>
      <c r="F266">
        <v>204.06666999999999</v>
      </c>
      <c r="G266">
        <v>190.4</v>
      </c>
      <c r="H266">
        <v>1.0717787999999999</v>
      </c>
      <c r="I266">
        <v>-7.1778739999999994E-2</v>
      </c>
      <c r="J266">
        <v>0.48267700000000002</v>
      </c>
    </row>
    <row r="267" spans="1:10" x14ac:dyDescent="0.3">
      <c r="A267">
        <v>265</v>
      </c>
      <c r="B267">
        <v>6594</v>
      </c>
      <c r="C267" t="b">
        <v>1</v>
      </c>
      <c r="D267">
        <v>8030</v>
      </c>
      <c r="E267">
        <v>8105</v>
      </c>
      <c r="F267">
        <v>205.26666</v>
      </c>
      <c r="G267">
        <v>190.8</v>
      </c>
      <c r="H267">
        <v>1.0758209999999999</v>
      </c>
      <c r="I267">
        <v>-7.5821063999999994E-2</v>
      </c>
      <c r="J267">
        <v>0.48173709999999997</v>
      </c>
    </row>
    <row r="268" spans="1:10" x14ac:dyDescent="0.3">
      <c r="A268">
        <v>266</v>
      </c>
      <c r="B268">
        <v>6610</v>
      </c>
      <c r="C268" t="b">
        <v>1</v>
      </c>
      <c r="D268">
        <v>8048</v>
      </c>
      <c r="E268">
        <v>8099</v>
      </c>
      <c r="F268">
        <v>205.66667000000001</v>
      </c>
      <c r="G268">
        <v>190.8</v>
      </c>
      <c r="H268">
        <v>1.0779175999999999</v>
      </c>
      <c r="I268">
        <v>-7.7917546000000004E-2</v>
      </c>
      <c r="J268">
        <v>0.48125106000000001</v>
      </c>
    </row>
    <row r="269" spans="1:10" x14ac:dyDescent="0.3">
      <c r="A269">
        <v>267</v>
      </c>
      <c r="B269">
        <v>6626</v>
      </c>
      <c r="C269" t="b">
        <v>1</v>
      </c>
      <c r="D269">
        <v>8054</v>
      </c>
      <c r="E269">
        <v>8093</v>
      </c>
      <c r="F269">
        <v>206.06666999999999</v>
      </c>
      <c r="G269">
        <v>190.4</v>
      </c>
      <c r="H269">
        <v>1.0822829</v>
      </c>
      <c r="I269">
        <v>-8.2282945999999996E-2</v>
      </c>
      <c r="J269">
        <v>0.48024210000000001</v>
      </c>
    </row>
    <row r="270" spans="1:10" x14ac:dyDescent="0.3">
      <c r="A270">
        <v>268</v>
      </c>
      <c r="B270">
        <v>6658</v>
      </c>
      <c r="C270" t="b">
        <v>1</v>
      </c>
      <c r="D270">
        <v>8042</v>
      </c>
      <c r="E270">
        <v>8093</v>
      </c>
      <c r="F270">
        <v>205.66667000000001</v>
      </c>
      <c r="G270">
        <v>189.6</v>
      </c>
      <c r="H270">
        <v>1.0847397999999999</v>
      </c>
      <c r="I270">
        <v>-8.4739800000000004E-2</v>
      </c>
      <c r="J270">
        <v>0.4796762</v>
      </c>
    </row>
    <row r="271" spans="1:10" x14ac:dyDescent="0.3">
      <c r="A271">
        <v>269</v>
      </c>
      <c r="B271">
        <v>6689</v>
      </c>
      <c r="C271" t="b">
        <v>1</v>
      </c>
      <c r="D271">
        <v>8048</v>
      </c>
      <c r="E271">
        <v>8099</v>
      </c>
      <c r="F271">
        <v>206.06666999999999</v>
      </c>
      <c r="G271">
        <v>188.8</v>
      </c>
      <c r="H271">
        <v>1.0914547000000001</v>
      </c>
      <c r="I271">
        <v>-9.1454779999999999E-2</v>
      </c>
      <c r="J271">
        <v>0.47813610000000001</v>
      </c>
    </row>
    <row r="272" spans="1:10" x14ac:dyDescent="0.3">
      <c r="A272">
        <v>270</v>
      </c>
      <c r="B272">
        <v>6705</v>
      </c>
      <c r="C272" t="b">
        <v>1</v>
      </c>
      <c r="D272">
        <v>8054</v>
      </c>
      <c r="E272">
        <v>8087</v>
      </c>
      <c r="F272">
        <v>206.06666999999999</v>
      </c>
      <c r="G272">
        <v>187.6</v>
      </c>
      <c r="H272">
        <v>1.0984364</v>
      </c>
      <c r="I272">
        <v>-9.8436350000000006E-2</v>
      </c>
      <c r="J272">
        <v>0.47654530000000001</v>
      </c>
    </row>
    <row r="273" spans="1:10" x14ac:dyDescent="0.3">
      <c r="A273">
        <v>271</v>
      </c>
      <c r="B273">
        <v>6721</v>
      </c>
      <c r="C273" t="b">
        <v>1</v>
      </c>
      <c r="D273">
        <v>8042</v>
      </c>
      <c r="E273">
        <v>8099</v>
      </c>
      <c r="F273">
        <v>206.8</v>
      </c>
      <c r="G273">
        <v>186.8</v>
      </c>
      <c r="H273">
        <v>1.1070663999999999</v>
      </c>
      <c r="I273">
        <v>-0.10706638</v>
      </c>
      <c r="J273">
        <v>0.4745935</v>
      </c>
    </row>
    <row r="274" spans="1:10" x14ac:dyDescent="0.3">
      <c r="A274">
        <v>272</v>
      </c>
      <c r="B274">
        <v>6753</v>
      </c>
      <c r="C274" t="b">
        <v>1</v>
      </c>
      <c r="D274">
        <v>8060</v>
      </c>
      <c r="E274">
        <v>8111</v>
      </c>
      <c r="F274">
        <v>206.8</v>
      </c>
      <c r="G274">
        <v>186.4</v>
      </c>
      <c r="H274">
        <v>1.1094421000000001</v>
      </c>
      <c r="I274">
        <v>-0.10944211500000001</v>
      </c>
      <c r="J274">
        <v>0.47405900000000001</v>
      </c>
    </row>
    <row r="275" spans="1:10" x14ac:dyDescent="0.3">
      <c r="A275">
        <v>273</v>
      </c>
      <c r="B275">
        <v>6784</v>
      </c>
      <c r="C275" t="b">
        <v>1</v>
      </c>
      <c r="D275">
        <v>8048</v>
      </c>
      <c r="E275">
        <v>8129</v>
      </c>
      <c r="F275">
        <v>206.8</v>
      </c>
      <c r="G275">
        <v>186</v>
      </c>
      <c r="H275">
        <v>1.111828</v>
      </c>
      <c r="I275">
        <v>-0.11182797999999999</v>
      </c>
      <c r="J275">
        <v>0.47352344000000002</v>
      </c>
    </row>
    <row r="276" spans="1:10" x14ac:dyDescent="0.3">
      <c r="A276">
        <v>274</v>
      </c>
      <c r="B276">
        <v>6815</v>
      </c>
      <c r="C276" t="b">
        <v>1</v>
      </c>
      <c r="D276">
        <v>8037</v>
      </c>
      <c r="E276">
        <v>8123</v>
      </c>
      <c r="F276">
        <v>206.8</v>
      </c>
      <c r="G276">
        <v>186</v>
      </c>
      <c r="H276">
        <v>1.111828</v>
      </c>
      <c r="I276">
        <v>-0.11182797999999999</v>
      </c>
      <c r="J276">
        <v>0.47352344000000002</v>
      </c>
    </row>
    <row r="277" spans="1:10" x14ac:dyDescent="0.3">
      <c r="A277">
        <v>275</v>
      </c>
      <c r="B277">
        <v>6847</v>
      </c>
      <c r="C277" t="b">
        <v>1</v>
      </c>
      <c r="D277">
        <v>8037</v>
      </c>
      <c r="E277">
        <v>8105</v>
      </c>
      <c r="F277">
        <v>206.8</v>
      </c>
      <c r="G277">
        <v>186.4</v>
      </c>
      <c r="H277">
        <v>1.1094421000000001</v>
      </c>
      <c r="I277">
        <v>-0.10944211500000001</v>
      </c>
      <c r="J277">
        <v>0.47405900000000001</v>
      </c>
    </row>
    <row r="278" spans="1:10" x14ac:dyDescent="0.3">
      <c r="A278">
        <v>276</v>
      </c>
      <c r="B278">
        <v>6879</v>
      </c>
      <c r="C278" t="b">
        <v>1</v>
      </c>
      <c r="D278">
        <v>8065</v>
      </c>
      <c r="E278">
        <v>8093</v>
      </c>
      <c r="F278">
        <v>206.8</v>
      </c>
      <c r="G278">
        <v>187.2</v>
      </c>
      <c r="H278">
        <v>1.1047009000000001</v>
      </c>
      <c r="I278">
        <v>-0.10470088600000001</v>
      </c>
      <c r="J278">
        <v>0.47512690000000002</v>
      </c>
    </row>
    <row r="279" spans="1:10" x14ac:dyDescent="0.3">
      <c r="A279">
        <v>277</v>
      </c>
      <c r="B279">
        <v>6911</v>
      </c>
      <c r="C279" t="b">
        <v>1</v>
      </c>
      <c r="D279">
        <v>8054</v>
      </c>
      <c r="E279">
        <v>8134</v>
      </c>
      <c r="F279">
        <v>207.2</v>
      </c>
      <c r="G279">
        <v>188</v>
      </c>
      <c r="H279">
        <v>1.1021277</v>
      </c>
      <c r="I279">
        <v>-0.10212764000000001</v>
      </c>
      <c r="J279">
        <v>0.47570847999999999</v>
      </c>
    </row>
    <row r="280" spans="1:10" x14ac:dyDescent="0.3">
      <c r="A280">
        <v>278</v>
      </c>
      <c r="B280">
        <v>6942</v>
      </c>
      <c r="C280" t="b">
        <v>1</v>
      </c>
      <c r="D280">
        <v>8037</v>
      </c>
      <c r="E280">
        <v>8105</v>
      </c>
      <c r="F280">
        <v>206.86667</v>
      </c>
      <c r="G280">
        <v>188.4</v>
      </c>
      <c r="H280">
        <v>1.0980184</v>
      </c>
      <c r="I280">
        <v>-9.8018444999999996E-2</v>
      </c>
      <c r="J280">
        <v>0.47664022</v>
      </c>
    </row>
    <row r="281" spans="1:10" x14ac:dyDescent="0.3">
      <c r="A281">
        <v>279</v>
      </c>
      <c r="B281">
        <v>6974</v>
      </c>
      <c r="C281" t="b">
        <v>1</v>
      </c>
      <c r="D281">
        <v>8030</v>
      </c>
      <c r="E281">
        <v>8105</v>
      </c>
      <c r="F281">
        <v>206.13333</v>
      </c>
      <c r="G281">
        <v>188.8</v>
      </c>
      <c r="H281">
        <v>1.0918078</v>
      </c>
      <c r="I281">
        <v>-9.1807879999999994E-2</v>
      </c>
      <c r="J281">
        <v>0.47805535999999998</v>
      </c>
    </row>
    <row r="282" spans="1:10" x14ac:dyDescent="0.3">
      <c r="A282">
        <v>280</v>
      </c>
      <c r="B282">
        <v>7006</v>
      </c>
      <c r="C282" t="b">
        <v>1</v>
      </c>
      <c r="D282">
        <v>8065</v>
      </c>
      <c r="E282">
        <v>8105</v>
      </c>
      <c r="F282">
        <v>206.53334000000001</v>
      </c>
      <c r="G282">
        <v>188.8</v>
      </c>
      <c r="H282">
        <v>1.0939265</v>
      </c>
      <c r="I282">
        <v>-9.3926570000000001E-2</v>
      </c>
      <c r="J282">
        <v>0.47757167</v>
      </c>
    </row>
    <row r="283" spans="1:10" x14ac:dyDescent="0.3">
      <c r="A283">
        <v>281</v>
      </c>
      <c r="B283">
        <v>7038</v>
      </c>
      <c r="C283" t="b">
        <v>1</v>
      </c>
      <c r="D283">
        <v>8054</v>
      </c>
      <c r="E283">
        <v>8111</v>
      </c>
      <c r="F283">
        <v>206.93333000000001</v>
      </c>
      <c r="G283">
        <v>188.8</v>
      </c>
      <c r="H283">
        <v>1.0960451</v>
      </c>
      <c r="I283">
        <v>-9.6045190000000003E-2</v>
      </c>
      <c r="J283">
        <v>0.47708896000000001</v>
      </c>
    </row>
    <row r="284" spans="1:10" x14ac:dyDescent="0.3">
      <c r="A284">
        <v>282</v>
      </c>
      <c r="B284">
        <v>7054</v>
      </c>
      <c r="C284" t="b">
        <v>1</v>
      </c>
      <c r="D284">
        <v>8042</v>
      </c>
      <c r="E284">
        <v>8111</v>
      </c>
      <c r="F284">
        <v>206.53334000000001</v>
      </c>
      <c r="G284">
        <v>189.2</v>
      </c>
      <c r="H284">
        <v>1.0916139</v>
      </c>
      <c r="I284">
        <v>-9.161387E-2</v>
      </c>
      <c r="J284">
        <v>0.47809970000000002</v>
      </c>
    </row>
    <row r="285" spans="1:10" x14ac:dyDescent="0.3">
      <c r="A285">
        <v>283</v>
      </c>
      <c r="B285">
        <v>7069</v>
      </c>
      <c r="C285" t="b">
        <v>1</v>
      </c>
      <c r="D285">
        <v>8054</v>
      </c>
      <c r="E285">
        <v>8111</v>
      </c>
      <c r="F285">
        <v>206.93333000000001</v>
      </c>
      <c r="G285">
        <v>190</v>
      </c>
      <c r="H285">
        <v>1.0891227999999999</v>
      </c>
      <c r="I285">
        <v>-8.9122809999999997E-2</v>
      </c>
      <c r="J285">
        <v>0.47866979999999998</v>
      </c>
    </row>
    <row r="286" spans="1:10" x14ac:dyDescent="0.3">
      <c r="A286">
        <v>284</v>
      </c>
      <c r="B286">
        <v>7101</v>
      </c>
      <c r="C286" t="b">
        <v>1</v>
      </c>
      <c r="D286">
        <v>8023</v>
      </c>
      <c r="E286">
        <v>8129</v>
      </c>
      <c r="F286">
        <v>207.33332999999999</v>
      </c>
      <c r="G286">
        <v>190.8</v>
      </c>
      <c r="H286">
        <v>1.0866526000000001</v>
      </c>
      <c r="I286">
        <v>-8.6652644000000001E-2</v>
      </c>
      <c r="J286">
        <v>0.47923644999999998</v>
      </c>
    </row>
    <row r="287" spans="1:10" x14ac:dyDescent="0.3">
      <c r="A287">
        <v>285</v>
      </c>
      <c r="B287">
        <v>7117</v>
      </c>
      <c r="C287" t="b">
        <v>1</v>
      </c>
      <c r="D287">
        <v>8042</v>
      </c>
      <c r="E287">
        <v>8099</v>
      </c>
      <c r="F287">
        <v>206.93333000000001</v>
      </c>
      <c r="G287">
        <v>192</v>
      </c>
      <c r="H287">
        <v>1.0777776999999999</v>
      </c>
      <c r="I287">
        <v>-7.7777780000000005E-2</v>
      </c>
      <c r="J287">
        <v>0.48128339999999997</v>
      </c>
    </row>
    <row r="288" spans="1:10" x14ac:dyDescent="0.3">
      <c r="A288">
        <v>286</v>
      </c>
      <c r="B288">
        <v>7149</v>
      </c>
      <c r="C288" t="b">
        <v>1</v>
      </c>
      <c r="D288">
        <v>8060</v>
      </c>
      <c r="E288">
        <v>8093</v>
      </c>
      <c r="F288">
        <v>206.53334000000001</v>
      </c>
      <c r="G288">
        <v>193.2</v>
      </c>
      <c r="H288">
        <v>1.0690131</v>
      </c>
      <c r="I288">
        <v>-6.9013160000000004E-2</v>
      </c>
      <c r="J288">
        <v>0.48332219999999998</v>
      </c>
    </row>
    <row r="289" spans="1:10" x14ac:dyDescent="0.3">
      <c r="A289">
        <v>287</v>
      </c>
      <c r="B289">
        <v>7180</v>
      </c>
      <c r="C289" t="b">
        <v>1</v>
      </c>
      <c r="D289">
        <v>8037</v>
      </c>
      <c r="E289">
        <v>8099</v>
      </c>
      <c r="F289">
        <v>206.13333</v>
      </c>
      <c r="G289">
        <v>193.2</v>
      </c>
      <c r="H289">
        <v>1.0669427</v>
      </c>
      <c r="I289">
        <v>-6.6942730000000006E-2</v>
      </c>
      <c r="J289">
        <v>0.48380636999999999</v>
      </c>
    </row>
    <row r="290" spans="1:10" x14ac:dyDescent="0.3">
      <c r="A290">
        <v>288</v>
      </c>
      <c r="B290">
        <v>7213</v>
      </c>
      <c r="C290" t="b">
        <v>1</v>
      </c>
      <c r="D290">
        <v>8060</v>
      </c>
      <c r="E290">
        <v>8093</v>
      </c>
      <c r="F290">
        <v>205.73334</v>
      </c>
      <c r="G290">
        <v>193.2</v>
      </c>
      <c r="H290">
        <v>1.0648724000000001</v>
      </c>
      <c r="I290">
        <v>-6.4872360000000004E-2</v>
      </c>
      <c r="J290">
        <v>0.48429139999999998</v>
      </c>
    </row>
    <row r="291" spans="1:10" x14ac:dyDescent="0.3">
      <c r="A291">
        <v>289</v>
      </c>
      <c r="B291">
        <v>7244</v>
      </c>
      <c r="C291" t="b">
        <v>1</v>
      </c>
      <c r="D291">
        <v>8042</v>
      </c>
      <c r="E291">
        <v>8093</v>
      </c>
      <c r="F291">
        <v>205.33332999999999</v>
      </c>
      <c r="G291">
        <v>192</v>
      </c>
      <c r="H291">
        <v>1.0694444000000001</v>
      </c>
      <c r="I291">
        <v>-6.9444420000000007E-2</v>
      </c>
      <c r="J291">
        <v>0.48322150000000003</v>
      </c>
    </row>
    <row r="292" spans="1:10" x14ac:dyDescent="0.3">
      <c r="A292">
        <v>290</v>
      </c>
      <c r="B292">
        <v>7276</v>
      </c>
      <c r="C292" t="b">
        <v>1</v>
      </c>
      <c r="D292">
        <v>8042</v>
      </c>
      <c r="E292">
        <v>8117</v>
      </c>
      <c r="F292">
        <v>205.33332999999999</v>
      </c>
      <c r="G292">
        <v>190.8</v>
      </c>
      <c r="H292">
        <v>1.0761704000000001</v>
      </c>
      <c r="I292">
        <v>-7.6170470000000004E-2</v>
      </c>
      <c r="J292">
        <v>0.48165601000000002</v>
      </c>
    </row>
    <row r="293" spans="1:10" x14ac:dyDescent="0.3">
      <c r="A293">
        <v>291</v>
      </c>
      <c r="B293">
        <v>7308</v>
      </c>
      <c r="C293" t="b">
        <v>1</v>
      </c>
      <c r="D293">
        <v>8037</v>
      </c>
      <c r="E293">
        <v>8111</v>
      </c>
      <c r="F293">
        <v>204.93333000000001</v>
      </c>
      <c r="G293">
        <v>190</v>
      </c>
      <c r="H293">
        <v>1.0785965</v>
      </c>
      <c r="I293">
        <v>-7.8596495000000002E-2</v>
      </c>
      <c r="J293">
        <v>0.48109382000000001</v>
      </c>
    </row>
    <row r="294" spans="1:10" x14ac:dyDescent="0.3">
      <c r="A294">
        <v>292</v>
      </c>
      <c r="B294">
        <v>7324</v>
      </c>
      <c r="C294" t="b">
        <v>1</v>
      </c>
      <c r="D294">
        <v>8042</v>
      </c>
      <c r="E294">
        <v>8129</v>
      </c>
      <c r="F294">
        <v>204.53334000000001</v>
      </c>
      <c r="G294">
        <v>189.2</v>
      </c>
      <c r="H294">
        <v>1.081043</v>
      </c>
      <c r="I294">
        <v>-8.1043039999999997E-2</v>
      </c>
      <c r="J294">
        <v>0.48052826999999998</v>
      </c>
    </row>
    <row r="295" spans="1:10" x14ac:dyDescent="0.3">
      <c r="A295">
        <v>293</v>
      </c>
      <c r="B295">
        <v>7340</v>
      </c>
      <c r="C295" t="b">
        <v>1</v>
      </c>
      <c r="D295">
        <v>8048</v>
      </c>
      <c r="E295">
        <v>8099</v>
      </c>
      <c r="F295">
        <v>204.86667</v>
      </c>
      <c r="G295">
        <v>189.6</v>
      </c>
      <c r="H295">
        <v>1.0805203999999999</v>
      </c>
      <c r="I295">
        <v>-8.0520369999999994E-2</v>
      </c>
      <c r="J295">
        <v>0.48064899999999999</v>
      </c>
    </row>
    <row r="296" spans="1:10" x14ac:dyDescent="0.3">
      <c r="A296">
        <v>294</v>
      </c>
      <c r="B296">
        <v>7356</v>
      </c>
      <c r="C296" t="b">
        <v>1</v>
      </c>
      <c r="D296">
        <v>8042</v>
      </c>
      <c r="E296">
        <v>8111</v>
      </c>
      <c r="F296">
        <v>205.2</v>
      </c>
      <c r="G296">
        <v>190</v>
      </c>
      <c r="H296">
        <v>1.08</v>
      </c>
      <c r="I296">
        <v>-7.9999979999999998E-2</v>
      </c>
      <c r="J296">
        <v>0.48076922</v>
      </c>
    </row>
    <row r="297" spans="1:10" x14ac:dyDescent="0.3">
      <c r="A297">
        <v>295</v>
      </c>
      <c r="B297">
        <v>7372</v>
      </c>
      <c r="C297" t="b">
        <v>1</v>
      </c>
      <c r="D297">
        <v>8042</v>
      </c>
      <c r="E297">
        <v>8111</v>
      </c>
      <c r="F297">
        <v>204.4</v>
      </c>
      <c r="G297">
        <v>190.4</v>
      </c>
      <c r="H297">
        <v>1.0735294</v>
      </c>
      <c r="I297">
        <v>-7.3529415000000001E-2</v>
      </c>
      <c r="J297">
        <v>0.48226950000000002</v>
      </c>
    </row>
    <row r="298" spans="1:10" x14ac:dyDescent="0.3">
      <c r="A298">
        <v>296</v>
      </c>
      <c r="B298">
        <v>7403</v>
      </c>
      <c r="C298" t="b">
        <v>1</v>
      </c>
      <c r="D298">
        <v>8048</v>
      </c>
      <c r="E298">
        <v>8111</v>
      </c>
      <c r="F298">
        <v>203.6</v>
      </c>
      <c r="G298">
        <v>190.8</v>
      </c>
      <c r="H298">
        <v>1.067086</v>
      </c>
      <c r="I298">
        <v>-6.7085969999999995E-2</v>
      </c>
      <c r="J298">
        <v>0.48377278000000001</v>
      </c>
    </row>
    <row r="299" spans="1:10" x14ac:dyDescent="0.3">
      <c r="A299">
        <v>297</v>
      </c>
      <c r="B299">
        <v>7419</v>
      </c>
      <c r="C299" t="b">
        <v>1</v>
      </c>
      <c r="D299">
        <v>8017</v>
      </c>
      <c r="E299">
        <v>8111</v>
      </c>
      <c r="F299">
        <v>203.6</v>
      </c>
      <c r="G299">
        <v>191.2</v>
      </c>
      <c r="H299">
        <v>1.0648534999999999</v>
      </c>
      <c r="I299">
        <v>-6.4853610000000006E-2</v>
      </c>
      <c r="J299">
        <v>0.48429585000000003</v>
      </c>
    </row>
    <row r="300" spans="1:10" x14ac:dyDescent="0.3">
      <c r="A300">
        <v>298</v>
      </c>
      <c r="B300">
        <v>7435</v>
      </c>
      <c r="C300" t="b">
        <v>1</v>
      </c>
      <c r="D300">
        <v>8042</v>
      </c>
      <c r="E300">
        <v>8099</v>
      </c>
      <c r="F300">
        <v>202.8</v>
      </c>
      <c r="G300">
        <v>191.2</v>
      </c>
      <c r="H300">
        <v>1.0606694999999999</v>
      </c>
      <c r="I300">
        <v>-6.066949E-2</v>
      </c>
      <c r="J300">
        <v>0.48527916999999998</v>
      </c>
    </row>
    <row r="301" spans="1:10" x14ac:dyDescent="0.3">
      <c r="A301">
        <v>299</v>
      </c>
      <c r="B301">
        <v>7451</v>
      </c>
      <c r="C301" t="b">
        <v>1</v>
      </c>
      <c r="D301">
        <v>8060</v>
      </c>
      <c r="E301">
        <v>8117</v>
      </c>
      <c r="F301">
        <v>202</v>
      </c>
      <c r="G301">
        <v>191.2</v>
      </c>
      <c r="H301">
        <v>1.0564853999999999</v>
      </c>
      <c r="I301">
        <v>-5.6485373999999998E-2</v>
      </c>
      <c r="J301">
        <v>0.48626649999999999</v>
      </c>
    </row>
    <row r="302" spans="1:10" x14ac:dyDescent="0.3">
      <c r="A302">
        <v>300</v>
      </c>
      <c r="B302">
        <v>7483</v>
      </c>
      <c r="C302" t="b">
        <v>1</v>
      </c>
      <c r="D302">
        <v>8054</v>
      </c>
      <c r="E302">
        <v>8087</v>
      </c>
      <c r="F302">
        <v>202.4</v>
      </c>
      <c r="G302">
        <v>191.2</v>
      </c>
      <c r="H302">
        <v>1.0585773999999999</v>
      </c>
      <c r="I302">
        <v>-5.8577391999999999E-2</v>
      </c>
      <c r="J302">
        <v>0.48577237000000001</v>
      </c>
    </row>
    <row r="303" spans="1:10" x14ac:dyDescent="0.3">
      <c r="A303">
        <v>301</v>
      </c>
      <c r="B303">
        <v>7515</v>
      </c>
      <c r="C303" t="b">
        <v>1</v>
      </c>
      <c r="D303">
        <v>8030</v>
      </c>
      <c r="E303">
        <v>8093</v>
      </c>
      <c r="F303">
        <v>202.4</v>
      </c>
      <c r="G303">
        <v>190.4</v>
      </c>
      <c r="H303">
        <v>1.0630252</v>
      </c>
      <c r="I303">
        <v>-6.3025213999999996E-2</v>
      </c>
      <c r="J303">
        <v>0.48472505999999999</v>
      </c>
    </row>
    <row r="304" spans="1:10" x14ac:dyDescent="0.3">
      <c r="A304">
        <v>302</v>
      </c>
      <c r="B304">
        <v>7546</v>
      </c>
      <c r="C304" t="b">
        <v>1</v>
      </c>
      <c r="D304">
        <v>8030</v>
      </c>
      <c r="E304">
        <v>8087</v>
      </c>
      <c r="F304">
        <v>202.4</v>
      </c>
      <c r="G304">
        <v>190</v>
      </c>
      <c r="H304">
        <v>1.0652632</v>
      </c>
      <c r="I304">
        <v>-6.5263119999999994E-2</v>
      </c>
      <c r="J304">
        <v>0.48419980000000001</v>
      </c>
    </row>
    <row r="305" spans="1:10" x14ac:dyDescent="0.3">
      <c r="A305">
        <v>303</v>
      </c>
      <c r="B305">
        <v>7578</v>
      </c>
      <c r="C305" t="b">
        <v>1</v>
      </c>
      <c r="D305">
        <v>8037</v>
      </c>
      <c r="E305">
        <v>8117</v>
      </c>
      <c r="F305">
        <v>202.06666999999999</v>
      </c>
      <c r="G305">
        <v>189.6</v>
      </c>
      <c r="H305">
        <v>1.0657524</v>
      </c>
      <c r="I305">
        <v>-6.5752424000000004E-2</v>
      </c>
      <c r="J305">
        <v>0.48408508</v>
      </c>
    </row>
    <row r="306" spans="1:10" x14ac:dyDescent="0.3">
      <c r="A306">
        <v>304</v>
      </c>
      <c r="B306">
        <v>7594</v>
      </c>
      <c r="C306" t="b">
        <v>1</v>
      </c>
      <c r="D306">
        <v>8030</v>
      </c>
      <c r="E306">
        <v>8099</v>
      </c>
      <c r="F306">
        <v>201.26666</v>
      </c>
      <c r="G306">
        <v>189.6</v>
      </c>
      <c r="H306">
        <v>1.0615330000000001</v>
      </c>
      <c r="I306">
        <v>-6.1532996999999999E-2</v>
      </c>
      <c r="J306">
        <v>0.48507591999999999</v>
      </c>
    </row>
    <row r="307" spans="1:10" x14ac:dyDescent="0.3">
      <c r="A307">
        <v>305</v>
      </c>
      <c r="B307">
        <v>7610</v>
      </c>
      <c r="C307" t="b">
        <v>1</v>
      </c>
      <c r="D307">
        <v>8042</v>
      </c>
      <c r="E307">
        <v>8105</v>
      </c>
      <c r="F307">
        <v>200.46665999999999</v>
      </c>
      <c r="G307">
        <v>190</v>
      </c>
      <c r="H307">
        <v>1.0550877000000001</v>
      </c>
      <c r="I307">
        <v>-5.508768E-2</v>
      </c>
      <c r="J307">
        <v>0.48659720000000001</v>
      </c>
    </row>
    <row r="308" spans="1:10" x14ac:dyDescent="0.3">
      <c r="A308">
        <v>306</v>
      </c>
      <c r="B308">
        <v>7642</v>
      </c>
      <c r="C308" t="b">
        <v>1</v>
      </c>
      <c r="D308">
        <v>8060</v>
      </c>
      <c r="E308">
        <v>8140</v>
      </c>
      <c r="F308">
        <v>200.13333</v>
      </c>
      <c r="G308">
        <v>190.4</v>
      </c>
      <c r="H308">
        <v>1.0511204999999999</v>
      </c>
      <c r="I308">
        <v>-5.1120470000000001E-2</v>
      </c>
      <c r="J308">
        <v>0.48753839999999998</v>
      </c>
    </row>
    <row r="309" spans="1:10" x14ac:dyDescent="0.3">
      <c r="A309">
        <v>307</v>
      </c>
      <c r="B309">
        <v>7658</v>
      </c>
      <c r="C309" t="b">
        <v>1</v>
      </c>
      <c r="D309">
        <v>8054</v>
      </c>
      <c r="E309">
        <v>8117</v>
      </c>
      <c r="F309">
        <v>200.13333</v>
      </c>
      <c r="G309">
        <v>190.8</v>
      </c>
      <c r="H309">
        <v>1.0489168</v>
      </c>
      <c r="I309">
        <v>-4.8916813000000003E-2</v>
      </c>
      <c r="J309">
        <v>0.48806273999999999</v>
      </c>
    </row>
    <row r="310" spans="1:10" x14ac:dyDescent="0.3">
      <c r="A310">
        <v>308</v>
      </c>
      <c r="B310">
        <v>7673</v>
      </c>
      <c r="C310" t="b">
        <v>1</v>
      </c>
      <c r="D310">
        <v>8054</v>
      </c>
      <c r="E310">
        <v>8123</v>
      </c>
      <c r="F310">
        <v>200.93333000000001</v>
      </c>
      <c r="G310">
        <v>191.2</v>
      </c>
      <c r="H310">
        <v>1.0509065</v>
      </c>
      <c r="I310">
        <v>-5.0906576000000002E-2</v>
      </c>
      <c r="J310">
        <v>0.48758923999999998</v>
      </c>
    </row>
    <row r="311" spans="1:10" x14ac:dyDescent="0.3">
      <c r="A311">
        <v>309</v>
      </c>
      <c r="B311">
        <v>7705</v>
      </c>
      <c r="C311" t="b">
        <v>1</v>
      </c>
      <c r="D311">
        <v>8042</v>
      </c>
      <c r="E311">
        <v>8111</v>
      </c>
      <c r="F311">
        <v>201.73334</v>
      </c>
      <c r="G311">
        <v>191.6</v>
      </c>
      <c r="H311">
        <v>1.0528879</v>
      </c>
      <c r="I311">
        <v>-5.2887950000000003E-2</v>
      </c>
      <c r="J311">
        <v>0.48711865999999998</v>
      </c>
    </row>
    <row r="312" spans="1:10" x14ac:dyDescent="0.3">
      <c r="A312">
        <v>310</v>
      </c>
      <c r="B312">
        <v>7737</v>
      </c>
      <c r="C312" t="b">
        <v>1</v>
      </c>
      <c r="D312">
        <v>8054</v>
      </c>
      <c r="E312">
        <v>8105</v>
      </c>
      <c r="F312">
        <v>202.53334000000001</v>
      </c>
      <c r="G312">
        <v>192</v>
      </c>
      <c r="H312">
        <v>1.0548611999999999</v>
      </c>
      <c r="I312">
        <v>-5.4861146999999999E-2</v>
      </c>
      <c r="J312">
        <v>0.4866509</v>
      </c>
    </row>
    <row r="313" spans="1:10" x14ac:dyDescent="0.3">
      <c r="A313">
        <v>311</v>
      </c>
      <c r="B313">
        <v>7753</v>
      </c>
      <c r="C313" t="b">
        <v>1</v>
      </c>
      <c r="D313">
        <v>8048</v>
      </c>
      <c r="E313">
        <v>8093</v>
      </c>
      <c r="F313">
        <v>203.33332999999999</v>
      </c>
      <c r="G313">
        <v>192</v>
      </c>
      <c r="H313">
        <v>1.0590278</v>
      </c>
      <c r="I313">
        <v>-5.9027749999999997E-2</v>
      </c>
      <c r="J313">
        <v>0.48566612999999997</v>
      </c>
    </row>
    <row r="314" spans="1:10" x14ac:dyDescent="0.3">
      <c r="A314">
        <v>312</v>
      </c>
      <c r="B314">
        <v>7769</v>
      </c>
      <c r="C314" t="b">
        <v>1</v>
      </c>
      <c r="D314">
        <v>8037</v>
      </c>
      <c r="E314">
        <v>8087</v>
      </c>
      <c r="F314">
        <v>203.73334</v>
      </c>
      <c r="G314">
        <v>191.6</v>
      </c>
      <c r="H314">
        <v>1.0633264</v>
      </c>
      <c r="I314">
        <v>-6.3326359999999998E-2</v>
      </c>
      <c r="J314">
        <v>0.48465429999999998</v>
      </c>
    </row>
    <row r="315" spans="1:10" x14ac:dyDescent="0.3">
      <c r="A315">
        <v>313</v>
      </c>
      <c r="B315">
        <v>7801</v>
      </c>
      <c r="C315" t="b">
        <v>1</v>
      </c>
      <c r="D315">
        <v>8054</v>
      </c>
      <c r="E315">
        <v>8099</v>
      </c>
      <c r="F315">
        <v>204.13333</v>
      </c>
      <c r="G315">
        <v>190.8</v>
      </c>
      <c r="H315">
        <v>1.0698812</v>
      </c>
      <c r="I315">
        <v>-6.9881170000000006E-2</v>
      </c>
      <c r="J315">
        <v>0.48311949999999998</v>
      </c>
    </row>
    <row r="316" spans="1:10" x14ac:dyDescent="0.3">
      <c r="A316">
        <v>314</v>
      </c>
      <c r="B316">
        <v>7832</v>
      </c>
      <c r="C316" t="b">
        <v>1</v>
      </c>
      <c r="D316">
        <v>8048</v>
      </c>
      <c r="E316">
        <v>8117</v>
      </c>
      <c r="F316">
        <v>204.53334000000001</v>
      </c>
      <c r="G316">
        <v>190</v>
      </c>
      <c r="H316">
        <v>1.0764912</v>
      </c>
      <c r="I316">
        <v>-7.649127E-2</v>
      </c>
      <c r="J316">
        <v>0.48158162999999998</v>
      </c>
    </row>
    <row r="317" spans="1:10" x14ac:dyDescent="0.3">
      <c r="A317">
        <v>315</v>
      </c>
      <c r="B317">
        <v>7864</v>
      </c>
      <c r="C317" t="b">
        <v>1</v>
      </c>
      <c r="D317">
        <v>8037</v>
      </c>
      <c r="E317">
        <v>8111</v>
      </c>
      <c r="F317">
        <v>204.53334000000001</v>
      </c>
      <c r="G317">
        <v>189.2</v>
      </c>
      <c r="H317">
        <v>1.081043</v>
      </c>
      <c r="I317">
        <v>-8.1043039999999997E-2</v>
      </c>
      <c r="J317">
        <v>0.48052826999999998</v>
      </c>
    </row>
    <row r="318" spans="1:10" x14ac:dyDescent="0.3">
      <c r="A318">
        <v>316</v>
      </c>
      <c r="B318">
        <v>7895</v>
      </c>
      <c r="C318" t="b">
        <v>1</v>
      </c>
      <c r="D318">
        <v>8037</v>
      </c>
      <c r="E318">
        <v>8105</v>
      </c>
      <c r="F318">
        <v>204.2</v>
      </c>
      <c r="G318">
        <v>189.6</v>
      </c>
      <c r="H318">
        <v>1.0770042</v>
      </c>
      <c r="I318">
        <v>-7.7004169999999997E-2</v>
      </c>
      <c r="J318">
        <v>0.48146270000000002</v>
      </c>
    </row>
    <row r="319" spans="1:10" x14ac:dyDescent="0.3">
      <c r="A319">
        <v>317</v>
      </c>
      <c r="B319">
        <v>7911</v>
      </c>
      <c r="C319" t="b">
        <v>1</v>
      </c>
      <c r="D319">
        <v>8042</v>
      </c>
      <c r="E319">
        <v>8099</v>
      </c>
      <c r="F319">
        <v>204.2</v>
      </c>
      <c r="G319">
        <v>190.4</v>
      </c>
      <c r="H319">
        <v>1.072479</v>
      </c>
      <c r="I319">
        <v>-7.2479009999999996E-2</v>
      </c>
      <c r="J319">
        <v>0.48251396000000002</v>
      </c>
    </row>
    <row r="320" spans="1:10" x14ac:dyDescent="0.3">
      <c r="A320">
        <v>318</v>
      </c>
      <c r="B320">
        <v>7927</v>
      </c>
      <c r="C320" t="b">
        <v>1</v>
      </c>
      <c r="D320">
        <v>8048</v>
      </c>
      <c r="E320">
        <v>8105</v>
      </c>
      <c r="F320">
        <v>204.53334000000001</v>
      </c>
      <c r="G320">
        <v>191.2</v>
      </c>
      <c r="H320">
        <v>1.0697350000000001</v>
      </c>
      <c r="I320">
        <v>-6.9735060000000001E-2</v>
      </c>
      <c r="J320">
        <v>0.48315360000000002</v>
      </c>
    </row>
    <row r="321" spans="1:10" x14ac:dyDescent="0.3">
      <c r="A321">
        <v>319</v>
      </c>
      <c r="B321">
        <v>7958</v>
      </c>
      <c r="C321" t="b">
        <v>1</v>
      </c>
      <c r="D321">
        <v>8048</v>
      </c>
      <c r="E321">
        <v>8123</v>
      </c>
      <c r="F321">
        <v>205.33332999999999</v>
      </c>
      <c r="G321">
        <v>192</v>
      </c>
      <c r="H321">
        <v>1.0694444000000001</v>
      </c>
      <c r="I321">
        <v>-6.9444420000000007E-2</v>
      </c>
      <c r="J321">
        <v>0.48322150000000003</v>
      </c>
    </row>
    <row r="322" spans="1:10" x14ac:dyDescent="0.3">
      <c r="A322">
        <v>320</v>
      </c>
      <c r="B322">
        <v>7974</v>
      </c>
      <c r="C322" t="b">
        <v>1</v>
      </c>
      <c r="D322">
        <v>8060</v>
      </c>
      <c r="E322">
        <v>8099</v>
      </c>
      <c r="F322">
        <v>206.53334000000001</v>
      </c>
      <c r="G322">
        <v>192.4</v>
      </c>
      <c r="H322">
        <v>1.0734581999999999</v>
      </c>
      <c r="I322">
        <v>-7.3458140000000005E-2</v>
      </c>
      <c r="J322">
        <v>0.48228607000000001</v>
      </c>
    </row>
    <row r="323" spans="1:10" x14ac:dyDescent="0.3">
      <c r="A323">
        <v>321</v>
      </c>
      <c r="B323">
        <v>8006</v>
      </c>
      <c r="C323" t="b">
        <v>1</v>
      </c>
      <c r="D323">
        <v>8054</v>
      </c>
      <c r="E323">
        <v>8105</v>
      </c>
      <c r="F323">
        <v>207.26666</v>
      </c>
      <c r="G323">
        <v>192.4</v>
      </c>
      <c r="H323">
        <v>1.0772695999999999</v>
      </c>
      <c r="I323">
        <v>-7.7269589999999999E-2</v>
      </c>
      <c r="J323">
        <v>0.48140117999999998</v>
      </c>
    </row>
    <row r="324" spans="1:10" x14ac:dyDescent="0.3">
      <c r="A324">
        <v>322</v>
      </c>
      <c r="B324">
        <v>8022</v>
      </c>
      <c r="C324" t="b">
        <v>1</v>
      </c>
      <c r="D324">
        <v>8054</v>
      </c>
      <c r="E324">
        <v>8099</v>
      </c>
      <c r="F324">
        <v>208.06666999999999</v>
      </c>
      <c r="G324">
        <v>191.6</v>
      </c>
      <c r="H324">
        <v>1.0859429</v>
      </c>
      <c r="I324">
        <v>-8.5942894000000006E-2</v>
      </c>
      <c r="J324">
        <v>0.47939949999999998</v>
      </c>
    </row>
    <row r="325" spans="1:10" x14ac:dyDescent="0.3">
      <c r="A325">
        <v>323</v>
      </c>
      <c r="B325">
        <v>8038</v>
      </c>
      <c r="C325" t="b">
        <v>1</v>
      </c>
      <c r="D325">
        <v>8037</v>
      </c>
      <c r="E325">
        <v>8140</v>
      </c>
      <c r="F325">
        <v>208.06666999999999</v>
      </c>
      <c r="G325">
        <v>190.8</v>
      </c>
      <c r="H325">
        <v>1.0904962</v>
      </c>
      <c r="I325">
        <v>-9.0496129999999994E-2</v>
      </c>
      <c r="J325">
        <v>0.47835535000000001</v>
      </c>
    </row>
    <row r="326" spans="1:10" x14ac:dyDescent="0.3">
      <c r="A326">
        <v>324</v>
      </c>
      <c r="B326">
        <v>8070</v>
      </c>
      <c r="C326" t="b">
        <v>1</v>
      </c>
      <c r="D326">
        <v>8054</v>
      </c>
      <c r="E326">
        <v>8105</v>
      </c>
      <c r="F326">
        <v>208.06666999999999</v>
      </c>
      <c r="G326">
        <v>190</v>
      </c>
      <c r="H326">
        <v>1.0950877999999999</v>
      </c>
      <c r="I326">
        <v>-9.5087714000000004E-2</v>
      </c>
      <c r="J326">
        <v>0.47730699999999998</v>
      </c>
    </row>
    <row r="327" spans="1:10" x14ac:dyDescent="0.3">
      <c r="A327">
        <v>325</v>
      </c>
      <c r="B327">
        <v>8101</v>
      </c>
      <c r="C327" t="b">
        <v>1</v>
      </c>
      <c r="D327">
        <v>8048</v>
      </c>
      <c r="E327">
        <v>8111</v>
      </c>
      <c r="F327">
        <v>208.06666999999999</v>
      </c>
      <c r="G327">
        <v>189.2</v>
      </c>
      <c r="H327">
        <v>1.0997181</v>
      </c>
      <c r="I327">
        <v>-9.9718119999999993E-2</v>
      </c>
      <c r="J327">
        <v>0.47625440000000002</v>
      </c>
    </row>
    <row r="328" spans="1:10" x14ac:dyDescent="0.3">
      <c r="A328">
        <v>326</v>
      </c>
      <c r="B328">
        <v>8132</v>
      </c>
      <c r="C328" t="b">
        <v>1</v>
      </c>
      <c r="D328">
        <v>8054</v>
      </c>
      <c r="E328">
        <v>8146</v>
      </c>
      <c r="F328">
        <v>208.06666999999999</v>
      </c>
      <c r="G328">
        <v>189.2</v>
      </c>
      <c r="H328">
        <v>1.0997181</v>
      </c>
      <c r="I328">
        <v>-9.9718119999999993E-2</v>
      </c>
      <c r="J328">
        <v>0.47625440000000002</v>
      </c>
    </row>
    <row r="329" spans="1:10" x14ac:dyDescent="0.3">
      <c r="A329">
        <v>327</v>
      </c>
      <c r="B329">
        <v>8164</v>
      </c>
      <c r="C329" t="b">
        <v>1</v>
      </c>
      <c r="D329">
        <v>8037</v>
      </c>
      <c r="E329">
        <v>8111</v>
      </c>
      <c r="F329">
        <v>208.06666999999999</v>
      </c>
      <c r="G329">
        <v>189.6</v>
      </c>
      <c r="H329">
        <v>1.0973980000000001</v>
      </c>
      <c r="I329">
        <v>-9.7397990000000004E-2</v>
      </c>
      <c r="J329">
        <v>0.47678122000000001</v>
      </c>
    </row>
    <row r="330" spans="1:10" x14ac:dyDescent="0.3">
      <c r="A330">
        <v>328</v>
      </c>
      <c r="B330">
        <v>8196</v>
      </c>
      <c r="C330" t="b">
        <v>1</v>
      </c>
      <c r="D330">
        <v>8048</v>
      </c>
      <c r="E330">
        <v>8123</v>
      </c>
      <c r="F330">
        <v>208.06666999999999</v>
      </c>
      <c r="G330">
        <v>190.4</v>
      </c>
      <c r="H330">
        <v>1.0927871</v>
      </c>
      <c r="I330">
        <v>-9.2787149999999999E-2</v>
      </c>
      <c r="J330">
        <v>0.47783165999999999</v>
      </c>
    </row>
    <row r="331" spans="1:10" x14ac:dyDescent="0.3">
      <c r="A331">
        <v>329</v>
      </c>
      <c r="B331">
        <v>8228</v>
      </c>
      <c r="C331" t="b">
        <v>1</v>
      </c>
      <c r="D331">
        <v>8048</v>
      </c>
      <c r="E331">
        <v>8087</v>
      </c>
      <c r="F331">
        <v>208.06666999999999</v>
      </c>
      <c r="G331">
        <v>191.2</v>
      </c>
      <c r="H331">
        <v>1.0882148</v>
      </c>
      <c r="I331">
        <v>-8.8214790000000001E-2</v>
      </c>
      <c r="J331">
        <v>0.47887793000000001</v>
      </c>
    </row>
    <row r="332" spans="1:10" x14ac:dyDescent="0.3">
      <c r="A332">
        <v>330</v>
      </c>
      <c r="B332">
        <v>8259</v>
      </c>
      <c r="C332" t="b">
        <v>1</v>
      </c>
      <c r="D332">
        <v>8060</v>
      </c>
      <c r="E332">
        <v>8111</v>
      </c>
      <c r="F332">
        <v>208.06666999999999</v>
      </c>
      <c r="G332">
        <v>192</v>
      </c>
      <c r="H332">
        <v>1.0836805</v>
      </c>
      <c r="I332">
        <v>-8.3680550000000006E-2</v>
      </c>
      <c r="J332">
        <v>0.47992003</v>
      </c>
    </row>
    <row r="333" spans="1:10" x14ac:dyDescent="0.3">
      <c r="A333">
        <v>331</v>
      </c>
      <c r="B333">
        <v>8291</v>
      </c>
      <c r="C333" t="b">
        <v>1</v>
      </c>
      <c r="D333">
        <v>8037</v>
      </c>
      <c r="E333">
        <v>8093</v>
      </c>
      <c r="F333">
        <v>208.8</v>
      </c>
      <c r="G333">
        <v>192.4</v>
      </c>
      <c r="H333">
        <v>1.0852392</v>
      </c>
      <c r="I333">
        <v>-8.5239134999999994E-2</v>
      </c>
      <c r="J333">
        <v>0.47956130000000002</v>
      </c>
    </row>
    <row r="334" spans="1:10" x14ac:dyDescent="0.3">
      <c r="A334">
        <v>332</v>
      </c>
      <c r="B334">
        <v>8322</v>
      </c>
      <c r="C334" t="b">
        <v>1</v>
      </c>
      <c r="D334">
        <v>8037</v>
      </c>
      <c r="E334">
        <v>8129</v>
      </c>
      <c r="F334">
        <v>209.2</v>
      </c>
      <c r="G334">
        <v>192.8</v>
      </c>
      <c r="H334">
        <v>1.0850622999999999</v>
      </c>
      <c r="I334">
        <v>-8.5062206000000001E-2</v>
      </c>
      <c r="J334">
        <v>0.47960199999999997</v>
      </c>
    </row>
    <row r="335" spans="1:10" x14ac:dyDescent="0.3">
      <c r="A335">
        <v>333</v>
      </c>
      <c r="B335">
        <v>8354</v>
      </c>
      <c r="C335" t="b">
        <v>1</v>
      </c>
      <c r="D335">
        <v>8042</v>
      </c>
      <c r="E335">
        <v>8123</v>
      </c>
      <c r="F335">
        <v>209.2</v>
      </c>
      <c r="G335">
        <v>193.2</v>
      </c>
      <c r="H335">
        <v>1.0828158000000001</v>
      </c>
      <c r="I335">
        <v>-8.2815739999999999E-2</v>
      </c>
      <c r="J335">
        <v>0.48011930000000003</v>
      </c>
    </row>
    <row r="336" spans="1:10" x14ac:dyDescent="0.3">
      <c r="A336">
        <v>334</v>
      </c>
      <c r="B336">
        <v>8386</v>
      </c>
      <c r="C336" t="b">
        <v>1</v>
      </c>
      <c r="D336">
        <v>8048</v>
      </c>
      <c r="E336">
        <v>8140</v>
      </c>
      <c r="F336">
        <v>209.2</v>
      </c>
      <c r="G336">
        <v>194.4</v>
      </c>
      <c r="H336">
        <v>1.0761316999999999</v>
      </c>
      <c r="I336">
        <v>-7.6131710000000005E-2</v>
      </c>
      <c r="J336">
        <v>0.48166502</v>
      </c>
    </row>
    <row r="337" spans="1:10" x14ac:dyDescent="0.3">
      <c r="A337">
        <v>335</v>
      </c>
      <c r="B337">
        <v>8417</v>
      </c>
      <c r="C337" t="b">
        <v>1</v>
      </c>
      <c r="D337">
        <v>8037</v>
      </c>
      <c r="E337">
        <v>8111</v>
      </c>
      <c r="F337">
        <v>208.46665999999999</v>
      </c>
      <c r="G337">
        <v>195.6</v>
      </c>
      <c r="H337">
        <v>1.0657804</v>
      </c>
      <c r="I337">
        <v>-6.5780439999999996E-2</v>
      </c>
      <c r="J337">
        <v>0.48407855999999999</v>
      </c>
    </row>
    <row r="338" spans="1:10" x14ac:dyDescent="0.3">
      <c r="A338">
        <v>336</v>
      </c>
      <c r="B338">
        <v>8449</v>
      </c>
      <c r="C338" t="b">
        <v>1</v>
      </c>
      <c r="D338">
        <v>8048</v>
      </c>
      <c r="E338">
        <v>8111</v>
      </c>
      <c r="F338">
        <v>208.06666999999999</v>
      </c>
      <c r="G338">
        <v>196.8</v>
      </c>
      <c r="H338">
        <v>1.0572493000000001</v>
      </c>
      <c r="I338">
        <v>-5.7249300000000003E-2</v>
      </c>
      <c r="J338">
        <v>0.48608594999999999</v>
      </c>
    </row>
    <row r="339" spans="1:10" x14ac:dyDescent="0.3">
      <c r="A339">
        <v>337</v>
      </c>
      <c r="B339">
        <v>8479</v>
      </c>
      <c r="C339" t="b">
        <v>1</v>
      </c>
      <c r="D339">
        <v>8037</v>
      </c>
      <c r="E339">
        <v>8093</v>
      </c>
      <c r="F339">
        <v>207.26666</v>
      </c>
      <c r="G339">
        <v>197.2</v>
      </c>
      <c r="H339">
        <v>1.051048</v>
      </c>
      <c r="I339">
        <v>-5.1048000000000003E-2</v>
      </c>
      <c r="J339">
        <v>0.48755562000000002</v>
      </c>
    </row>
    <row r="340" spans="1:10" x14ac:dyDescent="0.3">
      <c r="A340">
        <v>338</v>
      </c>
      <c r="B340">
        <v>8512</v>
      </c>
      <c r="C340" t="b">
        <v>1</v>
      </c>
      <c r="D340">
        <v>8030</v>
      </c>
      <c r="E340">
        <v>8093</v>
      </c>
      <c r="F340">
        <v>206.13333</v>
      </c>
      <c r="G340">
        <v>197.6</v>
      </c>
      <c r="H340">
        <v>1.0431849</v>
      </c>
      <c r="I340">
        <v>-4.3184843000000001E-2</v>
      </c>
      <c r="J340">
        <v>0.48943197999999999</v>
      </c>
    </row>
    <row r="341" spans="1:10" x14ac:dyDescent="0.3">
      <c r="A341">
        <v>339</v>
      </c>
      <c r="B341">
        <v>8543</v>
      </c>
      <c r="C341" t="b">
        <v>1</v>
      </c>
      <c r="D341">
        <v>8048</v>
      </c>
      <c r="E341">
        <v>8111</v>
      </c>
      <c r="F341">
        <v>205</v>
      </c>
      <c r="G341">
        <v>198</v>
      </c>
      <c r="H341">
        <v>1.0353535</v>
      </c>
      <c r="I341">
        <v>-3.5353533999999999E-2</v>
      </c>
      <c r="J341">
        <v>0.49131512999999999</v>
      </c>
    </row>
    <row r="342" spans="1:10" x14ac:dyDescent="0.3">
      <c r="A342">
        <v>340</v>
      </c>
      <c r="B342">
        <v>8574</v>
      </c>
      <c r="C342" t="b">
        <v>1</v>
      </c>
      <c r="D342">
        <v>8017</v>
      </c>
      <c r="E342">
        <v>8129</v>
      </c>
      <c r="F342">
        <v>203.86667</v>
      </c>
      <c r="G342">
        <v>198.4</v>
      </c>
      <c r="H342">
        <v>1.0275538</v>
      </c>
      <c r="I342">
        <v>-2.7553806E-2</v>
      </c>
      <c r="J342">
        <v>0.49320515999999998</v>
      </c>
    </row>
    <row r="343" spans="1:10" x14ac:dyDescent="0.3">
      <c r="A343">
        <v>341</v>
      </c>
      <c r="B343">
        <v>8606</v>
      </c>
      <c r="C343" t="b">
        <v>1</v>
      </c>
      <c r="D343">
        <v>8037</v>
      </c>
      <c r="E343">
        <v>8111</v>
      </c>
      <c r="F343">
        <v>202.73334</v>
      </c>
      <c r="G343">
        <v>198.4</v>
      </c>
      <c r="H343">
        <v>1.0218414</v>
      </c>
      <c r="I343">
        <v>-2.1841449999999998E-2</v>
      </c>
      <c r="J343">
        <v>0.49459862999999998</v>
      </c>
    </row>
    <row r="344" spans="1:10" x14ac:dyDescent="0.3">
      <c r="A344">
        <v>342</v>
      </c>
      <c r="B344">
        <v>8622</v>
      </c>
      <c r="C344" t="b">
        <v>1</v>
      </c>
      <c r="D344">
        <v>8042</v>
      </c>
      <c r="E344">
        <v>8099</v>
      </c>
      <c r="F344">
        <v>202</v>
      </c>
      <c r="G344">
        <v>198.4</v>
      </c>
      <c r="H344">
        <v>1.0181452</v>
      </c>
      <c r="I344">
        <v>-1.8145192000000001E-2</v>
      </c>
      <c r="J344">
        <v>0.49550450000000001</v>
      </c>
    </row>
    <row r="345" spans="1:10" x14ac:dyDescent="0.3">
      <c r="A345">
        <v>343</v>
      </c>
      <c r="B345">
        <v>8638</v>
      </c>
      <c r="C345" t="b">
        <v>1</v>
      </c>
      <c r="D345">
        <v>8037</v>
      </c>
      <c r="E345">
        <v>8134</v>
      </c>
      <c r="F345">
        <v>201.26666</v>
      </c>
      <c r="G345">
        <v>198.4</v>
      </c>
      <c r="H345">
        <v>1.0144489000000001</v>
      </c>
      <c r="I345">
        <v>-1.4448935E-2</v>
      </c>
      <c r="J345">
        <v>0.49641368000000002</v>
      </c>
    </row>
    <row r="346" spans="1:10" x14ac:dyDescent="0.3">
      <c r="A346">
        <v>344</v>
      </c>
      <c r="B346">
        <v>8669</v>
      </c>
      <c r="C346" t="b">
        <v>1</v>
      </c>
      <c r="D346">
        <v>8042</v>
      </c>
      <c r="E346">
        <v>8087</v>
      </c>
      <c r="F346">
        <v>200.53334000000001</v>
      </c>
      <c r="G346">
        <v>198.4</v>
      </c>
      <c r="H346">
        <v>1.0107527999999999</v>
      </c>
      <c r="I346">
        <v>-1.0752754999999999E-2</v>
      </c>
      <c r="J346">
        <v>0.49732617000000001</v>
      </c>
    </row>
    <row r="347" spans="1:10" x14ac:dyDescent="0.3">
      <c r="A347">
        <v>345</v>
      </c>
      <c r="B347">
        <v>8701</v>
      </c>
      <c r="C347" t="b">
        <v>1</v>
      </c>
      <c r="D347">
        <v>8060</v>
      </c>
      <c r="E347">
        <v>8105</v>
      </c>
      <c r="F347">
        <v>200.13333</v>
      </c>
      <c r="G347">
        <v>198</v>
      </c>
      <c r="H347">
        <v>1.0107744000000001</v>
      </c>
      <c r="I347">
        <v>-1.07744E-2</v>
      </c>
      <c r="J347">
        <v>0.49732082999999999</v>
      </c>
    </row>
    <row r="348" spans="1:10" x14ac:dyDescent="0.3">
      <c r="A348">
        <v>346</v>
      </c>
      <c r="B348">
        <v>8732</v>
      </c>
      <c r="C348" t="b">
        <v>1</v>
      </c>
      <c r="D348">
        <v>8042</v>
      </c>
      <c r="E348">
        <v>8123</v>
      </c>
      <c r="F348">
        <v>199.73334</v>
      </c>
      <c r="G348">
        <v>197.6</v>
      </c>
      <c r="H348">
        <v>1.0107961999999999</v>
      </c>
      <c r="I348">
        <v>-1.0796211E-2</v>
      </c>
      <c r="J348">
        <v>0.49731544</v>
      </c>
    </row>
    <row r="349" spans="1:10" x14ac:dyDescent="0.3">
      <c r="A349">
        <v>347</v>
      </c>
      <c r="B349">
        <v>8764</v>
      </c>
      <c r="C349" t="b">
        <v>1</v>
      </c>
      <c r="D349">
        <v>8054</v>
      </c>
      <c r="E349">
        <v>8117</v>
      </c>
      <c r="F349">
        <v>199.33332999999999</v>
      </c>
      <c r="G349">
        <v>198</v>
      </c>
      <c r="H349">
        <v>1.006734</v>
      </c>
      <c r="I349">
        <v>-6.733981E-3</v>
      </c>
      <c r="J349">
        <v>0.49832216000000001</v>
      </c>
    </row>
    <row r="350" spans="1:10" x14ac:dyDescent="0.3">
      <c r="A350">
        <v>348</v>
      </c>
      <c r="B350">
        <v>8795</v>
      </c>
      <c r="C350" t="b">
        <v>1</v>
      </c>
      <c r="D350">
        <v>8037</v>
      </c>
      <c r="E350">
        <v>8111</v>
      </c>
      <c r="F350">
        <v>199.33332999999999</v>
      </c>
      <c r="G350">
        <v>198</v>
      </c>
      <c r="H350">
        <v>1.006734</v>
      </c>
      <c r="I350">
        <v>-6.733981E-3</v>
      </c>
      <c r="J350">
        <v>0.49832216000000001</v>
      </c>
    </row>
    <row r="351" spans="1:10" x14ac:dyDescent="0.3">
      <c r="A351">
        <v>349</v>
      </c>
      <c r="B351">
        <v>8811</v>
      </c>
      <c r="C351" t="b">
        <v>1</v>
      </c>
      <c r="D351">
        <v>8065</v>
      </c>
      <c r="E351">
        <v>8134</v>
      </c>
      <c r="F351">
        <v>200.13333</v>
      </c>
      <c r="G351">
        <v>197.6</v>
      </c>
      <c r="H351">
        <v>1.0128204999999999</v>
      </c>
      <c r="I351">
        <v>-1.2820471E-2</v>
      </c>
      <c r="J351">
        <v>0.49681530000000002</v>
      </c>
    </row>
    <row r="352" spans="1:10" x14ac:dyDescent="0.3">
      <c r="A352">
        <v>350</v>
      </c>
      <c r="B352">
        <v>8842</v>
      </c>
      <c r="C352" t="b">
        <v>1</v>
      </c>
      <c r="D352">
        <v>8030</v>
      </c>
      <c r="E352">
        <v>8111</v>
      </c>
      <c r="F352">
        <v>200.46665999999999</v>
      </c>
      <c r="G352">
        <v>197.2</v>
      </c>
      <c r="H352">
        <v>1.0165652000000001</v>
      </c>
      <c r="I352">
        <v>-1.6565225999999999E-2</v>
      </c>
      <c r="J352">
        <v>0.49589270000000002</v>
      </c>
    </row>
    <row r="353" spans="1:10" x14ac:dyDescent="0.3">
      <c r="A353">
        <v>351</v>
      </c>
      <c r="B353">
        <v>8873</v>
      </c>
      <c r="C353" t="b">
        <v>1</v>
      </c>
      <c r="D353">
        <v>8042</v>
      </c>
      <c r="E353">
        <v>8123</v>
      </c>
      <c r="F353">
        <v>200.46665999999999</v>
      </c>
      <c r="G353">
        <v>196.8</v>
      </c>
      <c r="H353">
        <v>1.0186313</v>
      </c>
      <c r="I353">
        <v>-1.8631384000000001E-2</v>
      </c>
      <c r="J353">
        <v>0.49538514</v>
      </c>
    </row>
    <row r="354" spans="1:10" x14ac:dyDescent="0.3">
      <c r="A354">
        <v>352</v>
      </c>
      <c r="B354">
        <v>8889</v>
      </c>
      <c r="C354" t="b">
        <v>1</v>
      </c>
      <c r="D354">
        <v>8042</v>
      </c>
      <c r="E354">
        <v>8117</v>
      </c>
      <c r="F354">
        <v>200.46665999999999</v>
      </c>
      <c r="G354">
        <v>197.2</v>
      </c>
      <c r="H354">
        <v>1.0165652000000001</v>
      </c>
      <c r="I354">
        <v>-1.6565225999999999E-2</v>
      </c>
      <c r="J354">
        <v>0.49589270000000002</v>
      </c>
    </row>
    <row r="355" spans="1:10" x14ac:dyDescent="0.3">
      <c r="A355">
        <v>353</v>
      </c>
      <c r="B355">
        <v>8904</v>
      </c>
      <c r="C355" t="b">
        <v>1</v>
      </c>
      <c r="D355">
        <v>8060</v>
      </c>
      <c r="E355">
        <v>8134</v>
      </c>
      <c r="F355">
        <v>200.8</v>
      </c>
      <c r="G355">
        <v>198</v>
      </c>
      <c r="H355">
        <v>1.0141414</v>
      </c>
      <c r="I355">
        <v>-1.4141429E-2</v>
      </c>
      <c r="J355">
        <v>0.49648949999999997</v>
      </c>
    </row>
    <row r="356" spans="1:10" x14ac:dyDescent="0.3">
      <c r="A356">
        <v>354</v>
      </c>
      <c r="B356">
        <v>8920</v>
      </c>
      <c r="C356" t="b">
        <v>1</v>
      </c>
      <c r="D356">
        <v>8030</v>
      </c>
      <c r="E356">
        <v>8129</v>
      </c>
      <c r="F356">
        <v>201.13333</v>
      </c>
      <c r="G356">
        <v>198.8</v>
      </c>
      <c r="H356">
        <v>1.0117370999999999</v>
      </c>
      <c r="I356">
        <v>-1.17370635E-2</v>
      </c>
      <c r="J356">
        <v>0.49708282999999998</v>
      </c>
    </row>
    <row r="357" spans="1:10" x14ac:dyDescent="0.3">
      <c r="A357">
        <v>355</v>
      </c>
      <c r="B357">
        <v>8936</v>
      </c>
      <c r="C357" t="b">
        <v>1</v>
      </c>
      <c r="D357">
        <v>8042</v>
      </c>
      <c r="E357">
        <v>8099</v>
      </c>
      <c r="F357">
        <v>201.46665999999999</v>
      </c>
      <c r="G357">
        <v>199.6</v>
      </c>
      <c r="H357">
        <v>1.009352</v>
      </c>
      <c r="I357">
        <v>-9.3519710000000006E-3</v>
      </c>
      <c r="J357">
        <v>0.49767292000000002</v>
      </c>
    </row>
    <row r="358" spans="1:10" x14ac:dyDescent="0.3">
      <c r="A358">
        <v>356</v>
      </c>
      <c r="B358">
        <v>8952</v>
      </c>
      <c r="C358" t="b">
        <v>1</v>
      </c>
      <c r="D358">
        <v>8037</v>
      </c>
      <c r="E358">
        <v>8099</v>
      </c>
      <c r="F358">
        <v>201.8</v>
      </c>
      <c r="G358">
        <v>200</v>
      </c>
      <c r="H358">
        <v>1.0090001</v>
      </c>
      <c r="I358">
        <v>-9.0000150000000001E-3</v>
      </c>
      <c r="J358">
        <v>0.49776009999999998</v>
      </c>
    </row>
    <row r="359" spans="1:10" x14ac:dyDescent="0.3">
      <c r="A359">
        <v>357</v>
      </c>
      <c r="B359">
        <v>8968</v>
      </c>
      <c r="C359" t="b">
        <v>1</v>
      </c>
      <c r="D359">
        <v>8030</v>
      </c>
      <c r="E359">
        <v>8117</v>
      </c>
      <c r="F359">
        <v>201.8</v>
      </c>
      <c r="G359">
        <v>200.4</v>
      </c>
      <c r="H359">
        <v>1.0069859999999999</v>
      </c>
      <c r="I359">
        <v>-6.9860736999999996E-3</v>
      </c>
      <c r="J359">
        <v>0.49825954</v>
      </c>
    </row>
    <row r="360" spans="1:10" x14ac:dyDescent="0.3">
      <c r="A360">
        <v>358</v>
      </c>
      <c r="B360">
        <v>8984</v>
      </c>
      <c r="C360" t="b">
        <v>1</v>
      </c>
      <c r="D360">
        <v>8011</v>
      </c>
      <c r="E360">
        <v>8129</v>
      </c>
      <c r="F360">
        <v>201.33332999999999</v>
      </c>
      <c r="G360">
        <v>200.8</v>
      </c>
      <c r="H360">
        <v>1.002656</v>
      </c>
      <c r="I360">
        <v>-2.6560018000000001E-3</v>
      </c>
      <c r="J360">
        <v>0.49933686999999999</v>
      </c>
    </row>
    <row r="361" spans="1:10" x14ac:dyDescent="0.3">
      <c r="A361">
        <v>359</v>
      </c>
      <c r="B361">
        <v>9000</v>
      </c>
      <c r="C361" t="b">
        <v>1</v>
      </c>
      <c r="D361">
        <v>8037</v>
      </c>
      <c r="E361">
        <v>8093</v>
      </c>
      <c r="F361">
        <v>201.33332999999999</v>
      </c>
      <c r="G361">
        <v>200</v>
      </c>
      <c r="H361">
        <v>1.0066667</v>
      </c>
      <c r="I361">
        <v>-6.6666410000000001E-3</v>
      </c>
      <c r="J361">
        <v>0.49833889999999997</v>
      </c>
    </row>
    <row r="362" spans="1:10" x14ac:dyDescent="0.3">
      <c r="A362">
        <v>360</v>
      </c>
      <c r="B362">
        <v>9031</v>
      </c>
      <c r="C362" t="b">
        <v>1</v>
      </c>
      <c r="D362">
        <v>8030</v>
      </c>
      <c r="E362">
        <v>8099</v>
      </c>
      <c r="F362">
        <v>200.53334000000001</v>
      </c>
      <c r="G362">
        <v>199.6</v>
      </c>
      <c r="H362">
        <v>1.0046759999999999</v>
      </c>
      <c r="I362">
        <v>-4.6760235000000002E-3</v>
      </c>
      <c r="J362">
        <v>0.49883371999999998</v>
      </c>
    </row>
    <row r="363" spans="1:10" x14ac:dyDescent="0.3">
      <c r="A363">
        <v>361</v>
      </c>
      <c r="B363">
        <v>9062</v>
      </c>
      <c r="C363" t="b">
        <v>1</v>
      </c>
      <c r="D363">
        <v>8023</v>
      </c>
      <c r="E363">
        <v>8117</v>
      </c>
      <c r="F363">
        <v>199.73334</v>
      </c>
      <c r="G363">
        <v>200.4</v>
      </c>
      <c r="H363">
        <v>0.99667335000000001</v>
      </c>
      <c r="I363">
        <v>3.3266292999999999E-3</v>
      </c>
      <c r="J363">
        <v>0.50083303000000001</v>
      </c>
    </row>
    <row r="364" spans="1:10" x14ac:dyDescent="0.3">
      <c r="A364">
        <v>362</v>
      </c>
      <c r="B364">
        <v>9078</v>
      </c>
      <c r="C364" t="b">
        <v>1</v>
      </c>
      <c r="D364">
        <v>8017</v>
      </c>
      <c r="E364">
        <v>8093</v>
      </c>
      <c r="F364">
        <v>198.46665999999999</v>
      </c>
      <c r="G364">
        <v>199.2</v>
      </c>
      <c r="H364">
        <v>0.99631860000000005</v>
      </c>
      <c r="I364">
        <v>3.6814127E-3</v>
      </c>
      <c r="J364">
        <v>0.50092199999999998</v>
      </c>
    </row>
    <row r="365" spans="1:10" x14ac:dyDescent="0.3">
      <c r="A365">
        <v>363</v>
      </c>
      <c r="B365">
        <v>9094</v>
      </c>
      <c r="C365" t="b">
        <v>1</v>
      </c>
      <c r="D365">
        <v>8042</v>
      </c>
      <c r="E365">
        <v>8093</v>
      </c>
      <c r="F365">
        <v>197.66667000000001</v>
      </c>
      <c r="G365">
        <v>198</v>
      </c>
      <c r="H365">
        <v>0.99831650000000005</v>
      </c>
      <c r="I365">
        <v>1.6834759999999999E-3</v>
      </c>
      <c r="J365">
        <v>0.50042120000000001</v>
      </c>
    </row>
    <row r="366" spans="1:10" x14ac:dyDescent="0.3">
      <c r="A366">
        <v>364</v>
      </c>
      <c r="B366">
        <v>9109</v>
      </c>
      <c r="C366" t="b">
        <v>1</v>
      </c>
      <c r="D366">
        <v>8030</v>
      </c>
      <c r="E366">
        <v>8140</v>
      </c>
      <c r="F366">
        <v>196.06666999999999</v>
      </c>
      <c r="G366">
        <v>196.8</v>
      </c>
      <c r="H366">
        <v>0.99627370000000004</v>
      </c>
      <c r="I366">
        <v>3.7263078000000002E-3</v>
      </c>
      <c r="J366">
        <v>0.50093330000000003</v>
      </c>
    </row>
    <row r="367" spans="1:10" x14ac:dyDescent="0.3">
      <c r="A367">
        <v>365</v>
      </c>
      <c r="B367">
        <v>9125</v>
      </c>
      <c r="C367" t="b">
        <v>1</v>
      </c>
      <c r="D367">
        <v>8037</v>
      </c>
      <c r="E367">
        <v>8105</v>
      </c>
      <c r="F367">
        <v>195.26666</v>
      </c>
      <c r="G367">
        <v>196</v>
      </c>
      <c r="H367">
        <v>0.99625850000000005</v>
      </c>
      <c r="I367">
        <v>3.7415173999999999E-3</v>
      </c>
      <c r="J367">
        <v>0.50093710000000002</v>
      </c>
    </row>
    <row r="368" spans="1:10" x14ac:dyDescent="0.3">
      <c r="A368">
        <v>366</v>
      </c>
      <c r="B368">
        <v>9142</v>
      </c>
      <c r="C368" t="b">
        <v>1</v>
      </c>
      <c r="D368">
        <v>8042</v>
      </c>
      <c r="E368">
        <v>8105</v>
      </c>
      <c r="F368">
        <v>194.93333000000001</v>
      </c>
      <c r="G368">
        <v>195.2</v>
      </c>
      <c r="H368">
        <v>0.99863389999999996</v>
      </c>
      <c r="I368">
        <v>1.3660993000000001E-3</v>
      </c>
      <c r="J368">
        <v>0.50034179999999995</v>
      </c>
    </row>
    <row r="369" spans="1:10" x14ac:dyDescent="0.3">
      <c r="A369">
        <v>367</v>
      </c>
      <c r="B369">
        <v>9157</v>
      </c>
      <c r="C369" t="b">
        <v>1</v>
      </c>
      <c r="D369">
        <v>8037</v>
      </c>
      <c r="E369">
        <v>8099</v>
      </c>
      <c r="F369">
        <v>194.6</v>
      </c>
      <c r="G369">
        <v>194.4</v>
      </c>
      <c r="H369">
        <v>1.0010289000000001</v>
      </c>
      <c r="I369">
        <v>-1.0288694000000001E-3</v>
      </c>
      <c r="J369">
        <v>0.49974292999999997</v>
      </c>
    </row>
    <row r="370" spans="1:10" x14ac:dyDescent="0.3">
      <c r="A370">
        <v>368</v>
      </c>
      <c r="B370">
        <v>9173</v>
      </c>
      <c r="C370" t="b">
        <v>1</v>
      </c>
      <c r="D370">
        <v>8054</v>
      </c>
      <c r="E370">
        <v>8105</v>
      </c>
      <c r="F370">
        <v>194.26666</v>
      </c>
      <c r="G370">
        <v>193.2</v>
      </c>
      <c r="H370">
        <v>1.0055210000000001</v>
      </c>
      <c r="I370">
        <v>-5.5210436999999996E-3</v>
      </c>
      <c r="J370">
        <v>0.49862351999999999</v>
      </c>
    </row>
    <row r="371" spans="1:10" x14ac:dyDescent="0.3">
      <c r="A371">
        <v>369</v>
      </c>
      <c r="B371">
        <v>9189</v>
      </c>
      <c r="C371" t="b">
        <v>1</v>
      </c>
      <c r="D371">
        <v>8042</v>
      </c>
      <c r="E371">
        <v>8134</v>
      </c>
      <c r="F371">
        <v>194.26666</v>
      </c>
      <c r="G371">
        <v>192</v>
      </c>
      <c r="H371">
        <v>1.0118054999999999</v>
      </c>
      <c r="I371">
        <v>-1.1805533999999999E-2</v>
      </c>
      <c r="J371">
        <v>0.49706592999999999</v>
      </c>
    </row>
    <row r="372" spans="1:10" x14ac:dyDescent="0.3">
      <c r="A372">
        <v>370</v>
      </c>
      <c r="B372">
        <v>9205</v>
      </c>
      <c r="C372" t="b">
        <v>1</v>
      </c>
      <c r="D372">
        <v>8048</v>
      </c>
      <c r="E372">
        <v>8134</v>
      </c>
      <c r="F372">
        <v>194.26666</v>
      </c>
      <c r="G372">
        <v>190.8</v>
      </c>
      <c r="H372">
        <v>1.0181690000000001</v>
      </c>
      <c r="I372">
        <v>-1.8169075E-2</v>
      </c>
      <c r="J372">
        <v>0.49549865999999998</v>
      </c>
    </row>
    <row r="373" spans="1:10" x14ac:dyDescent="0.3">
      <c r="A373">
        <v>371</v>
      </c>
      <c r="B373">
        <v>9221</v>
      </c>
      <c r="C373" t="b">
        <v>1</v>
      </c>
      <c r="D373">
        <v>8030</v>
      </c>
      <c r="E373">
        <v>8117</v>
      </c>
      <c r="F373">
        <v>194.26666</v>
      </c>
      <c r="G373">
        <v>190.8</v>
      </c>
      <c r="H373">
        <v>1.0181690000000001</v>
      </c>
      <c r="I373">
        <v>-1.8169075E-2</v>
      </c>
      <c r="J373">
        <v>0.49549865999999998</v>
      </c>
    </row>
    <row r="374" spans="1:10" x14ac:dyDescent="0.3">
      <c r="A374">
        <v>372</v>
      </c>
      <c r="B374">
        <v>9237</v>
      </c>
      <c r="C374" t="b">
        <v>1</v>
      </c>
      <c r="D374">
        <v>8037</v>
      </c>
      <c r="E374">
        <v>8123</v>
      </c>
      <c r="F374">
        <v>194.6</v>
      </c>
      <c r="G374">
        <v>191.2</v>
      </c>
      <c r="H374">
        <v>1.0177824</v>
      </c>
      <c r="I374">
        <v>-1.7782475999999998E-2</v>
      </c>
      <c r="J374">
        <v>0.49559357999999998</v>
      </c>
    </row>
    <row r="375" spans="1:10" x14ac:dyDescent="0.3">
      <c r="A375">
        <v>373</v>
      </c>
      <c r="B375">
        <v>9253</v>
      </c>
      <c r="C375" t="b">
        <v>1</v>
      </c>
      <c r="D375">
        <v>8054</v>
      </c>
      <c r="E375">
        <v>8111</v>
      </c>
      <c r="F375">
        <v>195.4</v>
      </c>
      <c r="G375">
        <v>191.6</v>
      </c>
      <c r="H375">
        <v>1.019833</v>
      </c>
      <c r="I375">
        <v>-1.983292E-2</v>
      </c>
      <c r="J375">
        <v>0.49509045000000002</v>
      </c>
    </row>
    <row r="376" spans="1:10" x14ac:dyDescent="0.3">
      <c r="A376">
        <v>374</v>
      </c>
      <c r="B376">
        <v>9268</v>
      </c>
      <c r="C376" t="b">
        <v>1</v>
      </c>
      <c r="D376">
        <v>8054</v>
      </c>
      <c r="E376">
        <v>8111</v>
      </c>
      <c r="F376">
        <v>196.13333</v>
      </c>
      <c r="G376">
        <v>192.8</v>
      </c>
      <c r="H376">
        <v>1.0172890000000001</v>
      </c>
      <c r="I376">
        <v>-1.7289045999999999E-2</v>
      </c>
      <c r="J376">
        <v>0.49571474999999998</v>
      </c>
    </row>
    <row r="377" spans="1:10" x14ac:dyDescent="0.3">
      <c r="A377">
        <v>375</v>
      </c>
      <c r="B377">
        <v>9284</v>
      </c>
      <c r="C377" t="b">
        <v>1</v>
      </c>
      <c r="D377">
        <v>8060</v>
      </c>
      <c r="E377">
        <v>8123</v>
      </c>
      <c r="F377">
        <v>197.73334</v>
      </c>
      <c r="G377">
        <v>194</v>
      </c>
      <c r="H377">
        <v>1.019244</v>
      </c>
      <c r="I377">
        <v>-1.9244008E-2</v>
      </c>
      <c r="J377">
        <v>0.49523485</v>
      </c>
    </row>
    <row r="378" spans="1:10" x14ac:dyDescent="0.3">
      <c r="A378">
        <v>376</v>
      </c>
      <c r="B378">
        <v>9300</v>
      </c>
      <c r="C378" t="b">
        <v>1</v>
      </c>
      <c r="D378">
        <v>8054</v>
      </c>
      <c r="E378">
        <v>8117</v>
      </c>
      <c r="F378">
        <v>199.33332999999999</v>
      </c>
      <c r="G378">
        <v>194</v>
      </c>
      <c r="H378">
        <v>1.0274913000000001</v>
      </c>
      <c r="I378">
        <v>-2.7491383000000001E-2</v>
      </c>
      <c r="J378">
        <v>0.49322036000000002</v>
      </c>
    </row>
    <row r="379" spans="1:10" x14ac:dyDescent="0.3">
      <c r="A379">
        <v>377</v>
      </c>
      <c r="B379">
        <v>9316</v>
      </c>
      <c r="C379" t="b">
        <v>1</v>
      </c>
      <c r="D379">
        <v>8023</v>
      </c>
      <c r="E379">
        <v>8099</v>
      </c>
      <c r="F379">
        <v>201.4</v>
      </c>
      <c r="G379">
        <v>194.8</v>
      </c>
      <c r="H379">
        <v>1.0338807999999999</v>
      </c>
      <c r="I379">
        <v>-3.3880856000000001E-2</v>
      </c>
      <c r="J379">
        <v>0.49167087999999998</v>
      </c>
    </row>
    <row r="380" spans="1:10" x14ac:dyDescent="0.3">
      <c r="A380">
        <v>378</v>
      </c>
      <c r="B380">
        <v>9332</v>
      </c>
      <c r="C380" t="b">
        <v>1</v>
      </c>
      <c r="D380">
        <v>8048</v>
      </c>
      <c r="E380">
        <v>8111</v>
      </c>
      <c r="F380">
        <v>203</v>
      </c>
      <c r="G380">
        <v>196</v>
      </c>
      <c r="H380">
        <v>1.0357143</v>
      </c>
      <c r="I380">
        <v>-3.5714286999999997E-2</v>
      </c>
      <c r="J380">
        <v>0.49122807000000002</v>
      </c>
    </row>
    <row r="381" spans="1:10" x14ac:dyDescent="0.3">
      <c r="A381">
        <v>379</v>
      </c>
      <c r="B381">
        <v>9348</v>
      </c>
      <c r="C381" t="b">
        <v>1</v>
      </c>
      <c r="D381">
        <v>8065</v>
      </c>
      <c r="E381">
        <v>8093</v>
      </c>
      <c r="F381">
        <v>204.6</v>
      </c>
      <c r="G381">
        <v>196.8</v>
      </c>
      <c r="H381">
        <v>1.0396341</v>
      </c>
      <c r="I381">
        <v>-3.9634160000000002E-2</v>
      </c>
      <c r="J381">
        <v>0.490284</v>
      </c>
    </row>
    <row r="382" spans="1:10" x14ac:dyDescent="0.3">
      <c r="A382">
        <v>380</v>
      </c>
      <c r="B382">
        <v>9379</v>
      </c>
      <c r="C382" t="b">
        <v>1</v>
      </c>
      <c r="D382">
        <v>8042</v>
      </c>
      <c r="E382">
        <v>8105</v>
      </c>
      <c r="F382">
        <v>205.8</v>
      </c>
      <c r="G382">
        <v>196.8</v>
      </c>
      <c r="H382">
        <v>1.0457316999999999</v>
      </c>
      <c r="I382">
        <v>-4.5731710000000002E-2</v>
      </c>
      <c r="J382">
        <v>0.48882263999999997</v>
      </c>
    </row>
    <row r="383" spans="1:10" x14ac:dyDescent="0.3">
      <c r="A383">
        <v>381</v>
      </c>
      <c r="B383">
        <v>9411</v>
      </c>
      <c r="C383" t="b">
        <v>1</v>
      </c>
      <c r="D383">
        <v>8030</v>
      </c>
      <c r="E383">
        <v>8105</v>
      </c>
      <c r="F383">
        <v>206.13333</v>
      </c>
      <c r="G383">
        <v>196.8</v>
      </c>
      <c r="H383">
        <v>1.0474254000000001</v>
      </c>
      <c r="I383">
        <v>-4.7425450000000001E-2</v>
      </c>
      <c r="J383">
        <v>0.48841825</v>
      </c>
    </row>
    <row r="384" spans="1:10" x14ac:dyDescent="0.3">
      <c r="A384">
        <v>382</v>
      </c>
      <c r="B384">
        <v>9443</v>
      </c>
      <c r="C384" t="b">
        <v>1</v>
      </c>
      <c r="D384">
        <v>8060</v>
      </c>
      <c r="E384">
        <v>8123</v>
      </c>
      <c r="F384">
        <v>206.86667</v>
      </c>
      <c r="G384">
        <v>196.8</v>
      </c>
      <c r="H384">
        <v>1.0511518</v>
      </c>
      <c r="I384">
        <v>-5.1151756E-2</v>
      </c>
      <c r="J384">
        <v>0.48753095000000002</v>
      </c>
    </row>
    <row r="385" spans="1:10" x14ac:dyDescent="0.3">
      <c r="A385">
        <v>383</v>
      </c>
      <c r="B385">
        <v>9474</v>
      </c>
      <c r="C385" t="b">
        <v>1</v>
      </c>
      <c r="D385">
        <v>8048</v>
      </c>
      <c r="E385">
        <v>8093</v>
      </c>
      <c r="F385">
        <v>207.6</v>
      </c>
      <c r="G385">
        <v>196.8</v>
      </c>
      <c r="H385">
        <v>1.0548781</v>
      </c>
      <c r="I385">
        <v>-5.4878062999999998E-2</v>
      </c>
      <c r="J385">
        <v>0.48664686000000001</v>
      </c>
    </row>
    <row r="386" spans="1:10" x14ac:dyDescent="0.3">
      <c r="A386">
        <v>384</v>
      </c>
      <c r="B386">
        <v>9506</v>
      </c>
      <c r="C386" t="b">
        <v>1</v>
      </c>
      <c r="D386">
        <v>8030</v>
      </c>
      <c r="E386">
        <v>8111</v>
      </c>
      <c r="F386">
        <v>207.6</v>
      </c>
      <c r="G386">
        <v>196.8</v>
      </c>
      <c r="H386">
        <v>1.0548781</v>
      </c>
      <c r="I386">
        <v>-5.4878062999999998E-2</v>
      </c>
      <c r="J386">
        <v>0.48664686000000001</v>
      </c>
    </row>
    <row r="387" spans="1:10" x14ac:dyDescent="0.3">
      <c r="A387">
        <v>385</v>
      </c>
      <c r="B387">
        <v>9537</v>
      </c>
      <c r="C387" t="b">
        <v>1</v>
      </c>
      <c r="D387">
        <v>8054</v>
      </c>
      <c r="E387">
        <v>8081</v>
      </c>
      <c r="F387">
        <v>208</v>
      </c>
      <c r="G387">
        <v>196.8</v>
      </c>
      <c r="H387">
        <v>1.0569105000000001</v>
      </c>
      <c r="I387">
        <v>-5.6910552000000003E-2</v>
      </c>
      <c r="J387">
        <v>0.48616603000000003</v>
      </c>
    </row>
    <row r="388" spans="1:10" x14ac:dyDescent="0.3">
      <c r="A388">
        <v>386</v>
      </c>
      <c r="B388">
        <v>9553</v>
      </c>
      <c r="C388" t="b">
        <v>1</v>
      </c>
      <c r="D388">
        <v>8054</v>
      </c>
      <c r="E388">
        <v>8105</v>
      </c>
      <c r="F388">
        <v>208.8</v>
      </c>
      <c r="G388">
        <v>196</v>
      </c>
      <c r="H388">
        <v>1.0653062</v>
      </c>
      <c r="I388">
        <v>-6.5306135000000001E-2</v>
      </c>
      <c r="J388">
        <v>0.48418974999999997</v>
      </c>
    </row>
    <row r="389" spans="1:10" x14ac:dyDescent="0.3">
      <c r="A389">
        <v>387</v>
      </c>
      <c r="B389">
        <v>9585</v>
      </c>
      <c r="C389" t="b">
        <v>1</v>
      </c>
      <c r="D389">
        <v>8048</v>
      </c>
      <c r="E389">
        <v>8093</v>
      </c>
      <c r="F389">
        <v>209.2</v>
      </c>
      <c r="G389">
        <v>194</v>
      </c>
      <c r="H389">
        <v>1.0783505</v>
      </c>
      <c r="I389">
        <v>-7.8350500000000003E-2</v>
      </c>
      <c r="J389">
        <v>0.48115078</v>
      </c>
    </row>
    <row r="390" spans="1:10" x14ac:dyDescent="0.3">
      <c r="A390">
        <v>388</v>
      </c>
      <c r="B390">
        <v>9617</v>
      </c>
      <c r="C390" t="b">
        <v>1</v>
      </c>
      <c r="D390">
        <v>8042</v>
      </c>
      <c r="E390">
        <v>8111</v>
      </c>
      <c r="F390">
        <v>209.6</v>
      </c>
      <c r="G390">
        <v>192.8</v>
      </c>
      <c r="H390">
        <v>1.087137</v>
      </c>
      <c r="I390">
        <v>-8.7136950000000005E-2</v>
      </c>
      <c r="J390">
        <v>0.47912523000000001</v>
      </c>
    </row>
    <row r="391" spans="1:10" x14ac:dyDescent="0.3">
      <c r="A391">
        <v>389</v>
      </c>
      <c r="B391">
        <v>9649</v>
      </c>
      <c r="C391" t="b">
        <v>1</v>
      </c>
      <c r="D391">
        <v>8054</v>
      </c>
      <c r="E391">
        <v>8140</v>
      </c>
      <c r="F391">
        <v>210</v>
      </c>
      <c r="G391">
        <v>192</v>
      </c>
      <c r="H391">
        <v>1.09375</v>
      </c>
      <c r="I391">
        <v>-9.375E-2</v>
      </c>
      <c r="J391">
        <v>0.47761193000000002</v>
      </c>
    </row>
    <row r="392" spans="1:10" x14ac:dyDescent="0.3">
      <c r="A392">
        <v>390</v>
      </c>
      <c r="B392">
        <v>9680</v>
      </c>
      <c r="C392" t="b">
        <v>1</v>
      </c>
      <c r="D392">
        <v>8042</v>
      </c>
      <c r="E392">
        <v>8099</v>
      </c>
      <c r="F392">
        <v>209.6</v>
      </c>
      <c r="G392">
        <v>191.2</v>
      </c>
      <c r="H392">
        <v>1.0962343000000001</v>
      </c>
      <c r="I392">
        <v>-9.6234360000000005E-2</v>
      </c>
      <c r="J392">
        <v>0.47704592000000001</v>
      </c>
    </row>
    <row r="393" spans="1:10" x14ac:dyDescent="0.3">
      <c r="A393">
        <v>391</v>
      </c>
      <c r="B393">
        <v>9712</v>
      </c>
      <c r="C393" t="b">
        <v>1</v>
      </c>
      <c r="D393">
        <v>8048</v>
      </c>
      <c r="E393">
        <v>8105</v>
      </c>
      <c r="F393">
        <v>209.2</v>
      </c>
      <c r="G393">
        <v>190.4</v>
      </c>
      <c r="H393">
        <v>1.0987395</v>
      </c>
      <c r="I393">
        <v>-9.8739510000000003E-2</v>
      </c>
      <c r="J393">
        <v>0.47647650000000003</v>
      </c>
    </row>
    <row r="394" spans="1:10" x14ac:dyDescent="0.3">
      <c r="A394">
        <v>392</v>
      </c>
      <c r="B394">
        <v>9728</v>
      </c>
      <c r="C394" t="b">
        <v>1</v>
      </c>
      <c r="D394">
        <v>8037</v>
      </c>
      <c r="E394">
        <v>8111</v>
      </c>
      <c r="F394">
        <v>208.4</v>
      </c>
      <c r="G394">
        <v>190.4</v>
      </c>
      <c r="H394">
        <v>1.0945379</v>
      </c>
      <c r="I394">
        <v>-9.4537819999999995E-2</v>
      </c>
      <c r="J394">
        <v>0.47743229999999998</v>
      </c>
    </row>
    <row r="395" spans="1:10" x14ac:dyDescent="0.3">
      <c r="A395">
        <v>393</v>
      </c>
      <c r="B395">
        <v>9744</v>
      </c>
      <c r="C395" t="b">
        <v>1</v>
      </c>
      <c r="D395">
        <v>8030</v>
      </c>
      <c r="E395">
        <v>8087</v>
      </c>
      <c r="F395">
        <v>207.6</v>
      </c>
      <c r="G395">
        <v>190</v>
      </c>
      <c r="H395">
        <v>1.0926316</v>
      </c>
      <c r="I395">
        <v>-9.2631610000000003E-2</v>
      </c>
      <c r="J395">
        <v>0.47786719999999999</v>
      </c>
    </row>
    <row r="396" spans="1:10" x14ac:dyDescent="0.3">
      <c r="A396">
        <v>394</v>
      </c>
      <c r="B396">
        <v>9776</v>
      </c>
      <c r="C396" t="b">
        <v>1</v>
      </c>
      <c r="D396">
        <v>8042</v>
      </c>
      <c r="E396">
        <v>8105</v>
      </c>
      <c r="F396">
        <v>206.8</v>
      </c>
      <c r="G396">
        <v>189.6</v>
      </c>
      <c r="H396">
        <v>1.0907172999999999</v>
      </c>
      <c r="I396">
        <v>-9.0717279999999997E-2</v>
      </c>
      <c r="J396">
        <v>0.47830470000000003</v>
      </c>
    </row>
    <row r="397" spans="1:10" x14ac:dyDescent="0.3">
      <c r="A397">
        <v>395</v>
      </c>
      <c r="B397">
        <v>9792</v>
      </c>
      <c r="C397" t="b">
        <v>1</v>
      </c>
      <c r="D397">
        <v>8048</v>
      </c>
      <c r="E397">
        <v>8111</v>
      </c>
      <c r="F397">
        <v>206.4</v>
      </c>
      <c r="G397">
        <v>189.6</v>
      </c>
      <c r="H397">
        <v>1.0886075</v>
      </c>
      <c r="I397">
        <v>-8.8607530000000004E-2</v>
      </c>
      <c r="J397">
        <v>0.47878789999999999</v>
      </c>
    </row>
    <row r="398" spans="1:10" x14ac:dyDescent="0.3">
      <c r="A398">
        <v>396</v>
      </c>
      <c r="B398">
        <v>9823</v>
      </c>
      <c r="C398" t="b">
        <v>1</v>
      </c>
      <c r="D398">
        <v>8042</v>
      </c>
      <c r="E398">
        <v>8111</v>
      </c>
      <c r="F398">
        <v>206.4</v>
      </c>
      <c r="G398">
        <v>190</v>
      </c>
      <c r="H398">
        <v>1.0863157999999999</v>
      </c>
      <c r="I398">
        <v>-8.6315760000000005E-2</v>
      </c>
      <c r="J398">
        <v>0.47931382</v>
      </c>
    </row>
    <row r="399" spans="1:10" x14ac:dyDescent="0.3">
      <c r="A399">
        <v>397</v>
      </c>
      <c r="B399">
        <v>9839</v>
      </c>
      <c r="C399" t="b">
        <v>1</v>
      </c>
      <c r="D399">
        <v>8042</v>
      </c>
      <c r="E399">
        <v>8111</v>
      </c>
      <c r="F399">
        <v>206</v>
      </c>
      <c r="G399">
        <v>190.4</v>
      </c>
      <c r="H399">
        <v>1.0819327999999999</v>
      </c>
      <c r="I399">
        <v>-8.1932804999999997E-2</v>
      </c>
      <c r="J399">
        <v>0.4803229</v>
      </c>
    </row>
    <row r="400" spans="1:10" x14ac:dyDescent="0.3">
      <c r="A400">
        <v>398</v>
      </c>
      <c r="B400">
        <v>9855</v>
      </c>
      <c r="C400" t="b">
        <v>1</v>
      </c>
      <c r="D400">
        <v>8054</v>
      </c>
      <c r="E400">
        <v>8117</v>
      </c>
      <c r="F400">
        <v>205.6</v>
      </c>
      <c r="G400">
        <v>190.8</v>
      </c>
      <c r="H400">
        <v>1.0775682</v>
      </c>
      <c r="I400">
        <v>-7.7568150000000002E-2</v>
      </c>
      <c r="J400">
        <v>0.48133197</v>
      </c>
    </row>
    <row r="401" spans="1:10" x14ac:dyDescent="0.3">
      <c r="A401">
        <v>399</v>
      </c>
      <c r="B401">
        <v>9871</v>
      </c>
      <c r="C401" t="b">
        <v>1</v>
      </c>
      <c r="D401">
        <v>8042</v>
      </c>
      <c r="E401">
        <v>8099</v>
      </c>
      <c r="F401">
        <v>205.6</v>
      </c>
      <c r="G401">
        <v>191.2</v>
      </c>
      <c r="H401">
        <v>1.0753138</v>
      </c>
      <c r="I401">
        <v>-7.5313859999999996E-2</v>
      </c>
      <c r="J401">
        <v>0.48185486</v>
      </c>
    </row>
    <row r="402" spans="1:10" x14ac:dyDescent="0.3">
      <c r="A402">
        <v>400</v>
      </c>
      <c r="B402">
        <v>9903</v>
      </c>
      <c r="C402" t="b">
        <v>1</v>
      </c>
      <c r="D402">
        <v>8011</v>
      </c>
      <c r="E402">
        <v>8081</v>
      </c>
      <c r="F402">
        <v>205.2</v>
      </c>
      <c r="G402">
        <v>191.6</v>
      </c>
      <c r="H402">
        <v>1.0709811</v>
      </c>
      <c r="I402">
        <v>-7.0981160000000001E-2</v>
      </c>
      <c r="J402">
        <v>0.48286291999999997</v>
      </c>
    </row>
    <row r="403" spans="1:10" x14ac:dyDescent="0.3">
      <c r="A403">
        <v>401</v>
      </c>
      <c r="B403">
        <v>9919</v>
      </c>
      <c r="C403" t="b">
        <v>1</v>
      </c>
      <c r="D403">
        <v>8048</v>
      </c>
      <c r="E403">
        <v>8105</v>
      </c>
      <c r="F403">
        <v>204.4</v>
      </c>
      <c r="G403">
        <v>191.6</v>
      </c>
      <c r="H403">
        <v>1.0668057</v>
      </c>
      <c r="I403">
        <v>-6.6805779999999995E-2</v>
      </c>
      <c r="J403">
        <v>0.4838384</v>
      </c>
    </row>
    <row r="404" spans="1:10" x14ac:dyDescent="0.3">
      <c r="A404">
        <v>402</v>
      </c>
      <c r="B404">
        <v>9934</v>
      </c>
      <c r="C404" t="b">
        <v>1</v>
      </c>
      <c r="D404">
        <v>8042</v>
      </c>
      <c r="E404">
        <v>8117</v>
      </c>
      <c r="F404">
        <v>204</v>
      </c>
      <c r="G404">
        <v>192.4</v>
      </c>
      <c r="H404">
        <v>1.0602910000000001</v>
      </c>
      <c r="I404">
        <v>-6.0291092999999997E-2</v>
      </c>
      <c r="J404">
        <v>0.48536829999999997</v>
      </c>
    </row>
    <row r="405" spans="1:10" x14ac:dyDescent="0.3">
      <c r="A405">
        <v>403</v>
      </c>
      <c r="B405">
        <v>9950</v>
      </c>
      <c r="C405" t="b">
        <v>1</v>
      </c>
      <c r="D405">
        <v>8054</v>
      </c>
      <c r="E405">
        <v>8111</v>
      </c>
      <c r="F405">
        <v>203.6</v>
      </c>
      <c r="G405">
        <v>192.4</v>
      </c>
      <c r="H405">
        <v>1.0582122</v>
      </c>
      <c r="I405">
        <v>-5.8212123999999997E-2</v>
      </c>
      <c r="J405">
        <v>0.48585855999999999</v>
      </c>
    </row>
    <row r="406" spans="1:10" x14ac:dyDescent="0.3">
      <c r="A406">
        <v>404</v>
      </c>
      <c r="B406">
        <v>9982</v>
      </c>
      <c r="C406" t="b">
        <v>1</v>
      </c>
      <c r="D406">
        <v>8054</v>
      </c>
      <c r="E406">
        <v>8134</v>
      </c>
      <c r="F406">
        <v>203.2</v>
      </c>
      <c r="G406">
        <v>192.8</v>
      </c>
      <c r="H406">
        <v>1.0539418</v>
      </c>
      <c r="I406">
        <v>-5.3941876E-2</v>
      </c>
      <c r="J406">
        <v>0.48686869999999999</v>
      </c>
    </row>
    <row r="407" spans="1:10" x14ac:dyDescent="0.3">
      <c r="A407">
        <v>405</v>
      </c>
      <c r="B407">
        <v>10014</v>
      </c>
      <c r="C407" t="b">
        <v>1</v>
      </c>
      <c r="D407">
        <v>8042</v>
      </c>
      <c r="E407">
        <v>8105</v>
      </c>
      <c r="F407">
        <v>203.2</v>
      </c>
      <c r="G407">
        <v>193.2</v>
      </c>
      <c r="H407">
        <v>1.0517597999999999</v>
      </c>
      <c r="I407">
        <v>-5.1759834999999997E-2</v>
      </c>
      <c r="J407">
        <v>0.48738647000000002</v>
      </c>
    </row>
    <row r="408" spans="1:10" x14ac:dyDescent="0.3">
      <c r="A408">
        <v>406</v>
      </c>
      <c r="B408">
        <v>10045</v>
      </c>
      <c r="C408" t="b">
        <v>1</v>
      </c>
      <c r="D408">
        <v>8042</v>
      </c>
      <c r="E408">
        <v>8105</v>
      </c>
      <c r="F408">
        <v>202.8</v>
      </c>
      <c r="G408">
        <v>193.6</v>
      </c>
      <c r="H408">
        <v>1.0475205999999999</v>
      </c>
      <c r="I408">
        <v>-4.7520645E-2</v>
      </c>
      <c r="J408">
        <v>0.48839554000000002</v>
      </c>
    </row>
    <row r="409" spans="1:10" x14ac:dyDescent="0.3">
      <c r="A409">
        <v>407</v>
      </c>
      <c r="B409">
        <v>10061</v>
      </c>
      <c r="C409" t="b">
        <v>1</v>
      </c>
      <c r="D409">
        <v>8054</v>
      </c>
      <c r="E409">
        <v>8123</v>
      </c>
      <c r="F409">
        <v>203.6</v>
      </c>
      <c r="G409">
        <v>193.6</v>
      </c>
      <c r="H409">
        <v>1.0516528999999999</v>
      </c>
      <c r="I409">
        <v>-5.165289E-2</v>
      </c>
      <c r="J409">
        <v>0.48741190000000001</v>
      </c>
    </row>
    <row r="410" spans="1:10" x14ac:dyDescent="0.3">
      <c r="A410">
        <v>408</v>
      </c>
      <c r="B410">
        <v>10093</v>
      </c>
      <c r="C410" t="b">
        <v>1</v>
      </c>
      <c r="D410">
        <v>8030</v>
      </c>
      <c r="E410">
        <v>8105</v>
      </c>
      <c r="F410">
        <v>203.6</v>
      </c>
      <c r="G410">
        <v>193.6</v>
      </c>
      <c r="H410">
        <v>1.0516528999999999</v>
      </c>
      <c r="I410">
        <v>-5.165289E-2</v>
      </c>
      <c r="J410">
        <v>0.48741190000000001</v>
      </c>
    </row>
    <row r="411" spans="1:10" x14ac:dyDescent="0.3">
      <c r="A411">
        <v>409</v>
      </c>
      <c r="B411">
        <v>10125</v>
      </c>
      <c r="C411" t="b">
        <v>1</v>
      </c>
      <c r="D411">
        <v>8065</v>
      </c>
      <c r="E411">
        <v>8111</v>
      </c>
      <c r="F411">
        <v>203.6</v>
      </c>
      <c r="G411">
        <v>193.6</v>
      </c>
      <c r="H411">
        <v>1.0516528999999999</v>
      </c>
      <c r="I411">
        <v>-5.165289E-2</v>
      </c>
      <c r="J411">
        <v>0.48741190000000001</v>
      </c>
    </row>
    <row r="412" spans="1:10" x14ac:dyDescent="0.3">
      <c r="A412">
        <v>410</v>
      </c>
      <c r="B412">
        <v>10157</v>
      </c>
      <c r="C412" t="b">
        <v>1</v>
      </c>
      <c r="D412">
        <v>8060</v>
      </c>
      <c r="E412">
        <v>8111</v>
      </c>
      <c r="F412">
        <v>204.4</v>
      </c>
      <c r="G412">
        <v>194</v>
      </c>
      <c r="H412">
        <v>1.0536082</v>
      </c>
      <c r="I412">
        <v>-5.3608216E-2</v>
      </c>
      <c r="J412">
        <v>0.48694779999999999</v>
      </c>
    </row>
    <row r="413" spans="1:10" x14ac:dyDescent="0.3">
      <c r="A413">
        <v>411</v>
      </c>
      <c r="B413">
        <v>10188</v>
      </c>
      <c r="C413" t="b">
        <v>1</v>
      </c>
      <c r="D413">
        <v>8054</v>
      </c>
      <c r="E413">
        <v>8099</v>
      </c>
      <c r="F413">
        <v>205.2</v>
      </c>
      <c r="G413">
        <v>194</v>
      </c>
      <c r="H413">
        <v>1.0577319999999999</v>
      </c>
      <c r="I413">
        <v>-5.7731940000000002E-2</v>
      </c>
      <c r="J413">
        <v>0.48597193</v>
      </c>
    </row>
    <row r="414" spans="1:10" x14ac:dyDescent="0.3">
      <c r="A414">
        <v>412</v>
      </c>
      <c r="B414">
        <v>10220</v>
      </c>
      <c r="C414" t="b">
        <v>1</v>
      </c>
      <c r="D414">
        <v>8042</v>
      </c>
      <c r="E414">
        <v>8117</v>
      </c>
      <c r="F414">
        <v>206</v>
      </c>
      <c r="G414">
        <v>194</v>
      </c>
      <c r="H414">
        <v>1.0618557</v>
      </c>
      <c r="I414">
        <v>-6.1855670000000001E-2</v>
      </c>
      <c r="J414">
        <v>0.48499999999999999</v>
      </c>
    </row>
    <row r="415" spans="1:10" x14ac:dyDescent="0.3">
      <c r="A415">
        <v>413</v>
      </c>
      <c r="B415">
        <v>10236</v>
      </c>
      <c r="C415" t="b">
        <v>1</v>
      </c>
      <c r="D415">
        <v>8042</v>
      </c>
      <c r="E415">
        <v>8117</v>
      </c>
      <c r="F415">
        <v>206.8</v>
      </c>
      <c r="G415">
        <v>194</v>
      </c>
      <c r="H415">
        <v>1.0659794</v>
      </c>
      <c r="I415">
        <v>-6.5979399999999994E-2</v>
      </c>
      <c r="J415">
        <v>0.48403194999999999</v>
      </c>
    </row>
    <row r="416" spans="1:10" x14ac:dyDescent="0.3">
      <c r="A416">
        <v>414</v>
      </c>
      <c r="B416">
        <v>10251</v>
      </c>
      <c r="C416" t="b">
        <v>1</v>
      </c>
      <c r="D416">
        <v>8037</v>
      </c>
      <c r="E416">
        <v>8105</v>
      </c>
      <c r="F416">
        <v>206.8</v>
      </c>
      <c r="G416">
        <v>194</v>
      </c>
      <c r="H416">
        <v>1.0659794</v>
      </c>
      <c r="I416">
        <v>-6.5979399999999994E-2</v>
      </c>
      <c r="J416">
        <v>0.48403194999999999</v>
      </c>
    </row>
    <row r="417" spans="1:10" x14ac:dyDescent="0.3">
      <c r="A417">
        <v>415</v>
      </c>
      <c r="B417">
        <v>10283</v>
      </c>
      <c r="C417" t="b">
        <v>1</v>
      </c>
      <c r="D417">
        <v>8042</v>
      </c>
      <c r="E417">
        <v>8111</v>
      </c>
      <c r="F417">
        <v>206.8</v>
      </c>
      <c r="G417">
        <v>194</v>
      </c>
      <c r="H417">
        <v>1.0659794</v>
      </c>
      <c r="I417">
        <v>-6.5979399999999994E-2</v>
      </c>
      <c r="J417">
        <v>0.48403194999999999</v>
      </c>
    </row>
    <row r="418" spans="1:10" x14ac:dyDescent="0.3">
      <c r="A418">
        <v>416</v>
      </c>
      <c r="B418">
        <v>10314</v>
      </c>
      <c r="C418" t="b">
        <v>1</v>
      </c>
      <c r="D418">
        <v>8030</v>
      </c>
      <c r="E418">
        <v>8146</v>
      </c>
      <c r="F418">
        <v>206.8</v>
      </c>
      <c r="G418">
        <v>194.8</v>
      </c>
      <c r="H418">
        <v>1.0616015999999999</v>
      </c>
      <c r="I418">
        <v>-6.1601642999999998E-2</v>
      </c>
      <c r="J418">
        <v>0.48505977</v>
      </c>
    </row>
    <row r="419" spans="1:10" x14ac:dyDescent="0.3">
      <c r="A419">
        <v>417</v>
      </c>
      <c r="B419">
        <v>10346</v>
      </c>
      <c r="C419" t="b">
        <v>1</v>
      </c>
      <c r="D419">
        <v>8048</v>
      </c>
      <c r="E419">
        <v>8081</v>
      </c>
      <c r="F419">
        <v>206.8</v>
      </c>
      <c r="G419">
        <v>195.2</v>
      </c>
      <c r="H419">
        <v>1.0594262999999999</v>
      </c>
      <c r="I419">
        <v>-5.9426263E-2</v>
      </c>
      <c r="J419">
        <v>0.48557212999999999</v>
      </c>
    </row>
    <row r="420" spans="1:10" x14ac:dyDescent="0.3">
      <c r="A420">
        <v>418</v>
      </c>
      <c r="B420">
        <v>10377</v>
      </c>
      <c r="C420" t="b">
        <v>1</v>
      </c>
      <c r="D420">
        <v>8037</v>
      </c>
      <c r="E420">
        <v>8117</v>
      </c>
      <c r="F420">
        <v>206.46665999999999</v>
      </c>
      <c r="G420">
        <v>195.6</v>
      </c>
      <c r="H420">
        <v>1.0555555000000001</v>
      </c>
      <c r="I420">
        <v>-5.5555485000000002E-2</v>
      </c>
      <c r="J420">
        <v>0.48648651999999998</v>
      </c>
    </row>
    <row r="421" spans="1:10" x14ac:dyDescent="0.3">
      <c r="A421">
        <v>419</v>
      </c>
      <c r="B421">
        <v>10393</v>
      </c>
      <c r="C421" t="b">
        <v>1</v>
      </c>
      <c r="D421">
        <v>8060</v>
      </c>
      <c r="E421">
        <v>8105</v>
      </c>
      <c r="F421">
        <v>206.06666999999999</v>
      </c>
      <c r="G421">
        <v>195.6</v>
      </c>
      <c r="H421">
        <v>1.0535105</v>
      </c>
      <c r="I421">
        <v>-5.3510528000000002E-2</v>
      </c>
      <c r="J421">
        <v>0.48697093000000002</v>
      </c>
    </row>
    <row r="422" spans="1:10" x14ac:dyDescent="0.3">
      <c r="A422">
        <v>420</v>
      </c>
      <c r="B422">
        <v>10409</v>
      </c>
      <c r="C422" t="b">
        <v>1</v>
      </c>
      <c r="D422">
        <v>8054</v>
      </c>
      <c r="E422">
        <v>8111</v>
      </c>
      <c r="F422">
        <v>206.06666999999999</v>
      </c>
      <c r="G422">
        <v>195.6</v>
      </c>
      <c r="H422">
        <v>1.0535105</v>
      </c>
      <c r="I422">
        <v>-5.3510528000000002E-2</v>
      </c>
      <c r="J422">
        <v>0.48697093000000002</v>
      </c>
    </row>
    <row r="423" spans="1:10" x14ac:dyDescent="0.3">
      <c r="A423">
        <v>421</v>
      </c>
      <c r="B423">
        <v>10441</v>
      </c>
      <c r="C423" t="b">
        <v>1</v>
      </c>
      <c r="D423">
        <v>8065</v>
      </c>
      <c r="E423">
        <v>8129</v>
      </c>
      <c r="F423">
        <v>206.86667</v>
      </c>
      <c r="G423">
        <v>195.6</v>
      </c>
      <c r="H423">
        <v>1.0576004999999999</v>
      </c>
      <c r="I423">
        <v>-5.7600524E-2</v>
      </c>
      <c r="J423">
        <v>0.48600297999999997</v>
      </c>
    </row>
    <row r="424" spans="1:10" x14ac:dyDescent="0.3">
      <c r="A424">
        <v>422</v>
      </c>
      <c r="B424">
        <v>10457</v>
      </c>
      <c r="C424" t="b">
        <v>1</v>
      </c>
      <c r="D424">
        <v>8023</v>
      </c>
      <c r="E424">
        <v>8099</v>
      </c>
      <c r="F424">
        <v>206.86667</v>
      </c>
      <c r="G424">
        <v>195.6</v>
      </c>
      <c r="H424">
        <v>1.0576004999999999</v>
      </c>
      <c r="I424">
        <v>-5.7600524E-2</v>
      </c>
      <c r="J424">
        <v>0.48600297999999997</v>
      </c>
    </row>
    <row r="425" spans="1:10" x14ac:dyDescent="0.3">
      <c r="A425">
        <v>423</v>
      </c>
      <c r="B425">
        <v>10488</v>
      </c>
      <c r="C425" t="b">
        <v>1</v>
      </c>
      <c r="D425">
        <v>8042</v>
      </c>
      <c r="E425">
        <v>8129</v>
      </c>
      <c r="F425">
        <v>207.66667000000001</v>
      </c>
      <c r="G425">
        <v>196</v>
      </c>
      <c r="H425">
        <v>1.0595238</v>
      </c>
      <c r="I425">
        <v>-5.9523835999999997E-2</v>
      </c>
      <c r="J425">
        <v>0.48554912</v>
      </c>
    </row>
    <row r="426" spans="1:10" x14ac:dyDescent="0.3">
      <c r="A426">
        <v>424</v>
      </c>
      <c r="B426">
        <v>10521</v>
      </c>
      <c r="C426" t="b">
        <v>1</v>
      </c>
      <c r="D426">
        <v>8054</v>
      </c>
      <c r="E426">
        <v>8099</v>
      </c>
      <c r="F426">
        <v>208.46665999999999</v>
      </c>
      <c r="G426">
        <v>196.4</v>
      </c>
      <c r="H426">
        <v>1.0614393</v>
      </c>
      <c r="I426">
        <v>-6.1439235000000002E-2</v>
      </c>
      <c r="J426">
        <v>0.48509799999999997</v>
      </c>
    </row>
    <row r="427" spans="1:10" x14ac:dyDescent="0.3">
      <c r="A427">
        <v>425</v>
      </c>
      <c r="B427">
        <v>10552</v>
      </c>
      <c r="C427" t="b">
        <v>1</v>
      </c>
      <c r="D427">
        <v>8037</v>
      </c>
      <c r="E427">
        <v>8123</v>
      </c>
      <c r="F427">
        <v>207.66667000000001</v>
      </c>
      <c r="G427">
        <v>197.2</v>
      </c>
      <c r="H427">
        <v>1.0530763999999999</v>
      </c>
      <c r="I427">
        <v>-5.3076445999999999E-2</v>
      </c>
      <c r="J427">
        <v>0.48707392999999999</v>
      </c>
    </row>
    <row r="428" spans="1:10" x14ac:dyDescent="0.3">
      <c r="A428">
        <v>426</v>
      </c>
      <c r="B428">
        <v>10568</v>
      </c>
      <c r="C428" t="b">
        <v>1</v>
      </c>
      <c r="D428">
        <v>8037</v>
      </c>
      <c r="E428">
        <v>8111</v>
      </c>
      <c r="F428">
        <v>206.53334000000001</v>
      </c>
      <c r="G428">
        <v>197.2</v>
      </c>
      <c r="H428">
        <v>1.0473292999999999</v>
      </c>
      <c r="I428">
        <v>-4.7329330000000003E-2</v>
      </c>
      <c r="J428">
        <v>0.48844120000000002</v>
      </c>
    </row>
    <row r="429" spans="1:10" x14ac:dyDescent="0.3">
      <c r="A429">
        <v>427</v>
      </c>
      <c r="B429">
        <v>10584</v>
      </c>
      <c r="C429" t="b">
        <v>1</v>
      </c>
      <c r="D429">
        <v>8037</v>
      </c>
      <c r="E429">
        <v>8111</v>
      </c>
      <c r="F429">
        <v>205.4</v>
      </c>
      <c r="G429">
        <v>197.2</v>
      </c>
      <c r="H429">
        <v>1.0415821000000001</v>
      </c>
      <c r="I429">
        <v>-4.1582134E-2</v>
      </c>
      <c r="J429">
        <v>0.48981622000000002</v>
      </c>
    </row>
    <row r="430" spans="1:10" x14ac:dyDescent="0.3">
      <c r="A430">
        <v>428</v>
      </c>
      <c r="B430">
        <v>10616</v>
      </c>
      <c r="C430" t="b">
        <v>1</v>
      </c>
      <c r="D430">
        <v>8060</v>
      </c>
      <c r="E430">
        <v>8111</v>
      </c>
      <c r="F430">
        <v>204.26666</v>
      </c>
      <c r="G430">
        <v>197.2</v>
      </c>
      <c r="H430">
        <v>1.0358350000000001</v>
      </c>
      <c r="I430">
        <v>-3.5835020000000002E-2</v>
      </c>
      <c r="J430">
        <v>0.49119892999999998</v>
      </c>
    </row>
    <row r="431" spans="1:10" x14ac:dyDescent="0.3">
      <c r="A431">
        <v>429</v>
      </c>
      <c r="B431">
        <v>10647</v>
      </c>
      <c r="C431" t="b">
        <v>1</v>
      </c>
      <c r="D431">
        <v>8037</v>
      </c>
      <c r="E431">
        <v>8117</v>
      </c>
      <c r="F431">
        <v>203.93333000000001</v>
      </c>
      <c r="G431">
        <v>197.2</v>
      </c>
      <c r="H431">
        <v>1.0341448</v>
      </c>
      <c r="I431">
        <v>-3.4144714E-2</v>
      </c>
      <c r="J431">
        <v>0.49160710000000002</v>
      </c>
    </row>
    <row r="432" spans="1:10" x14ac:dyDescent="0.3">
      <c r="A432">
        <v>430</v>
      </c>
      <c r="B432">
        <v>10679</v>
      </c>
      <c r="C432" t="b">
        <v>1</v>
      </c>
      <c r="D432">
        <v>8037</v>
      </c>
      <c r="E432">
        <v>8105</v>
      </c>
      <c r="F432">
        <v>203.6</v>
      </c>
      <c r="G432">
        <v>197.2</v>
      </c>
      <c r="H432">
        <v>1.0324544</v>
      </c>
      <c r="I432">
        <v>-3.2454410000000003E-2</v>
      </c>
      <c r="J432">
        <v>0.49201600000000001</v>
      </c>
    </row>
    <row r="433" spans="1:10" x14ac:dyDescent="0.3">
      <c r="A433">
        <v>431</v>
      </c>
      <c r="B433">
        <v>10711</v>
      </c>
      <c r="C433" t="b">
        <v>1</v>
      </c>
      <c r="D433">
        <v>8048</v>
      </c>
      <c r="E433">
        <v>8111</v>
      </c>
      <c r="F433">
        <v>203.26666</v>
      </c>
      <c r="G433">
        <v>196.8</v>
      </c>
      <c r="H433">
        <v>1.0328591</v>
      </c>
      <c r="I433">
        <v>-3.2859041999999998E-2</v>
      </c>
      <c r="J433">
        <v>0.49191803000000001</v>
      </c>
    </row>
    <row r="434" spans="1:10" x14ac:dyDescent="0.3">
      <c r="A434">
        <v>432</v>
      </c>
      <c r="B434">
        <v>10743</v>
      </c>
      <c r="C434" t="b">
        <v>1</v>
      </c>
      <c r="D434">
        <v>8054</v>
      </c>
      <c r="E434">
        <v>8123</v>
      </c>
      <c r="F434">
        <v>203.66667000000001</v>
      </c>
      <c r="G434">
        <v>196.8</v>
      </c>
      <c r="H434">
        <v>1.0348915999999999</v>
      </c>
      <c r="I434">
        <v>-3.4891610000000003E-2</v>
      </c>
      <c r="J434">
        <v>0.49142668</v>
      </c>
    </row>
    <row r="435" spans="1:10" x14ac:dyDescent="0.3">
      <c r="A435">
        <v>433</v>
      </c>
      <c r="B435">
        <v>10774</v>
      </c>
      <c r="C435" t="b">
        <v>1</v>
      </c>
      <c r="D435">
        <v>8054</v>
      </c>
      <c r="E435">
        <v>8099</v>
      </c>
      <c r="F435">
        <v>204.4</v>
      </c>
      <c r="G435">
        <v>196.8</v>
      </c>
      <c r="H435">
        <v>1.0386177999999999</v>
      </c>
      <c r="I435">
        <v>-3.861784E-2</v>
      </c>
      <c r="J435">
        <v>0.49052839999999998</v>
      </c>
    </row>
    <row r="436" spans="1:10" x14ac:dyDescent="0.3">
      <c r="A436">
        <v>434</v>
      </c>
      <c r="B436">
        <v>10806</v>
      </c>
      <c r="C436" t="b">
        <v>1</v>
      </c>
      <c r="D436">
        <v>8065</v>
      </c>
      <c r="E436">
        <v>8099</v>
      </c>
      <c r="F436">
        <v>205.2</v>
      </c>
      <c r="G436">
        <v>196.4</v>
      </c>
      <c r="H436">
        <v>1.0448065</v>
      </c>
      <c r="I436">
        <v>-4.4806533000000003E-2</v>
      </c>
      <c r="J436">
        <v>0.48904383000000001</v>
      </c>
    </row>
    <row r="437" spans="1:10" x14ac:dyDescent="0.3">
      <c r="A437">
        <v>435</v>
      </c>
      <c r="B437">
        <v>10837</v>
      </c>
      <c r="C437" t="b">
        <v>1</v>
      </c>
      <c r="D437">
        <v>8060</v>
      </c>
      <c r="E437">
        <v>8134</v>
      </c>
      <c r="F437">
        <v>205.6</v>
      </c>
      <c r="G437">
        <v>196.4</v>
      </c>
      <c r="H437">
        <v>1.0468432999999999</v>
      </c>
      <c r="I437">
        <v>-4.6843242E-2</v>
      </c>
      <c r="J437">
        <v>0.48855720000000002</v>
      </c>
    </row>
    <row r="438" spans="1:10" x14ac:dyDescent="0.3">
      <c r="A438">
        <v>436</v>
      </c>
      <c r="B438">
        <v>10853</v>
      </c>
      <c r="C438" t="b">
        <v>1</v>
      </c>
      <c r="D438">
        <v>8054</v>
      </c>
      <c r="E438">
        <v>8105</v>
      </c>
      <c r="F438">
        <v>205.6</v>
      </c>
      <c r="G438">
        <v>196</v>
      </c>
      <c r="H438">
        <v>1.0489796</v>
      </c>
      <c r="I438">
        <v>-4.8979620000000001E-2</v>
      </c>
      <c r="J438">
        <v>0.48804779999999998</v>
      </c>
    </row>
    <row r="439" spans="1:10" x14ac:dyDescent="0.3">
      <c r="A439">
        <v>437</v>
      </c>
      <c r="B439">
        <v>10884</v>
      </c>
      <c r="C439" t="b">
        <v>1</v>
      </c>
      <c r="D439">
        <v>8054</v>
      </c>
      <c r="E439">
        <v>8105</v>
      </c>
      <c r="F439">
        <v>205.6</v>
      </c>
      <c r="G439">
        <v>195.6</v>
      </c>
      <c r="H439">
        <v>1.0511246999999999</v>
      </c>
      <c r="I439">
        <v>-5.1124744E-2</v>
      </c>
      <c r="J439">
        <v>0.48753738000000002</v>
      </c>
    </row>
    <row r="440" spans="1:10" x14ac:dyDescent="0.3">
      <c r="A440">
        <v>438</v>
      </c>
      <c r="B440">
        <v>10916</v>
      </c>
      <c r="C440" t="b">
        <v>1</v>
      </c>
      <c r="D440">
        <v>8023</v>
      </c>
      <c r="E440">
        <v>8129</v>
      </c>
      <c r="F440">
        <v>205.6</v>
      </c>
      <c r="G440">
        <v>195.2</v>
      </c>
      <c r="H440">
        <v>1.0532786999999999</v>
      </c>
      <c r="I440">
        <v>-5.3278737E-2</v>
      </c>
      <c r="J440">
        <v>0.48702594999999999</v>
      </c>
    </row>
    <row r="441" spans="1:10" x14ac:dyDescent="0.3">
      <c r="A441">
        <v>439</v>
      </c>
      <c r="B441">
        <v>10948</v>
      </c>
      <c r="C441" t="b">
        <v>1</v>
      </c>
      <c r="D441">
        <v>8030</v>
      </c>
      <c r="E441">
        <v>8099</v>
      </c>
      <c r="F441">
        <v>205.6</v>
      </c>
      <c r="G441">
        <v>194.8</v>
      </c>
      <c r="H441">
        <v>1.0554414999999999</v>
      </c>
      <c r="I441">
        <v>-5.5441495E-2</v>
      </c>
      <c r="J441">
        <v>0.48651347</v>
      </c>
    </row>
    <row r="442" spans="1:10" x14ac:dyDescent="0.3">
      <c r="A442">
        <v>440</v>
      </c>
      <c r="B442">
        <v>10980</v>
      </c>
      <c r="C442" t="b">
        <v>1</v>
      </c>
      <c r="D442">
        <v>8048</v>
      </c>
      <c r="E442">
        <v>8111</v>
      </c>
      <c r="F442">
        <v>206</v>
      </c>
      <c r="G442">
        <v>193.6</v>
      </c>
      <c r="H442">
        <v>1.0640495999999999</v>
      </c>
      <c r="I442">
        <v>-6.4049560000000005E-2</v>
      </c>
      <c r="J442">
        <v>0.48448449999999998</v>
      </c>
    </row>
    <row r="443" spans="1:10" x14ac:dyDescent="0.3">
      <c r="A443">
        <v>441</v>
      </c>
      <c r="B443">
        <v>11012</v>
      </c>
      <c r="C443" t="b">
        <v>1</v>
      </c>
      <c r="D443">
        <v>8037</v>
      </c>
      <c r="E443">
        <v>8105</v>
      </c>
      <c r="F443">
        <v>206</v>
      </c>
      <c r="G443">
        <v>193.2</v>
      </c>
      <c r="H443">
        <v>1.0662526000000001</v>
      </c>
      <c r="I443">
        <v>-6.6252604000000007E-2</v>
      </c>
      <c r="J443">
        <v>0.48396790000000001</v>
      </c>
    </row>
    <row r="444" spans="1:10" x14ac:dyDescent="0.3">
      <c r="A444">
        <v>442</v>
      </c>
      <c r="B444">
        <v>11028</v>
      </c>
      <c r="C444" t="b">
        <v>1</v>
      </c>
      <c r="D444">
        <v>8048</v>
      </c>
      <c r="E444">
        <v>8093</v>
      </c>
      <c r="F444">
        <v>206</v>
      </c>
      <c r="G444">
        <v>192.8</v>
      </c>
      <c r="H444">
        <v>1.0684648000000001</v>
      </c>
      <c r="I444">
        <v>-6.8464709999999998E-2</v>
      </c>
      <c r="J444">
        <v>0.48345038000000001</v>
      </c>
    </row>
    <row r="445" spans="1:10" x14ac:dyDescent="0.3">
      <c r="A445">
        <v>443</v>
      </c>
      <c r="B445">
        <v>11044</v>
      </c>
      <c r="C445" t="b">
        <v>1</v>
      </c>
      <c r="D445">
        <v>8042</v>
      </c>
      <c r="E445">
        <v>8111</v>
      </c>
      <c r="F445">
        <v>206.33332999999999</v>
      </c>
      <c r="G445">
        <v>192.4</v>
      </c>
      <c r="H445">
        <v>1.0724186</v>
      </c>
      <c r="I445">
        <v>-7.2418579999999996E-2</v>
      </c>
      <c r="J445">
        <v>0.48252796999999997</v>
      </c>
    </row>
    <row r="446" spans="1:10" x14ac:dyDescent="0.3">
      <c r="A446">
        <v>444</v>
      </c>
      <c r="B446">
        <v>11060</v>
      </c>
      <c r="C446" t="b">
        <v>1</v>
      </c>
      <c r="D446">
        <v>8030</v>
      </c>
      <c r="E446">
        <v>8105</v>
      </c>
      <c r="F446">
        <v>206.66667000000001</v>
      </c>
      <c r="G446">
        <v>192</v>
      </c>
      <c r="H446">
        <v>1.076389</v>
      </c>
      <c r="I446">
        <v>-7.6388919999999999E-2</v>
      </c>
      <c r="J446">
        <v>0.48160532</v>
      </c>
    </row>
    <row r="447" spans="1:10" x14ac:dyDescent="0.3">
      <c r="A447">
        <v>445</v>
      </c>
      <c r="B447">
        <v>11091</v>
      </c>
      <c r="C447" t="b">
        <v>1</v>
      </c>
      <c r="D447">
        <v>8060</v>
      </c>
      <c r="E447">
        <v>8093</v>
      </c>
      <c r="F447">
        <v>207</v>
      </c>
      <c r="G447">
        <v>191.6</v>
      </c>
      <c r="H447">
        <v>1.0803758000000001</v>
      </c>
      <c r="I447">
        <v>-8.0375745999999998E-2</v>
      </c>
      <c r="J447">
        <v>0.48068240000000001</v>
      </c>
    </row>
    <row r="448" spans="1:10" x14ac:dyDescent="0.3">
      <c r="A448">
        <v>446</v>
      </c>
      <c r="B448">
        <v>11124</v>
      </c>
      <c r="C448" t="b">
        <v>1</v>
      </c>
      <c r="D448">
        <v>8042</v>
      </c>
      <c r="E448">
        <v>8105</v>
      </c>
      <c r="F448">
        <v>207.33332999999999</v>
      </c>
      <c r="G448">
        <v>191.2</v>
      </c>
      <c r="H448">
        <v>1.0843792999999999</v>
      </c>
      <c r="I448">
        <v>-8.4379350000000006E-2</v>
      </c>
      <c r="J448">
        <v>0.47975912999999998</v>
      </c>
    </row>
    <row r="449" spans="1:10" x14ac:dyDescent="0.3">
      <c r="A449">
        <v>447</v>
      </c>
      <c r="B449">
        <v>11140</v>
      </c>
      <c r="C449" t="b">
        <v>1</v>
      </c>
      <c r="D449">
        <v>8048</v>
      </c>
      <c r="E449">
        <v>8093</v>
      </c>
      <c r="F449">
        <v>206.93333000000001</v>
      </c>
      <c r="G449">
        <v>190.8</v>
      </c>
      <c r="H449">
        <v>1.0845562</v>
      </c>
      <c r="I449">
        <v>-8.4556244000000003E-2</v>
      </c>
      <c r="J449">
        <v>0.47971841999999998</v>
      </c>
    </row>
    <row r="450" spans="1:10" x14ac:dyDescent="0.3">
      <c r="A450">
        <v>448</v>
      </c>
      <c r="B450">
        <v>11171</v>
      </c>
      <c r="C450" t="b">
        <v>1</v>
      </c>
      <c r="D450">
        <v>8037</v>
      </c>
      <c r="E450">
        <v>8129</v>
      </c>
      <c r="F450">
        <v>206.53334000000001</v>
      </c>
      <c r="G450">
        <v>190.4</v>
      </c>
      <c r="H450">
        <v>1.0847340000000001</v>
      </c>
      <c r="I450">
        <v>-8.4733959999999997E-2</v>
      </c>
      <c r="J450">
        <v>0.47967749999999998</v>
      </c>
    </row>
    <row r="451" spans="1:10" x14ac:dyDescent="0.3">
      <c r="A451">
        <v>449</v>
      </c>
      <c r="B451">
        <v>11203</v>
      </c>
      <c r="C451" t="b">
        <v>1</v>
      </c>
      <c r="D451">
        <v>8042</v>
      </c>
      <c r="E451">
        <v>8105</v>
      </c>
      <c r="F451">
        <v>205.73334</v>
      </c>
      <c r="G451">
        <v>190.4</v>
      </c>
      <c r="H451">
        <v>1.0805323</v>
      </c>
      <c r="I451">
        <v>-8.0532270000000003E-2</v>
      </c>
      <c r="J451">
        <v>0.48064622000000001</v>
      </c>
    </row>
    <row r="452" spans="1:10" x14ac:dyDescent="0.3">
      <c r="A452">
        <v>450</v>
      </c>
      <c r="B452">
        <v>11219</v>
      </c>
      <c r="C452" t="b">
        <v>1</v>
      </c>
      <c r="D452">
        <v>8065</v>
      </c>
      <c r="E452">
        <v>8111</v>
      </c>
      <c r="F452">
        <v>204.93333000000001</v>
      </c>
      <c r="G452">
        <v>190</v>
      </c>
      <c r="H452">
        <v>1.0785965</v>
      </c>
      <c r="I452">
        <v>-7.8596495000000002E-2</v>
      </c>
      <c r="J452">
        <v>0.48109382000000001</v>
      </c>
    </row>
    <row r="453" spans="1:10" x14ac:dyDescent="0.3">
      <c r="A453">
        <v>451</v>
      </c>
      <c r="B453">
        <v>11235</v>
      </c>
      <c r="C453" t="b">
        <v>1</v>
      </c>
      <c r="D453">
        <v>8042</v>
      </c>
      <c r="E453">
        <v>8117</v>
      </c>
      <c r="F453">
        <v>204.13333</v>
      </c>
      <c r="G453">
        <v>190.4</v>
      </c>
      <c r="H453">
        <v>1.0721289000000001</v>
      </c>
      <c r="I453">
        <v>-7.2128880000000006E-2</v>
      </c>
      <c r="J453">
        <v>0.48259547000000003</v>
      </c>
    </row>
    <row r="454" spans="1:10" x14ac:dyDescent="0.3">
      <c r="A454">
        <v>452</v>
      </c>
      <c r="B454">
        <v>11267</v>
      </c>
      <c r="C454" t="b">
        <v>1</v>
      </c>
      <c r="D454">
        <v>8054</v>
      </c>
      <c r="E454">
        <v>8123</v>
      </c>
      <c r="F454">
        <v>203.33332999999999</v>
      </c>
      <c r="G454">
        <v>191.2</v>
      </c>
      <c r="H454">
        <v>1.0634588</v>
      </c>
      <c r="I454">
        <v>-6.3458845E-2</v>
      </c>
      <c r="J454">
        <v>0.48462319999999998</v>
      </c>
    </row>
    <row r="455" spans="1:10" x14ac:dyDescent="0.3">
      <c r="A455">
        <v>453</v>
      </c>
      <c r="B455">
        <v>11298</v>
      </c>
      <c r="C455" t="b">
        <v>1</v>
      </c>
      <c r="D455">
        <v>8054</v>
      </c>
      <c r="E455">
        <v>8123</v>
      </c>
      <c r="F455">
        <v>203.33332999999999</v>
      </c>
      <c r="G455">
        <v>192</v>
      </c>
      <c r="H455">
        <v>1.0590278</v>
      </c>
      <c r="I455">
        <v>-5.9027749999999997E-2</v>
      </c>
      <c r="J455">
        <v>0.48566612999999997</v>
      </c>
    </row>
    <row r="456" spans="1:10" x14ac:dyDescent="0.3">
      <c r="A456">
        <v>454</v>
      </c>
      <c r="B456">
        <v>11330</v>
      </c>
      <c r="C456" t="b">
        <v>1</v>
      </c>
      <c r="D456">
        <v>8060</v>
      </c>
      <c r="E456">
        <v>8105</v>
      </c>
      <c r="F456">
        <v>203.33332999999999</v>
      </c>
      <c r="G456">
        <v>192.8</v>
      </c>
      <c r="H456">
        <v>1.0546333999999999</v>
      </c>
      <c r="I456">
        <v>-5.4633426999999998E-2</v>
      </c>
      <c r="J456">
        <v>0.48670482999999998</v>
      </c>
    </row>
    <row r="457" spans="1:10" x14ac:dyDescent="0.3">
      <c r="A457">
        <v>455</v>
      </c>
      <c r="B457">
        <v>11362</v>
      </c>
      <c r="C457" t="b">
        <v>1</v>
      </c>
      <c r="D457">
        <v>8054</v>
      </c>
      <c r="E457">
        <v>8093</v>
      </c>
      <c r="F457">
        <v>203.73334</v>
      </c>
      <c r="G457">
        <v>193.6</v>
      </c>
      <c r="H457">
        <v>1.0523416000000001</v>
      </c>
      <c r="I457">
        <v>-5.2341583999999997E-2</v>
      </c>
      <c r="J457">
        <v>0.48724833000000001</v>
      </c>
    </row>
    <row r="458" spans="1:10" x14ac:dyDescent="0.3">
      <c r="A458">
        <v>456</v>
      </c>
      <c r="B458">
        <v>11393</v>
      </c>
      <c r="C458" t="b">
        <v>1</v>
      </c>
      <c r="D458">
        <v>8037</v>
      </c>
      <c r="E458">
        <v>8099</v>
      </c>
      <c r="F458">
        <v>204.86667</v>
      </c>
      <c r="G458">
        <v>193.6</v>
      </c>
      <c r="H458">
        <v>1.0581955999999999</v>
      </c>
      <c r="I458">
        <v>-5.8195570000000002E-2</v>
      </c>
      <c r="J458">
        <v>0.48586246</v>
      </c>
    </row>
    <row r="459" spans="1:10" x14ac:dyDescent="0.3">
      <c r="A459">
        <v>457</v>
      </c>
      <c r="B459">
        <v>11425</v>
      </c>
      <c r="C459" t="b">
        <v>1</v>
      </c>
      <c r="D459">
        <v>8077</v>
      </c>
      <c r="E459">
        <v>8129</v>
      </c>
      <c r="F459">
        <v>206</v>
      </c>
      <c r="G459">
        <v>193.6</v>
      </c>
      <c r="H459">
        <v>1.0640495999999999</v>
      </c>
      <c r="I459">
        <v>-6.4049560000000005E-2</v>
      </c>
      <c r="J459">
        <v>0.48448449999999998</v>
      </c>
    </row>
    <row r="460" spans="1:10" x14ac:dyDescent="0.3">
      <c r="A460">
        <v>458</v>
      </c>
      <c r="B460">
        <v>11441</v>
      </c>
      <c r="C460" t="b">
        <v>1</v>
      </c>
      <c r="D460">
        <v>8054</v>
      </c>
      <c r="E460">
        <v>8117</v>
      </c>
      <c r="F460">
        <v>206.8</v>
      </c>
      <c r="G460">
        <v>193.6</v>
      </c>
      <c r="H460">
        <v>1.0681818000000001</v>
      </c>
      <c r="I460">
        <v>-6.8181800000000001E-2</v>
      </c>
      <c r="J460">
        <v>0.48351644999999999</v>
      </c>
    </row>
    <row r="461" spans="1:10" x14ac:dyDescent="0.3">
      <c r="A461">
        <v>459</v>
      </c>
      <c r="B461">
        <v>11457</v>
      </c>
      <c r="C461" t="b">
        <v>1</v>
      </c>
      <c r="D461">
        <v>8054</v>
      </c>
      <c r="E461">
        <v>8105</v>
      </c>
      <c r="F461">
        <v>207.6</v>
      </c>
      <c r="G461">
        <v>193.6</v>
      </c>
      <c r="H461">
        <v>1.072314</v>
      </c>
      <c r="I461">
        <v>-7.2314050000000005E-2</v>
      </c>
      <c r="J461">
        <v>0.48255235000000002</v>
      </c>
    </row>
    <row r="462" spans="1:10" x14ac:dyDescent="0.3">
      <c r="A462">
        <v>460</v>
      </c>
      <c r="B462">
        <v>11488</v>
      </c>
      <c r="C462" t="b">
        <v>1</v>
      </c>
      <c r="D462">
        <v>8077</v>
      </c>
      <c r="E462">
        <v>8099</v>
      </c>
      <c r="F462">
        <v>208.4</v>
      </c>
      <c r="G462">
        <v>193.6</v>
      </c>
      <c r="H462">
        <v>1.0764461999999999</v>
      </c>
      <c r="I462">
        <v>-7.6446210000000001E-2</v>
      </c>
      <c r="J462">
        <v>0.48159205999999999</v>
      </c>
    </row>
    <row r="463" spans="1:10" x14ac:dyDescent="0.3">
      <c r="A463">
        <v>461</v>
      </c>
      <c r="B463">
        <v>11521</v>
      </c>
      <c r="C463" t="b">
        <v>1</v>
      </c>
      <c r="D463">
        <v>8042</v>
      </c>
      <c r="E463">
        <v>8093</v>
      </c>
      <c r="F463">
        <v>209.2</v>
      </c>
      <c r="G463">
        <v>193.6</v>
      </c>
      <c r="H463">
        <v>1.0805784</v>
      </c>
      <c r="I463">
        <v>-8.0578460000000005E-2</v>
      </c>
      <c r="J463">
        <v>0.48063558000000001</v>
      </c>
    </row>
    <row r="464" spans="1:10" x14ac:dyDescent="0.3">
      <c r="A464">
        <v>462</v>
      </c>
      <c r="B464">
        <v>11536</v>
      </c>
      <c r="C464" t="b">
        <v>1</v>
      </c>
      <c r="D464">
        <v>8030</v>
      </c>
      <c r="E464">
        <v>8099</v>
      </c>
      <c r="F464">
        <v>210</v>
      </c>
      <c r="G464">
        <v>193.2</v>
      </c>
      <c r="H464">
        <v>1.0869565000000001</v>
      </c>
      <c r="I464">
        <v>-8.6956539999999999E-2</v>
      </c>
      <c r="J464">
        <v>0.47916666000000002</v>
      </c>
    </row>
    <row r="465" spans="1:10" x14ac:dyDescent="0.3">
      <c r="A465">
        <v>463</v>
      </c>
      <c r="B465">
        <v>11552</v>
      </c>
      <c r="C465" t="b">
        <v>1</v>
      </c>
      <c r="D465">
        <v>8048</v>
      </c>
      <c r="E465">
        <v>8111</v>
      </c>
      <c r="F465">
        <v>210.4</v>
      </c>
      <c r="G465">
        <v>192.8</v>
      </c>
      <c r="H465">
        <v>1.0912862999999999</v>
      </c>
      <c r="I465">
        <v>-9.1286259999999994E-2</v>
      </c>
      <c r="J465">
        <v>0.47817460000000001</v>
      </c>
    </row>
    <row r="466" spans="1:10" x14ac:dyDescent="0.3">
      <c r="A466">
        <v>464</v>
      </c>
      <c r="B466">
        <v>11568</v>
      </c>
      <c r="C466" t="b">
        <v>1</v>
      </c>
      <c r="D466">
        <v>8023</v>
      </c>
      <c r="E466">
        <v>8117</v>
      </c>
      <c r="F466">
        <v>210.4</v>
      </c>
      <c r="G466">
        <v>192.4</v>
      </c>
      <c r="H466">
        <v>1.0935550999999999</v>
      </c>
      <c r="I466">
        <v>-9.3555089999999994E-2</v>
      </c>
      <c r="J466">
        <v>0.47765639999999998</v>
      </c>
    </row>
    <row r="467" spans="1:10" x14ac:dyDescent="0.3">
      <c r="A467">
        <v>465</v>
      </c>
      <c r="B467">
        <v>11600</v>
      </c>
      <c r="C467" t="b">
        <v>1</v>
      </c>
      <c r="D467">
        <v>8054</v>
      </c>
      <c r="E467">
        <v>8111</v>
      </c>
      <c r="F467">
        <v>210.4</v>
      </c>
      <c r="G467">
        <v>192.8</v>
      </c>
      <c r="H467">
        <v>1.0912862999999999</v>
      </c>
      <c r="I467">
        <v>-9.1286259999999994E-2</v>
      </c>
      <c r="J467">
        <v>0.47817460000000001</v>
      </c>
    </row>
    <row r="468" spans="1:10" x14ac:dyDescent="0.3">
      <c r="A468">
        <v>466</v>
      </c>
      <c r="B468">
        <v>11632</v>
      </c>
      <c r="C468" t="b">
        <v>1</v>
      </c>
      <c r="D468">
        <v>8037</v>
      </c>
      <c r="E468">
        <v>8087</v>
      </c>
      <c r="F468">
        <v>210.06666999999999</v>
      </c>
      <c r="G468">
        <v>192.8</v>
      </c>
      <c r="H468">
        <v>1.0895573999999999</v>
      </c>
      <c r="I468">
        <v>-8.9557380000000006E-2</v>
      </c>
      <c r="J468">
        <v>0.47857024999999997</v>
      </c>
    </row>
    <row r="469" spans="1:10" x14ac:dyDescent="0.3">
      <c r="A469">
        <v>467</v>
      </c>
      <c r="B469">
        <v>11664</v>
      </c>
      <c r="C469" t="b">
        <v>1</v>
      </c>
      <c r="D469">
        <v>8054</v>
      </c>
      <c r="E469">
        <v>8111</v>
      </c>
      <c r="F469">
        <v>210.46665999999999</v>
      </c>
      <c r="G469">
        <v>192.4</v>
      </c>
      <c r="H469">
        <v>1.0939015999999999</v>
      </c>
      <c r="I469">
        <v>-9.3901589999999993E-2</v>
      </c>
      <c r="J469">
        <v>0.47757739999999999</v>
      </c>
    </row>
    <row r="470" spans="1:10" x14ac:dyDescent="0.3">
      <c r="A470">
        <v>468</v>
      </c>
      <c r="B470">
        <v>11695</v>
      </c>
      <c r="C470" t="b">
        <v>1</v>
      </c>
      <c r="D470">
        <v>8042</v>
      </c>
      <c r="E470">
        <v>8134</v>
      </c>
      <c r="F470">
        <v>209.66667000000001</v>
      </c>
      <c r="G470">
        <v>192</v>
      </c>
      <c r="H470">
        <v>1.092014</v>
      </c>
      <c r="I470">
        <v>-9.2013919999999999E-2</v>
      </c>
      <c r="J470">
        <v>0.47800827000000001</v>
      </c>
    </row>
    <row r="471" spans="1:10" x14ac:dyDescent="0.3">
      <c r="A471">
        <v>469</v>
      </c>
      <c r="B471">
        <v>11711</v>
      </c>
      <c r="C471" t="b">
        <v>1</v>
      </c>
      <c r="D471">
        <v>8054</v>
      </c>
      <c r="E471">
        <v>8129</v>
      </c>
      <c r="F471">
        <v>209.66667000000001</v>
      </c>
      <c r="G471">
        <v>191.6</v>
      </c>
      <c r="H471">
        <v>1.0942936999999999</v>
      </c>
      <c r="I471">
        <v>-9.4293660000000001E-2</v>
      </c>
      <c r="J471">
        <v>0.47748797999999998</v>
      </c>
    </row>
    <row r="472" spans="1:10" x14ac:dyDescent="0.3">
      <c r="A472">
        <v>470</v>
      </c>
      <c r="B472">
        <v>11743</v>
      </c>
      <c r="C472" t="b">
        <v>1</v>
      </c>
      <c r="D472">
        <v>8042</v>
      </c>
      <c r="E472">
        <v>8117</v>
      </c>
      <c r="F472">
        <v>208.86667</v>
      </c>
      <c r="G472">
        <v>191.6</v>
      </c>
      <c r="H472">
        <v>1.0901183000000001</v>
      </c>
      <c r="I472">
        <v>-9.0118279999999995E-2</v>
      </c>
      <c r="J472">
        <v>0.47844183000000001</v>
      </c>
    </row>
    <row r="473" spans="1:10" x14ac:dyDescent="0.3">
      <c r="A473">
        <v>471</v>
      </c>
      <c r="B473">
        <v>11775</v>
      </c>
      <c r="C473" t="b">
        <v>1</v>
      </c>
      <c r="D473">
        <v>8037</v>
      </c>
      <c r="E473">
        <v>8111</v>
      </c>
      <c r="F473">
        <v>208.06666999999999</v>
      </c>
      <c r="G473">
        <v>192.4</v>
      </c>
      <c r="H473">
        <v>1.0814276</v>
      </c>
      <c r="I473">
        <v>-8.1427609999999997E-2</v>
      </c>
      <c r="J473">
        <v>0.48043944999999999</v>
      </c>
    </row>
    <row r="474" spans="1:10" x14ac:dyDescent="0.3">
      <c r="A474">
        <v>472</v>
      </c>
      <c r="B474">
        <v>11807</v>
      </c>
      <c r="C474" t="b">
        <v>1</v>
      </c>
      <c r="D474">
        <v>8042</v>
      </c>
      <c r="E474">
        <v>8140</v>
      </c>
      <c r="F474">
        <v>207.26666</v>
      </c>
      <c r="G474">
        <v>194</v>
      </c>
      <c r="H474">
        <v>1.0683849000000001</v>
      </c>
      <c r="I474">
        <v>-6.8384855999999994E-2</v>
      </c>
      <c r="J474">
        <v>0.48346899999999998</v>
      </c>
    </row>
    <row r="475" spans="1:10" x14ac:dyDescent="0.3">
      <c r="A475">
        <v>473</v>
      </c>
      <c r="B475">
        <v>11838</v>
      </c>
      <c r="C475" t="b">
        <v>1</v>
      </c>
      <c r="D475">
        <v>8030</v>
      </c>
      <c r="E475">
        <v>8129</v>
      </c>
      <c r="F475">
        <v>206.46665999999999</v>
      </c>
      <c r="G475">
        <v>195.6</v>
      </c>
      <c r="H475">
        <v>1.0555555000000001</v>
      </c>
      <c r="I475">
        <v>-5.5555485000000002E-2</v>
      </c>
      <c r="J475">
        <v>0.48648651999999998</v>
      </c>
    </row>
    <row r="476" spans="1:10" x14ac:dyDescent="0.3">
      <c r="A476">
        <v>474</v>
      </c>
      <c r="B476">
        <v>11870</v>
      </c>
      <c r="C476" t="b">
        <v>1</v>
      </c>
      <c r="D476">
        <v>8054</v>
      </c>
      <c r="E476">
        <v>8105</v>
      </c>
      <c r="F476">
        <v>205.66667000000001</v>
      </c>
      <c r="G476">
        <v>196.4</v>
      </c>
      <c r="H476">
        <v>1.0471827</v>
      </c>
      <c r="I476">
        <v>-4.7182679999999998E-2</v>
      </c>
      <c r="J476">
        <v>0.48847622000000002</v>
      </c>
    </row>
    <row r="477" spans="1:10" x14ac:dyDescent="0.3">
      <c r="A477">
        <v>475</v>
      </c>
      <c r="B477">
        <v>11886</v>
      </c>
      <c r="C477" t="b">
        <v>1</v>
      </c>
      <c r="D477">
        <v>8048</v>
      </c>
      <c r="E477">
        <v>8111</v>
      </c>
      <c r="F477">
        <v>204.86667</v>
      </c>
      <c r="G477">
        <v>196.8</v>
      </c>
      <c r="H477">
        <v>1.0409892000000001</v>
      </c>
      <c r="I477">
        <v>-4.0989153E-2</v>
      </c>
      <c r="J477">
        <v>0.48995850000000002</v>
      </c>
    </row>
    <row r="478" spans="1:10" x14ac:dyDescent="0.3">
      <c r="A478">
        <v>476</v>
      </c>
      <c r="B478">
        <v>11901</v>
      </c>
      <c r="C478" t="b">
        <v>1</v>
      </c>
      <c r="D478">
        <v>8048</v>
      </c>
      <c r="E478">
        <v>8093</v>
      </c>
      <c r="F478">
        <v>204.46665999999999</v>
      </c>
      <c r="G478">
        <v>197.2</v>
      </c>
      <c r="H478">
        <v>1.0368493000000001</v>
      </c>
      <c r="I478">
        <v>-3.6849199999999999E-2</v>
      </c>
      <c r="J478">
        <v>0.49095436999999997</v>
      </c>
    </row>
    <row r="479" spans="1:10" x14ac:dyDescent="0.3">
      <c r="A479">
        <v>477</v>
      </c>
      <c r="B479">
        <v>11917</v>
      </c>
      <c r="C479" t="b">
        <v>1</v>
      </c>
      <c r="D479">
        <v>8037</v>
      </c>
      <c r="E479">
        <v>8105</v>
      </c>
      <c r="F479">
        <v>204.06666999999999</v>
      </c>
      <c r="G479">
        <v>197.6</v>
      </c>
      <c r="H479">
        <v>1.032726</v>
      </c>
      <c r="I479">
        <v>-3.272601E-2</v>
      </c>
      <c r="J479">
        <v>0.49195018000000001</v>
      </c>
    </row>
    <row r="480" spans="1:10" x14ac:dyDescent="0.3">
      <c r="A480">
        <v>478</v>
      </c>
      <c r="B480">
        <v>11934</v>
      </c>
      <c r="C480" t="b">
        <v>1</v>
      </c>
      <c r="D480">
        <v>8065</v>
      </c>
      <c r="E480">
        <v>8093</v>
      </c>
      <c r="F480">
        <v>204.06666999999999</v>
      </c>
      <c r="G480">
        <v>198</v>
      </c>
      <c r="H480">
        <v>1.0306398000000001</v>
      </c>
      <c r="I480">
        <v>-3.0639725E-2</v>
      </c>
      <c r="J480">
        <v>0.49245566000000002</v>
      </c>
    </row>
    <row r="481" spans="1:10" x14ac:dyDescent="0.3">
      <c r="A481">
        <v>479</v>
      </c>
      <c r="B481">
        <v>11965</v>
      </c>
      <c r="C481" t="b">
        <v>1</v>
      </c>
      <c r="D481">
        <v>8042</v>
      </c>
      <c r="E481">
        <v>8087</v>
      </c>
      <c r="F481">
        <v>204.46665999999999</v>
      </c>
      <c r="G481">
        <v>197.6</v>
      </c>
      <c r="H481">
        <v>1.0347502</v>
      </c>
      <c r="I481">
        <v>-3.4750268000000001E-2</v>
      </c>
      <c r="J481">
        <v>0.49146083000000002</v>
      </c>
    </row>
    <row r="482" spans="1:10" x14ac:dyDescent="0.3">
      <c r="A482">
        <v>480</v>
      </c>
      <c r="B482">
        <v>11997</v>
      </c>
      <c r="C482" t="b">
        <v>1</v>
      </c>
      <c r="D482">
        <v>8048</v>
      </c>
      <c r="E482">
        <v>8105</v>
      </c>
      <c r="F482">
        <v>204.86667</v>
      </c>
      <c r="G482">
        <v>196.4</v>
      </c>
      <c r="H482">
        <v>1.0431093</v>
      </c>
      <c r="I482">
        <v>-4.3109342000000002E-2</v>
      </c>
      <c r="J482">
        <v>0.48945007000000001</v>
      </c>
    </row>
    <row r="483" spans="1:10" x14ac:dyDescent="0.3">
      <c r="A483">
        <v>481</v>
      </c>
      <c r="B483">
        <v>12029</v>
      </c>
      <c r="C483" t="b">
        <v>1</v>
      </c>
      <c r="D483">
        <v>8060</v>
      </c>
      <c r="E483">
        <v>8081</v>
      </c>
      <c r="F483">
        <v>205.6</v>
      </c>
      <c r="G483">
        <v>195.2</v>
      </c>
      <c r="H483">
        <v>1.0532786999999999</v>
      </c>
      <c r="I483">
        <v>-5.3278737E-2</v>
      </c>
      <c r="J483">
        <v>0.48702594999999999</v>
      </c>
    </row>
    <row r="484" spans="1:10" x14ac:dyDescent="0.3">
      <c r="A484">
        <v>482</v>
      </c>
      <c r="B484">
        <v>12061</v>
      </c>
      <c r="C484" t="b">
        <v>1</v>
      </c>
      <c r="D484">
        <v>8048</v>
      </c>
      <c r="E484">
        <v>8105</v>
      </c>
      <c r="F484">
        <v>205.6</v>
      </c>
      <c r="G484">
        <v>194</v>
      </c>
      <c r="H484">
        <v>1.0597938</v>
      </c>
      <c r="I484">
        <v>-5.9793844999999998E-2</v>
      </c>
      <c r="J484">
        <v>0.48548545999999998</v>
      </c>
    </row>
    <row r="485" spans="1:10" x14ac:dyDescent="0.3">
      <c r="A485">
        <v>483</v>
      </c>
      <c r="B485">
        <v>12093</v>
      </c>
      <c r="C485" t="b">
        <v>1</v>
      </c>
      <c r="D485">
        <v>8065</v>
      </c>
      <c r="E485">
        <v>8093</v>
      </c>
      <c r="F485">
        <v>206</v>
      </c>
      <c r="G485">
        <v>192.8</v>
      </c>
      <c r="H485">
        <v>1.0684648000000001</v>
      </c>
      <c r="I485">
        <v>-6.8464709999999998E-2</v>
      </c>
      <c r="J485">
        <v>0.48345038000000001</v>
      </c>
    </row>
    <row r="486" spans="1:10" x14ac:dyDescent="0.3">
      <c r="A486">
        <v>484</v>
      </c>
      <c r="B486">
        <v>12124</v>
      </c>
      <c r="C486" t="b">
        <v>1</v>
      </c>
      <c r="D486">
        <v>8042</v>
      </c>
      <c r="E486">
        <v>8117</v>
      </c>
      <c r="F486">
        <v>205.6</v>
      </c>
      <c r="G486">
        <v>192.4</v>
      </c>
      <c r="H486">
        <v>1.0686070999999999</v>
      </c>
      <c r="I486">
        <v>-6.8607139999999997E-2</v>
      </c>
      <c r="J486">
        <v>0.48341706000000001</v>
      </c>
    </row>
    <row r="487" spans="1:10" x14ac:dyDescent="0.3">
      <c r="A487">
        <v>485</v>
      </c>
      <c r="B487">
        <v>12156</v>
      </c>
      <c r="C487" t="b">
        <v>1</v>
      </c>
      <c r="D487">
        <v>8048</v>
      </c>
      <c r="E487">
        <v>8146</v>
      </c>
      <c r="F487">
        <v>206</v>
      </c>
      <c r="G487">
        <v>191.6</v>
      </c>
      <c r="H487">
        <v>1.0751565999999999</v>
      </c>
      <c r="I487">
        <v>-7.5156539999999994E-2</v>
      </c>
      <c r="J487">
        <v>0.48189135999999999</v>
      </c>
    </row>
    <row r="488" spans="1:10" x14ac:dyDescent="0.3">
      <c r="A488">
        <v>486</v>
      </c>
      <c r="B488">
        <v>12188</v>
      </c>
      <c r="C488" t="b">
        <v>1</v>
      </c>
      <c r="D488">
        <v>8037</v>
      </c>
      <c r="E488">
        <v>8105</v>
      </c>
      <c r="F488">
        <v>206.4</v>
      </c>
      <c r="G488">
        <v>190.8</v>
      </c>
      <c r="H488">
        <v>1.081761</v>
      </c>
      <c r="I488">
        <v>-8.1760959999999994E-2</v>
      </c>
      <c r="J488">
        <v>0.48036253000000001</v>
      </c>
    </row>
    <row r="489" spans="1:10" x14ac:dyDescent="0.3">
      <c r="A489">
        <v>487</v>
      </c>
      <c r="B489">
        <v>12219</v>
      </c>
      <c r="C489" t="b">
        <v>1</v>
      </c>
      <c r="D489">
        <v>8048</v>
      </c>
      <c r="E489">
        <v>8117</v>
      </c>
      <c r="F489">
        <v>206.8</v>
      </c>
      <c r="G489">
        <v>190</v>
      </c>
      <c r="H489">
        <v>1.0884210999999999</v>
      </c>
      <c r="I489">
        <v>-8.8421070000000004E-2</v>
      </c>
      <c r="J489">
        <v>0.47883067000000001</v>
      </c>
    </row>
    <row r="490" spans="1:10" x14ac:dyDescent="0.3">
      <c r="A490">
        <v>488</v>
      </c>
      <c r="B490">
        <v>12235</v>
      </c>
      <c r="C490" t="b">
        <v>1</v>
      </c>
      <c r="D490">
        <v>8042</v>
      </c>
      <c r="E490">
        <v>8105</v>
      </c>
      <c r="F490">
        <v>206.8</v>
      </c>
      <c r="G490">
        <v>189.2</v>
      </c>
      <c r="H490">
        <v>1.0930233</v>
      </c>
      <c r="I490">
        <v>-9.3023289999999995E-2</v>
      </c>
      <c r="J490">
        <v>0.47777777999999999</v>
      </c>
    </row>
    <row r="491" spans="1:10" x14ac:dyDescent="0.3">
      <c r="A491">
        <v>489</v>
      </c>
      <c r="B491">
        <v>12251</v>
      </c>
      <c r="C491" t="b">
        <v>1</v>
      </c>
      <c r="D491">
        <v>8037</v>
      </c>
      <c r="E491">
        <v>8105</v>
      </c>
      <c r="F491">
        <v>206.8</v>
      </c>
      <c r="G491">
        <v>188.4</v>
      </c>
      <c r="H491">
        <v>1.0976646000000001</v>
      </c>
      <c r="I491">
        <v>-9.7664595000000007E-2</v>
      </c>
      <c r="J491">
        <v>0.47672062999999998</v>
      </c>
    </row>
    <row r="492" spans="1:10" x14ac:dyDescent="0.3">
      <c r="A492">
        <v>490</v>
      </c>
      <c r="B492">
        <v>12283</v>
      </c>
      <c r="C492" t="b">
        <v>1</v>
      </c>
      <c r="D492">
        <v>8060</v>
      </c>
      <c r="E492">
        <v>8129</v>
      </c>
      <c r="F492">
        <v>206.8</v>
      </c>
      <c r="G492">
        <v>188</v>
      </c>
      <c r="H492">
        <v>1.1000000000000001</v>
      </c>
      <c r="I492">
        <v>-0.10000002</v>
      </c>
      <c r="J492">
        <v>0.47619048000000003</v>
      </c>
    </row>
    <row r="493" spans="1:10" x14ac:dyDescent="0.3">
      <c r="A493">
        <v>491</v>
      </c>
      <c r="B493">
        <v>12313</v>
      </c>
      <c r="C493" t="b">
        <v>1</v>
      </c>
      <c r="D493">
        <v>8054</v>
      </c>
      <c r="E493">
        <v>8099</v>
      </c>
      <c r="F493">
        <v>206.8</v>
      </c>
      <c r="G493">
        <v>187.6</v>
      </c>
      <c r="H493">
        <v>1.1023453000000001</v>
      </c>
      <c r="I493">
        <v>-0.1023454</v>
      </c>
      <c r="J493">
        <v>0.47565921999999999</v>
      </c>
    </row>
    <row r="494" spans="1:10" x14ac:dyDescent="0.3">
      <c r="A494">
        <v>492</v>
      </c>
      <c r="B494">
        <v>12345</v>
      </c>
      <c r="C494" t="b">
        <v>1</v>
      </c>
      <c r="D494">
        <v>8030</v>
      </c>
      <c r="E494">
        <v>8105</v>
      </c>
      <c r="F494">
        <v>206.4</v>
      </c>
      <c r="G494">
        <v>187.6</v>
      </c>
      <c r="H494">
        <v>1.1002132</v>
      </c>
      <c r="I494">
        <v>-0.10021315</v>
      </c>
      <c r="J494">
        <v>0.47614213999999999</v>
      </c>
    </row>
    <row r="495" spans="1:10" x14ac:dyDescent="0.3">
      <c r="A495">
        <v>493</v>
      </c>
      <c r="B495">
        <v>12377</v>
      </c>
      <c r="C495" t="b">
        <v>1</v>
      </c>
      <c r="D495">
        <v>8037</v>
      </c>
      <c r="E495">
        <v>8129</v>
      </c>
      <c r="F495">
        <v>205.66667000000001</v>
      </c>
      <c r="G495">
        <v>187.6</v>
      </c>
      <c r="H495">
        <v>1.0963042000000001</v>
      </c>
      <c r="I495">
        <v>-9.6304186E-2</v>
      </c>
      <c r="J495">
        <v>0.47703003999999999</v>
      </c>
    </row>
    <row r="496" spans="1:10" x14ac:dyDescent="0.3">
      <c r="A496">
        <v>494</v>
      </c>
      <c r="B496">
        <v>12393</v>
      </c>
      <c r="C496" t="b">
        <v>1</v>
      </c>
      <c r="D496">
        <v>8048</v>
      </c>
      <c r="E496">
        <v>8117</v>
      </c>
      <c r="F496">
        <v>205.66667000000001</v>
      </c>
      <c r="G496">
        <v>189.2</v>
      </c>
      <c r="H496">
        <v>1.0870332</v>
      </c>
      <c r="I496">
        <v>-8.7033170000000007E-2</v>
      </c>
      <c r="J496">
        <v>0.47914907000000001</v>
      </c>
    </row>
    <row r="497" spans="1:10" x14ac:dyDescent="0.3">
      <c r="A497">
        <v>495</v>
      </c>
      <c r="B497">
        <v>12409</v>
      </c>
      <c r="C497" t="b">
        <v>1</v>
      </c>
      <c r="D497">
        <v>8037</v>
      </c>
      <c r="E497">
        <v>8105</v>
      </c>
      <c r="F497">
        <v>204.93333000000001</v>
      </c>
      <c r="G497">
        <v>190</v>
      </c>
      <c r="H497">
        <v>1.0785965</v>
      </c>
      <c r="I497">
        <v>-7.8596495000000002E-2</v>
      </c>
      <c r="J497">
        <v>0.48109382000000001</v>
      </c>
    </row>
    <row r="498" spans="1:10" x14ac:dyDescent="0.3">
      <c r="A498">
        <v>496</v>
      </c>
      <c r="B498">
        <v>12440</v>
      </c>
      <c r="C498" t="b">
        <v>1</v>
      </c>
      <c r="D498">
        <v>8048</v>
      </c>
      <c r="E498">
        <v>8117</v>
      </c>
      <c r="F498">
        <v>204.2</v>
      </c>
      <c r="G498">
        <v>191.6</v>
      </c>
      <c r="H498">
        <v>1.0657619</v>
      </c>
      <c r="I498">
        <v>-6.576195E-2</v>
      </c>
      <c r="J498">
        <v>0.48408289999999998</v>
      </c>
    </row>
    <row r="499" spans="1:10" x14ac:dyDescent="0.3">
      <c r="A499">
        <v>497</v>
      </c>
      <c r="B499">
        <v>12472</v>
      </c>
      <c r="C499" t="b">
        <v>1</v>
      </c>
      <c r="D499">
        <v>8037</v>
      </c>
      <c r="E499">
        <v>8105</v>
      </c>
      <c r="F499">
        <v>203.46665999999999</v>
      </c>
      <c r="G499">
        <v>193.2</v>
      </c>
      <c r="H499">
        <v>1.05314</v>
      </c>
      <c r="I499">
        <v>-5.3140078E-2</v>
      </c>
      <c r="J499">
        <v>0.48705882</v>
      </c>
    </row>
    <row r="500" spans="1:10" x14ac:dyDescent="0.3">
      <c r="A500">
        <v>498</v>
      </c>
      <c r="B500">
        <v>12504</v>
      </c>
      <c r="C500" t="b">
        <v>1</v>
      </c>
      <c r="D500">
        <v>8048</v>
      </c>
      <c r="E500">
        <v>8099</v>
      </c>
      <c r="F500">
        <v>203.46665999999999</v>
      </c>
      <c r="G500">
        <v>194</v>
      </c>
      <c r="H500">
        <v>1.0487972000000001</v>
      </c>
      <c r="I500">
        <v>-4.8797212999999999E-2</v>
      </c>
      <c r="J500">
        <v>0.48809122999999999</v>
      </c>
    </row>
    <row r="501" spans="1:10" x14ac:dyDescent="0.3">
      <c r="A501">
        <v>499</v>
      </c>
      <c r="B501">
        <v>12536</v>
      </c>
      <c r="C501" t="b">
        <v>1</v>
      </c>
      <c r="D501">
        <v>8042</v>
      </c>
      <c r="E501">
        <v>8099</v>
      </c>
      <c r="F501">
        <v>203.06666999999999</v>
      </c>
      <c r="G501">
        <v>194</v>
      </c>
      <c r="H501">
        <v>1.0467354</v>
      </c>
      <c r="I501">
        <v>-4.6735390000000002E-2</v>
      </c>
      <c r="J501">
        <v>0.48858297000000001</v>
      </c>
    </row>
    <row r="502" spans="1:10" x14ac:dyDescent="0.3">
      <c r="A502">
        <v>500</v>
      </c>
      <c r="B502">
        <v>12567</v>
      </c>
      <c r="C502" t="b">
        <v>1</v>
      </c>
      <c r="D502">
        <v>8048</v>
      </c>
      <c r="E502">
        <v>8111</v>
      </c>
      <c r="F502">
        <v>203.06666999999999</v>
      </c>
      <c r="G502">
        <v>194</v>
      </c>
      <c r="H502">
        <v>1.0467354</v>
      </c>
      <c r="I502">
        <v>-4.6735390000000002E-2</v>
      </c>
      <c r="J502">
        <v>0.48858297000000001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CF203-26C2-42EF-A2A9-2F7C60CEE08A}">
  <dimension ref="A1:L502"/>
  <sheetViews>
    <sheetView workbookViewId="0">
      <selection activeCellId="2" sqref="E1:E1048576 D1:D1048576 A1:A1048576"/>
    </sheetView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10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18</v>
      </c>
      <c r="L1" t="s">
        <v>19</v>
      </c>
    </row>
    <row r="2" spans="1:12" x14ac:dyDescent="0.3">
      <c r="A2">
        <v>0</v>
      </c>
      <c r="B2">
        <v>0</v>
      </c>
      <c r="C2" t="b">
        <v>1</v>
      </c>
      <c r="D2">
        <v>8017</v>
      </c>
      <c r="E2">
        <v>8123</v>
      </c>
      <c r="F2">
        <v>177</v>
      </c>
      <c r="G2">
        <v>208</v>
      </c>
      <c r="H2">
        <v>0.85096156999999994</v>
      </c>
      <c r="I2">
        <v>0.14903846000000001</v>
      </c>
      <c r="J2">
        <v>0.54025970000000001</v>
      </c>
      <c r="K2">
        <f xml:space="preserve"> -55.696 * _2026_04_17_16_25_21_23_high[[#This Row],[coeff]] + 79.57</f>
        <v>32.174844397279998</v>
      </c>
      <c r="L2">
        <f xml:space="preserve"> -55.696 * _2026_04_17_16_25_21_23_high[[#This Row],[coeff]] + 79.57</f>
        <v>32.174844397279998</v>
      </c>
    </row>
    <row r="3" spans="1:12" x14ac:dyDescent="0.3">
      <c r="A3">
        <v>1</v>
      </c>
      <c r="B3">
        <v>31</v>
      </c>
      <c r="C3" t="b">
        <v>1</v>
      </c>
      <c r="D3">
        <v>8042</v>
      </c>
      <c r="E3">
        <v>8093</v>
      </c>
      <c r="F3">
        <v>189.5</v>
      </c>
      <c r="G3">
        <v>208</v>
      </c>
      <c r="H3">
        <v>0.91105769999999997</v>
      </c>
      <c r="I3">
        <v>8.8942304E-2</v>
      </c>
      <c r="J3">
        <v>0.52327040000000002</v>
      </c>
      <c r="K3">
        <f xml:space="preserve"> -55.696 * _2026_04_17_16_25_21_23_high[[#This Row],[coeff]] + 79.57</f>
        <v>28.827730340799995</v>
      </c>
      <c r="L3">
        <f xml:space="preserve"> -55.696 * _2026_04_17_16_25_21_23_high[[#This Row],[coeff]] + 79.57</f>
        <v>28.827730340799995</v>
      </c>
    </row>
    <row r="4" spans="1:12" x14ac:dyDescent="0.3">
      <c r="A4">
        <v>2</v>
      </c>
      <c r="B4">
        <v>63</v>
      </c>
      <c r="C4" t="b">
        <v>1</v>
      </c>
      <c r="D4">
        <v>8054</v>
      </c>
      <c r="E4">
        <v>8105</v>
      </c>
      <c r="F4">
        <v>193.66667000000001</v>
      </c>
      <c r="G4">
        <v>202</v>
      </c>
      <c r="H4">
        <v>0.95874590000000004</v>
      </c>
      <c r="I4">
        <v>4.1254100000000002E-2</v>
      </c>
      <c r="J4">
        <v>0.5105307</v>
      </c>
      <c r="K4">
        <f xml:space="preserve"> -55.696 * _2026_04_17_16_25_21_23_high[[#This Row],[coeff]] + 79.57</f>
        <v>26.17168835359999</v>
      </c>
      <c r="L4">
        <f xml:space="preserve"> -55.696 * _2026_04_17_16_25_21_23_high[[#This Row],[coeff]] + 79.57</f>
        <v>26.17168835359999</v>
      </c>
    </row>
    <row r="5" spans="1:12" x14ac:dyDescent="0.3">
      <c r="A5">
        <v>3</v>
      </c>
      <c r="B5">
        <v>79</v>
      </c>
      <c r="C5" t="b">
        <v>1</v>
      </c>
      <c r="D5">
        <v>8048</v>
      </c>
      <c r="E5">
        <v>8158</v>
      </c>
      <c r="F5">
        <v>197.25</v>
      </c>
      <c r="G5">
        <v>203.5</v>
      </c>
      <c r="H5">
        <v>0.96928745999999999</v>
      </c>
      <c r="I5">
        <v>3.0712529999999998E-2</v>
      </c>
      <c r="J5">
        <v>0.50779790000000002</v>
      </c>
      <c r="K5">
        <f xml:space="preserve"> -55.696 * _2026_04_17_16_25_21_23_high[[#This Row],[coeff]] + 79.57</f>
        <v>25.584565627839993</v>
      </c>
      <c r="L5">
        <f xml:space="preserve"> -55.696 * _2026_04_17_16_25_21_23_high[[#This Row],[coeff]] + 79.57</f>
        <v>25.584565627839993</v>
      </c>
    </row>
    <row r="6" spans="1:12" x14ac:dyDescent="0.3">
      <c r="A6">
        <v>4</v>
      </c>
      <c r="B6">
        <v>94</v>
      </c>
      <c r="C6" t="b">
        <v>1</v>
      </c>
      <c r="D6">
        <v>8037</v>
      </c>
      <c r="E6">
        <v>8093</v>
      </c>
      <c r="F6">
        <v>198.2</v>
      </c>
      <c r="G6">
        <v>200.8</v>
      </c>
      <c r="H6">
        <v>0.98705180000000003</v>
      </c>
      <c r="I6">
        <v>1.2948237E-2</v>
      </c>
      <c r="J6">
        <v>0.50325816999999995</v>
      </c>
      <c r="K6">
        <f xml:space="preserve"> -55.696 * _2026_04_17_16_25_21_23_high[[#This Row],[coeff]] + 79.57</f>
        <v>24.595162947199995</v>
      </c>
      <c r="L6">
        <f xml:space="preserve"> -55.696 * _2026_04_17_16_25_21_23_high[[#This Row],[coeff]] + 79.57</f>
        <v>24.595162947199995</v>
      </c>
    </row>
    <row r="7" spans="1:12" x14ac:dyDescent="0.3">
      <c r="A7">
        <v>5</v>
      </c>
      <c r="B7">
        <v>126</v>
      </c>
      <c r="C7" t="b">
        <v>1</v>
      </c>
      <c r="D7">
        <v>8042</v>
      </c>
      <c r="E7">
        <v>8099</v>
      </c>
      <c r="F7">
        <v>198.83332999999999</v>
      </c>
      <c r="G7">
        <v>198</v>
      </c>
      <c r="H7">
        <v>1.0042087</v>
      </c>
      <c r="I7">
        <v>-4.2087286999999999E-3</v>
      </c>
      <c r="J7">
        <v>0.49895002999999999</v>
      </c>
      <c r="K7">
        <f xml:space="preserve"> -55.696 * _2026_04_17_16_25_21_23_high[[#This Row],[coeff]] + 79.57</f>
        <v>23.639592244799999</v>
      </c>
      <c r="L7">
        <f xml:space="preserve"> -55.696 * _2026_04_17_16_25_21_23_high[[#This Row],[coeff]] + 79.57</f>
        <v>23.639592244799999</v>
      </c>
    </row>
    <row r="8" spans="1:12" x14ac:dyDescent="0.3">
      <c r="A8">
        <v>6</v>
      </c>
      <c r="B8">
        <v>158</v>
      </c>
      <c r="C8" t="b">
        <v>1</v>
      </c>
      <c r="D8">
        <v>8023</v>
      </c>
      <c r="E8">
        <v>8111</v>
      </c>
      <c r="F8">
        <v>199.28572</v>
      </c>
      <c r="G8">
        <v>196.85714999999999</v>
      </c>
      <c r="H8">
        <v>1.0123367000000001</v>
      </c>
      <c r="I8">
        <v>-1.2336731E-2</v>
      </c>
      <c r="J8">
        <v>0.49693470000000001</v>
      </c>
      <c r="K8">
        <f xml:space="preserve"> -55.696 * _2026_04_17_16_25_21_23_high[[#This Row],[coeff]] + 79.57</f>
        <v>23.186895156799991</v>
      </c>
      <c r="L8">
        <f xml:space="preserve"> -55.696 * _2026_04_17_16_25_21_23_high[[#This Row],[coeff]] + 79.57</f>
        <v>23.186895156799991</v>
      </c>
    </row>
    <row r="9" spans="1:12" x14ac:dyDescent="0.3">
      <c r="A9">
        <v>7</v>
      </c>
      <c r="B9">
        <v>190</v>
      </c>
      <c r="C9" t="b">
        <v>1</v>
      </c>
      <c r="D9">
        <v>8030</v>
      </c>
      <c r="E9">
        <v>8099</v>
      </c>
      <c r="F9">
        <v>199</v>
      </c>
      <c r="G9">
        <v>195.25</v>
      </c>
      <c r="H9">
        <v>1.0192062</v>
      </c>
      <c r="I9">
        <v>-1.9206146E-2</v>
      </c>
      <c r="J9">
        <v>0.49524414999999999</v>
      </c>
      <c r="K9">
        <f xml:space="preserve"> -55.696 * _2026_04_17_16_25_21_23_high[[#This Row],[coeff]] + 79.57</f>
        <v>22.804291484799997</v>
      </c>
      <c r="L9">
        <f xml:space="preserve"> -55.696 * _2026_04_17_16_25_21_23_high[[#This Row],[coeff]] + 79.57</f>
        <v>22.804291484799997</v>
      </c>
    </row>
    <row r="10" spans="1:12" x14ac:dyDescent="0.3">
      <c r="A10">
        <v>8</v>
      </c>
      <c r="B10">
        <v>205</v>
      </c>
      <c r="C10" t="b">
        <v>1</v>
      </c>
      <c r="D10">
        <v>8060</v>
      </c>
      <c r="E10">
        <v>8105</v>
      </c>
      <c r="F10">
        <v>198.77777</v>
      </c>
      <c r="G10">
        <v>194</v>
      </c>
      <c r="H10">
        <v>1.0246276999999999</v>
      </c>
      <c r="I10">
        <v>-2.4627685999999999E-2</v>
      </c>
      <c r="J10">
        <v>0.49391796999999998</v>
      </c>
      <c r="K10">
        <f xml:space="preserve"> -55.696 * _2026_04_17_16_25_21_23_high[[#This Row],[coeff]] + 79.57</f>
        <v>22.502335620799997</v>
      </c>
      <c r="L10">
        <f xml:space="preserve"> -55.696 * _2026_04_17_16_25_21_23_high[[#This Row],[coeff]] + 79.57</f>
        <v>22.502335620799997</v>
      </c>
    </row>
    <row r="11" spans="1:12" x14ac:dyDescent="0.3">
      <c r="A11">
        <v>9</v>
      </c>
      <c r="B11">
        <v>221</v>
      </c>
      <c r="C11" t="b">
        <v>1</v>
      </c>
      <c r="D11">
        <v>8030</v>
      </c>
      <c r="E11">
        <v>8111</v>
      </c>
      <c r="F11">
        <v>197.9</v>
      </c>
      <c r="G11">
        <v>193.6</v>
      </c>
      <c r="H11">
        <v>1.0222107</v>
      </c>
      <c r="I11">
        <v>-2.221068E-2</v>
      </c>
      <c r="J11">
        <v>0.49450833</v>
      </c>
      <c r="K11">
        <f xml:space="preserve"> -55.696 * _2026_04_17_16_25_21_23_high[[#This Row],[coeff]] + 79.57</f>
        <v>22.636952852799993</v>
      </c>
      <c r="L11">
        <f xml:space="preserve"> -55.696 * _2026_04_17_16_25_21_23_high[[#This Row],[coeff]] + 79.57</f>
        <v>22.636952852799993</v>
      </c>
    </row>
    <row r="12" spans="1:12" x14ac:dyDescent="0.3">
      <c r="A12">
        <v>10</v>
      </c>
      <c r="B12">
        <v>237</v>
      </c>
      <c r="C12" t="b">
        <v>1</v>
      </c>
      <c r="D12">
        <v>8060</v>
      </c>
      <c r="E12">
        <v>8105</v>
      </c>
      <c r="F12">
        <v>197.18181999999999</v>
      </c>
      <c r="G12">
        <v>193.27271999999999</v>
      </c>
      <c r="H12">
        <v>1.0202259</v>
      </c>
      <c r="I12">
        <v>-2.0225842000000001E-2</v>
      </c>
      <c r="J12">
        <v>0.4949942</v>
      </c>
      <c r="K12">
        <f xml:space="preserve"> -55.696 * _2026_04_17_16_25_21_23_high[[#This Row],[coeff]] + 79.57</f>
        <v>22.747498273599994</v>
      </c>
      <c r="L12">
        <f xml:space="preserve"> -55.696 * _2026_04_17_16_25_21_23_high[[#This Row],[coeff]] + 79.57</f>
        <v>22.747498273599994</v>
      </c>
    </row>
    <row r="13" spans="1:12" x14ac:dyDescent="0.3">
      <c r="A13">
        <v>11</v>
      </c>
      <c r="B13">
        <v>270</v>
      </c>
      <c r="C13" t="b">
        <v>1</v>
      </c>
      <c r="D13">
        <v>8048</v>
      </c>
      <c r="E13">
        <v>8111</v>
      </c>
      <c r="F13">
        <v>198.08332999999999</v>
      </c>
      <c r="G13">
        <v>193</v>
      </c>
      <c r="H13">
        <v>1.0263385</v>
      </c>
      <c r="I13">
        <v>-2.6338488E-2</v>
      </c>
      <c r="J13">
        <v>0.49350097999999998</v>
      </c>
      <c r="K13">
        <f xml:space="preserve"> -55.696 * _2026_04_17_16_25_21_23_high[[#This Row],[coeff]] + 79.57</f>
        <v>22.407050903999995</v>
      </c>
      <c r="L13">
        <f xml:space="preserve"> -55.696 * _2026_04_17_16_25_21_23_high[[#This Row],[coeff]] + 79.57</f>
        <v>22.407050903999995</v>
      </c>
    </row>
    <row r="14" spans="1:12" x14ac:dyDescent="0.3">
      <c r="A14">
        <v>12</v>
      </c>
      <c r="B14">
        <v>301</v>
      </c>
      <c r="C14" t="b">
        <v>1</v>
      </c>
      <c r="D14">
        <v>8048</v>
      </c>
      <c r="E14">
        <v>8111</v>
      </c>
      <c r="F14">
        <v>198.84616</v>
      </c>
      <c r="G14">
        <v>193.23077000000001</v>
      </c>
      <c r="H14">
        <v>1.0290604999999999</v>
      </c>
      <c r="I14">
        <v>-2.9060519999999999E-2</v>
      </c>
      <c r="J14">
        <v>0.49283892000000001</v>
      </c>
      <c r="K14">
        <f xml:space="preserve"> -55.696 * _2026_04_17_16_25_21_23_high[[#This Row],[coeff]] + 79.57</f>
        <v>22.255446391999996</v>
      </c>
      <c r="L14">
        <f xml:space="preserve"> -55.696 * _2026_04_17_16_25_21_23_high[[#This Row],[coeff]] + 79.57</f>
        <v>22.255446391999996</v>
      </c>
    </row>
    <row r="15" spans="1:12" x14ac:dyDescent="0.3">
      <c r="A15">
        <v>13</v>
      </c>
      <c r="B15">
        <v>333</v>
      </c>
      <c r="C15" t="b">
        <v>1</v>
      </c>
      <c r="D15">
        <v>8017</v>
      </c>
      <c r="E15">
        <v>8111</v>
      </c>
      <c r="F15">
        <v>199.5</v>
      </c>
      <c r="G15">
        <v>193.42857000000001</v>
      </c>
      <c r="H15">
        <v>1.0313885</v>
      </c>
      <c r="I15">
        <v>-3.1388464999999997E-2</v>
      </c>
      <c r="J15">
        <v>0.49227409999999999</v>
      </c>
      <c r="K15">
        <f xml:space="preserve"> -55.696 * _2026_04_17_16_25_21_23_high[[#This Row],[coeff]] + 79.57</f>
        <v>22.125786103999992</v>
      </c>
      <c r="L15">
        <f xml:space="preserve"> -55.696 * _2026_04_17_16_25_21_23_high[[#This Row],[coeff]] + 79.57</f>
        <v>22.125786103999992</v>
      </c>
    </row>
    <row r="16" spans="1:12" x14ac:dyDescent="0.3">
      <c r="A16">
        <v>14</v>
      </c>
      <c r="B16">
        <v>364</v>
      </c>
      <c r="C16" t="b">
        <v>1</v>
      </c>
      <c r="D16">
        <v>8030</v>
      </c>
      <c r="E16">
        <v>8117</v>
      </c>
      <c r="F16">
        <v>200.06666999999999</v>
      </c>
      <c r="G16">
        <v>193.6</v>
      </c>
      <c r="H16">
        <v>1.0334022</v>
      </c>
      <c r="I16">
        <v>-3.3402167000000003E-2</v>
      </c>
      <c r="J16">
        <v>0.49178660000000002</v>
      </c>
      <c r="K16">
        <f xml:space="preserve"> -55.696 * _2026_04_17_16_25_21_23_high[[#This Row],[coeff]] + 79.57</f>
        <v>22.013631068799995</v>
      </c>
      <c r="L16">
        <f xml:space="preserve"> -55.696 * _2026_04_17_16_25_21_23_high[[#This Row],[coeff]] + 79.57</f>
        <v>22.013631068799995</v>
      </c>
    </row>
    <row r="17" spans="1:12" x14ac:dyDescent="0.3">
      <c r="A17">
        <v>15</v>
      </c>
      <c r="B17">
        <v>380</v>
      </c>
      <c r="C17" t="b">
        <v>1</v>
      </c>
      <c r="D17">
        <v>8048</v>
      </c>
      <c r="E17">
        <v>8105</v>
      </c>
      <c r="F17">
        <v>202.13333</v>
      </c>
      <c r="G17">
        <v>192.8</v>
      </c>
      <c r="H17">
        <v>1.0484093000000001</v>
      </c>
      <c r="I17">
        <v>-4.8409375999999997E-2</v>
      </c>
      <c r="J17">
        <v>0.48818365000000002</v>
      </c>
      <c r="K17">
        <f xml:space="preserve"> -55.696 * _2026_04_17_16_25_21_23_high[[#This Row],[coeff]] + 79.57</f>
        <v>21.177795627199991</v>
      </c>
      <c r="L17">
        <f xml:space="preserve"> -55.696 * _2026_04_17_16_25_21_23_high[[#This Row],[coeff]] + 79.57</f>
        <v>21.177795627199991</v>
      </c>
    </row>
    <row r="18" spans="1:12" x14ac:dyDescent="0.3">
      <c r="A18">
        <v>16</v>
      </c>
      <c r="B18">
        <v>412</v>
      </c>
      <c r="C18" t="b">
        <v>1</v>
      </c>
      <c r="D18">
        <v>8048</v>
      </c>
      <c r="E18">
        <v>8093</v>
      </c>
      <c r="F18">
        <v>202.53334000000001</v>
      </c>
      <c r="G18">
        <v>192</v>
      </c>
      <c r="H18">
        <v>1.0548611999999999</v>
      </c>
      <c r="I18">
        <v>-5.4861146999999999E-2</v>
      </c>
      <c r="J18">
        <v>0.4866509</v>
      </c>
      <c r="K18">
        <f xml:space="preserve"> -55.696 * _2026_04_17_16_25_21_23_high[[#This Row],[coeff]] + 79.57</f>
        <v>20.818450604799999</v>
      </c>
      <c r="L18">
        <f xml:space="preserve"> -55.696 * _2026_04_17_16_25_21_23_high[[#This Row],[coeff]] + 79.57</f>
        <v>20.818450604799999</v>
      </c>
    </row>
    <row r="19" spans="1:12" x14ac:dyDescent="0.3">
      <c r="A19">
        <v>17</v>
      </c>
      <c r="B19">
        <v>444</v>
      </c>
      <c r="C19" t="b">
        <v>1</v>
      </c>
      <c r="D19">
        <v>8042</v>
      </c>
      <c r="E19">
        <v>8099</v>
      </c>
      <c r="F19">
        <v>202.53334000000001</v>
      </c>
      <c r="G19">
        <v>192</v>
      </c>
      <c r="H19">
        <v>1.0548611999999999</v>
      </c>
      <c r="I19">
        <v>-5.4861146999999999E-2</v>
      </c>
      <c r="J19">
        <v>0.4866509</v>
      </c>
      <c r="K19">
        <f xml:space="preserve"> -55.696 * _2026_04_17_16_25_21_23_high[[#This Row],[coeff]] + 79.57</f>
        <v>20.818450604799999</v>
      </c>
      <c r="L19">
        <f xml:space="preserve"> -55.696 * _2026_04_17_16_25_21_23_high[[#This Row],[coeff]] + 79.57</f>
        <v>20.818450604799999</v>
      </c>
    </row>
    <row r="20" spans="1:12" x14ac:dyDescent="0.3">
      <c r="A20">
        <v>18</v>
      </c>
      <c r="B20">
        <v>476</v>
      </c>
      <c r="C20" t="b">
        <v>1</v>
      </c>
      <c r="D20">
        <v>8054</v>
      </c>
      <c r="E20">
        <v>8105</v>
      </c>
      <c r="F20">
        <v>202.53334000000001</v>
      </c>
      <c r="G20">
        <v>190.8</v>
      </c>
      <c r="H20">
        <v>1.0614954000000001</v>
      </c>
      <c r="I20">
        <v>-6.1495479999999998E-2</v>
      </c>
      <c r="J20">
        <v>0.48508474000000001</v>
      </c>
      <c r="K20">
        <f xml:space="preserve"> -55.696 * _2026_04_17_16_25_21_23_high[[#This Row],[coeff]] + 79.57</f>
        <v>20.448952201599994</v>
      </c>
      <c r="L20">
        <f xml:space="preserve"> -55.696 * _2026_04_17_16_25_21_23_high[[#This Row],[coeff]] + 79.57</f>
        <v>20.448952201599994</v>
      </c>
    </row>
    <row r="21" spans="1:12" x14ac:dyDescent="0.3">
      <c r="A21">
        <v>19</v>
      </c>
      <c r="B21">
        <v>508</v>
      </c>
      <c r="C21" t="b">
        <v>1</v>
      </c>
      <c r="D21">
        <v>8048</v>
      </c>
      <c r="E21">
        <v>8093</v>
      </c>
      <c r="F21">
        <v>202.93333000000001</v>
      </c>
      <c r="G21">
        <v>190.4</v>
      </c>
      <c r="H21">
        <v>1.0658264</v>
      </c>
      <c r="I21">
        <v>-6.5826369999999995E-2</v>
      </c>
      <c r="J21">
        <v>0.48406779999999999</v>
      </c>
      <c r="K21">
        <f xml:space="preserve"> -55.696 * _2026_04_17_16_25_21_23_high[[#This Row],[coeff]] + 79.57</f>
        <v>20.207732825599997</v>
      </c>
      <c r="L21">
        <f xml:space="preserve"> -55.696 * _2026_04_17_16_25_21_23_high[[#This Row],[coeff]] + 79.57</f>
        <v>20.207732825599997</v>
      </c>
    </row>
    <row r="22" spans="1:12" x14ac:dyDescent="0.3">
      <c r="A22">
        <v>20</v>
      </c>
      <c r="B22">
        <v>539</v>
      </c>
      <c r="C22" t="b">
        <v>1</v>
      </c>
      <c r="D22">
        <v>8030</v>
      </c>
      <c r="E22">
        <v>8117</v>
      </c>
      <c r="F22">
        <v>203.33332999999999</v>
      </c>
      <c r="G22">
        <v>190.4</v>
      </c>
      <c r="H22">
        <v>1.0679270999999999</v>
      </c>
      <c r="I22">
        <v>-6.7927180000000004E-2</v>
      </c>
      <c r="J22">
        <v>0.48357600000000001</v>
      </c>
      <c r="K22">
        <f xml:space="preserve"> -55.696 * _2026_04_17_16_25_21_23_high[[#This Row],[coeff]] + 79.57</f>
        <v>20.090732238400001</v>
      </c>
      <c r="L22">
        <f xml:space="preserve"> -55.696 * _2026_04_17_16_25_21_23_high[[#This Row],[coeff]] + 79.57</f>
        <v>20.090732238400001</v>
      </c>
    </row>
    <row r="23" spans="1:12" x14ac:dyDescent="0.3">
      <c r="A23">
        <v>21</v>
      </c>
      <c r="B23">
        <v>571</v>
      </c>
      <c r="C23" t="b">
        <v>1</v>
      </c>
      <c r="D23">
        <v>8048</v>
      </c>
      <c r="E23">
        <v>8111</v>
      </c>
      <c r="F23">
        <v>203.73334</v>
      </c>
      <c r="G23">
        <v>190.4</v>
      </c>
      <c r="H23">
        <v>1.0700281</v>
      </c>
      <c r="I23">
        <v>-7.0028069999999998E-2</v>
      </c>
      <c r="J23">
        <v>0.48308524000000003</v>
      </c>
      <c r="K23">
        <f xml:space="preserve"> -55.696 * _2026_04_17_16_25_21_23_high[[#This Row],[coeff]] + 79.57</f>
        <v>19.973714942399994</v>
      </c>
      <c r="L23">
        <f xml:space="preserve"> -55.696 * _2026_04_17_16_25_21_23_high[[#This Row],[coeff]] + 79.57</f>
        <v>19.973714942399994</v>
      </c>
    </row>
    <row r="24" spans="1:12" x14ac:dyDescent="0.3">
      <c r="A24">
        <v>22</v>
      </c>
      <c r="B24">
        <v>603</v>
      </c>
      <c r="C24" t="b">
        <v>1</v>
      </c>
      <c r="D24">
        <v>8037</v>
      </c>
      <c r="E24">
        <v>8129</v>
      </c>
      <c r="F24">
        <v>204.46665999999999</v>
      </c>
      <c r="G24">
        <v>191.2</v>
      </c>
      <c r="H24">
        <v>1.0693864</v>
      </c>
      <c r="I24">
        <v>-6.9386310000000007E-2</v>
      </c>
      <c r="J24">
        <v>0.48323505999999999</v>
      </c>
      <c r="K24">
        <f xml:space="preserve"> -55.696 * _2026_04_17_16_25_21_23_high[[#This Row],[coeff]] + 79.57</f>
        <v>20.009455065600001</v>
      </c>
      <c r="L24">
        <f xml:space="preserve"> -55.696 * _2026_04_17_16_25_21_23_high[[#This Row],[coeff]] + 79.57</f>
        <v>20.009455065600001</v>
      </c>
    </row>
    <row r="25" spans="1:12" x14ac:dyDescent="0.3">
      <c r="A25">
        <v>23</v>
      </c>
      <c r="B25">
        <v>635</v>
      </c>
      <c r="C25" t="b">
        <v>1</v>
      </c>
      <c r="D25">
        <v>8042</v>
      </c>
      <c r="E25">
        <v>8111</v>
      </c>
      <c r="F25">
        <v>204.8</v>
      </c>
      <c r="G25">
        <v>192</v>
      </c>
      <c r="H25">
        <v>1.0666667000000001</v>
      </c>
      <c r="I25">
        <v>-6.6666685000000003E-2</v>
      </c>
      <c r="J25">
        <v>0.48387098000000001</v>
      </c>
      <c r="K25">
        <f xml:space="preserve"> -55.696 * _2026_04_17_16_25_21_23_high[[#This Row],[coeff]] + 79.57</f>
        <v>20.160931476799988</v>
      </c>
      <c r="L25">
        <f xml:space="preserve"> -55.696 * _2026_04_17_16_25_21_23_high[[#This Row],[coeff]] + 79.57</f>
        <v>20.160931476799988</v>
      </c>
    </row>
    <row r="26" spans="1:12" x14ac:dyDescent="0.3">
      <c r="A26">
        <v>24</v>
      </c>
      <c r="B26">
        <v>666</v>
      </c>
      <c r="C26" t="b">
        <v>1</v>
      </c>
      <c r="D26">
        <v>8042</v>
      </c>
      <c r="E26">
        <v>8111</v>
      </c>
      <c r="F26">
        <v>205.6</v>
      </c>
      <c r="G26">
        <v>192.4</v>
      </c>
      <c r="H26">
        <v>1.0686070999999999</v>
      </c>
      <c r="I26">
        <v>-6.8607139999999997E-2</v>
      </c>
      <c r="J26">
        <v>0.48341706000000001</v>
      </c>
      <c r="K26">
        <f xml:space="preserve"> -55.696 * _2026_04_17_16_25_21_23_high[[#This Row],[coeff]] + 79.57</f>
        <v>20.052858958400002</v>
      </c>
      <c r="L26">
        <f xml:space="preserve"> -55.696 * _2026_04_17_16_25_21_23_high[[#This Row],[coeff]] + 79.57</f>
        <v>20.052858958400002</v>
      </c>
    </row>
    <row r="27" spans="1:12" x14ac:dyDescent="0.3">
      <c r="A27">
        <v>25</v>
      </c>
      <c r="B27">
        <v>698</v>
      </c>
      <c r="C27" t="b">
        <v>1</v>
      </c>
      <c r="D27">
        <v>8030</v>
      </c>
      <c r="E27">
        <v>8129</v>
      </c>
      <c r="F27">
        <v>206.4</v>
      </c>
      <c r="G27">
        <v>192.8</v>
      </c>
      <c r="H27">
        <v>1.0705393999999999</v>
      </c>
      <c r="I27">
        <v>-7.0539370000000004E-2</v>
      </c>
      <c r="J27">
        <v>0.48296591999999999</v>
      </c>
      <c r="K27">
        <f xml:space="preserve"> -55.696 * _2026_04_17_16_25_21_23_high[[#This Row],[coeff]] + 79.57</f>
        <v>19.945237577599997</v>
      </c>
      <c r="L27">
        <f xml:space="preserve"> -55.696 * _2026_04_17_16_25_21_23_high[[#This Row],[coeff]] + 79.57</f>
        <v>19.945237577599997</v>
      </c>
    </row>
    <row r="28" spans="1:12" x14ac:dyDescent="0.3">
      <c r="A28">
        <v>26</v>
      </c>
      <c r="B28">
        <v>714</v>
      </c>
      <c r="C28" t="b">
        <v>1</v>
      </c>
      <c r="D28">
        <v>8048</v>
      </c>
      <c r="E28">
        <v>8111</v>
      </c>
      <c r="F28">
        <v>206</v>
      </c>
      <c r="G28">
        <v>193.2</v>
      </c>
      <c r="H28">
        <v>1.0662526000000001</v>
      </c>
      <c r="I28">
        <v>-6.6252604000000007E-2</v>
      </c>
      <c r="J28">
        <v>0.48396790000000001</v>
      </c>
      <c r="K28">
        <f xml:space="preserve"> -55.696 * _2026_04_17_16_25_21_23_high[[#This Row],[coeff]] + 79.57</f>
        <v>20.18399519039999</v>
      </c>
      <c r="L28">
        <f xml:space="preserve"> -55.696 * _2026_04_17_16_25_21_23_high[[#This Row],[coeff]] + 79.57</f>
        <v>20.18399519039999</v>
      </c>
    </row>
    <row r="29" spans="1:12" x14ac:dyDescent="0.3">
      <c r="A29">
        <v>27</v>
      </c>
      <c r="B29">
        <v>745</v>
      </c>
      <c r="C29" t="b">
        <v>1</v>
      </c>
      <c r="D29">
        <v>8048</v>
      </c>
      <c r="E29">
        <v>8140</v>
      </c>
      <c r="F29">
        <v>205.6</v>
      </c>
      <c r="G29">
        <v>193.2</v>
      </c>
      <c r="H29">
        <v>1.0641822999999999</v>
      </c>
      <c r="I29">
        <v>-6.4182243999999999E-2</v>
      </c>
      <c r="J29">
        <v>0.48445337999999999</v>
      </c>
      <c r="K29">
        <f xml:space="preserve"> -55.696 * _2026_04_17_16_25_21_23_high[[#This Row],[coeff]] + 79.57</f>
        <v>20.299302619199999</v>
      </c>
      <c r="L29">
        <f xml:space="preserve"> -55.696 * _2026_04_17_16_25_21_23_high[[#This Row],[coeff]] + 79.57</f>
        <v>20.299302619199999</v>
      </c>
    </row>
    <row r="30" spans="1:12" x14ac:dyDescent="0.3">
      <c r="A30">
        <v>28</v>
      </c>
      <c r="B30">
        <v>778</v>
      </c>
      <c r="C30" t="b">
        <v>1</v>
      </c>
      <c r="D30">
        <v>8037</v>
      </c>
      <c r="E30">
        <v>8129</v>
      </c>
      <c r="F30">
        <v>205.2</v>
      </c>
      <c r="G30">
        <v>194.4</v>
      </c>
      <c r="H30">
        <v>1.0555555999999999</v>
      </c>
      <c r="I30">
        <v>-5.5555575000000003E-2</v>
      </c>
      <c r="J30">
        <v>0.48648649999999999</v>
      </c>
      <c r="K30">
        <f xml:space="preserve"> -55.696 * _2026_04_17_16_25_21_23_high[[#This Row],[coeff]] + 79.57</f>
        <v>20.779775302399997</v>
      </c>
      <c r="L30">
        <f xml:space="preserve"> -55.696 * _2026_04_17_16_25_21_23_high[[#This Row],[coeff]] + 79.57</f>
        <v>20.779775302399997</v>
      </c>
    </row>
    <row r="31" spans="1:12" x14ac:dyDescent="0.3">
      <c r="A31">
        <v>29</v>
      </c>
      <c r="B31">
        <v>794</v>
      </c>
      <c r="C31" t="b">
        <v>1</v>
      </c>
      <c r="D31">
        <v>8037</v>
      </c>
      <c r="E31">
        <v>8140</v>
      </c>
      <c r="F31">
        <v>204.46665999999999</v>
      </c>
      <c r="G31">
        <v>195.6</v>
      </c>
      <c r="H31">
        <v>1.0453304999999999</v>
      </c>
      <c r="I31">
        <v>-4.5330540000000002E-2</v>
      </c>
      <c r="J31">
        <v>0.48891854000000001</v>
      </c>
      <c r="K31">
        <f xml:space="preserve"> -55.696 * _2026_04_17_16_25_21_23_high[[#This Row],[coeff]] + 79.57</f>
        <v>21.349272471999996</v>
      </c>
      <c r="L31">
        <f xml:space="preserve"> -55.696 * _2026_04_17_16_25_21_23_high[[#This Row],[coeff]] + 79.57</f>
        <v>21.349272471999996</v>
      </c>
    </row>
    <row r="32" spans="1:12" x14ac:dyDescent="0.3">
      <c r="A32">
        <v>30</v>
      </c>
      <c r="B32">
        <v>810</v>
      </c>
      <c r="C32" t="b">
        <v>1</v>
      </c>
      <c r="D32">
        <v>8037</v>
      </c>
      <c r="E32">
        <v>8123</v>
      </c>
      <c r="F32">
        <v>203.73334</v>
      </c>
      <c r="G32">
        <v>196.8</v>
      </c>
      <c r="H32">
        <v>1.0352304000000001</v>
      </c>
      <c r="I32">
        <v>-3.5230356999999997E-2</v>
      </c>
      <c r="J32">
        <v>0.49134489999999997</v>
      </c>
      <c r="K32">
        <f xml:space="preserve"> -55.696 * _2026_04_17_16_25_21_23_high[[#This Row],[coeff]] + 79.57</f>
        <v>21.911807641599992</v>
      </c>
      <c r="L32">
        <f xml:space="preserve"> -55.696 * _2026_04_17_16_25_21_23_high[[#This Row],[coeff]] + 79.57</f>
        <v>21.911807641599992</v>
      </c>
    </row>
    <row r="33" spans="1:12" x14ac:dyDescent="0.3">
      <c r="A33">
        <v>31</v>
      </c>
      <c r="B33">
        <v>825</v>
      </c>
      <c r="C33" t="b">
        <v>1</v>
      </c>
      <c r="D33">
        <v>8048</v>
      </c>
      <c r="E33">
        <v>8105</v>
      </c>
      <c r="F33">
        <v>203</v>
      </c>
      <c r="G33">
        <v>198</v>
      </c>
      <c r="H33">
        <v>1.0252526</v>
      </c>
      <c r="I33">
        <v>-2.5252525000000001E-2</v>
      </c>
      <c r="J33">
        <v>0.49376560000000003</v>
      </c>
      <c r="K33">
        <f xml:space="preserve"> -55.696 * _2026_04_17_16_25_21_23_high[[#This Row],[coeff]] + 79.57</f>
        <v>22.467531190399995</v>
      </c>
      <c r="L33">
        <f xml:space="preserve"> -55.696 * _2026_04_17_16_25_21_23_high[[#This Row],[coeff]] + 79.57</f>
        <v>22.467531190399995</v>
      </c>
    </row>
    <row r="34" spans="1:12" x14ac:dyDescent="0.3">
      <c r="A34">
        <v>32</v>
      </c>
      <c r="B34">
        <v>841</v>
      </c>
      <c r="C34" t="b">
        <v>1</v>
      </c>
      <c r="D34">
        <v>8037</v>
      </c>
      <c r="E34">
        <v>8093</v>
      </c>
      <c r="F34">
        <v>202.66667000000001</v>
      </c>
      <c r="G34">
        <v>199.2</v>
      </c>
      <c r="H34">
        <v>1.0174030000000001</v>
      </c>
      <c r="I34">
        <v>-1.7402985999999999E-2</v>
      </c>
      <c r="J34">
        <v>0.49568679999999998</v>
      </c>
      <c r="K34">
        <f xml:space="preserve"> -55.696 * _2026_04_17_16_25_21_23_high[[#This Row],[coeff]] + 79.57</f>
        <v>22.904722511999992</v>
      </c>
      <c r="L34">
        <f xml:space="preserve"> -55.696 * _2026_04_17_16_25_21_23_high[[#This Row],[coeff]] + 79.57</f>
        <v>22.904722511999992</v>
      </c>
    </row>
    <row r="35" spans="1:12" x14ac:dyDescent="0.3">
      <c r="A35">
        <v>33</v>
      </c>
      <c r="B35">
        <v>857</v>
      </c>
      <c r="C35" t="b">
        <v>1</v>
      </c>
      <c r="D35">
        <v>8048</v>
      </c>
      <c r="E35">
        <v>8105</v>
      </c>
      <c r="F35">
        <v>201.93333000000001</v>
      </c>
      <c r="G35">
        <v>199.2</v>
      </c>
      <c r="H35">
        <v>1.0137216</v>
      </c>
      <c r="I35">
        <v>-1.3721573000000001E-2</v>
      </c>
      <c r="J35">
        <v>0.49659297000000002</v>
      </c>
      <c r="K35">
        <f xml:space="preserve"> -55.696 * _2026_04_17_16_25_21_23_high[[#This Row],[coeff]] + 79.57</f>
        <v>23.109761766399998</v>
      </c>
      <c r="L35">
        <f xml:space="preserve"> -55.696 * _2026_04_17_16_25_21_23_high[[#This Row],[coeff]] + 79.57</f>
        <v>23.109761766399998</v>
      </c>
    </row>
    <row r="36" spans="1:12" x14ac:dyDescent="0.3">
      <c r="A36">
        <v>34</v>
      </c>
      <c r="B36">
        <v>889</v>
      </c>
      <c r="C36" t="b">
        <v>1</v>
      </c>
      <c r="D36">
        <v>8017</v>
      </c>
      <c r="E36">
        <v>8129</v>
      </c>
      <c r="F36">
        <v>201.2</v>
      </c>
      <c r="G36">
        <v>199.6</v>
      </c>
      <c r="H36">
        <v>1.008016</v>
      </c>
      <c r="I36">
        <v>-8.0159859999999993E-3</v>
      </c>
      <c r="J36">
        <v>0.49800401999999999</v>
      </c>
      <c r="K36">
        <f xml:space="preserve"> -55.696 * _2026_04_17_16_25_21_23_high[[#This Row],[coeff]] + 79.57</f>
        <v>23.427540863999994</v>
      </c>
      <c r="L36">
        <f xml:space="preserve"> -55.696 * _2026_04_17_16_25_21_23_high[[#This Row],[coeff]] + 79.57</f>
        <v>23.427540863999994</v>
      </c>
    </row>
    <row r="37" spans="1:12" x14ac:dyDescent="0.3">
      <c r="A37">
        <v>35</v>
      </c>
      <c r="B37">
        <v>921</v>
      </c>
      <c r="C37" t="b">
        <v>1</v>
      </c>
      <c r="D37">
        <v>8017</v>
      </c>
      <c r="E37">
        <v>8111</v>
      </c>
      <c r="F37">
        <v>200.46665999999999</v>
      </c>
      <c r="G37">
        <v>200</v>
      </c>
      <c r="H37">
        <v>1.0023333000000001</v>
      </c>
      <c r="I37">
        <v>-2.3332976E-3</v>
      </c>
      <c r="J37">
        <v>0.49941732999999999</v>
      </c>
      <c r="K37">
        <f xml:space="preserve"> -55.696 * _2026_04_17_16_25_21_23_high[[#This Row],[coeff]] + 79.57</f>
        <v>23.744044523199989</v>
      </c>
      <c r="L37">
        <f xml:space="preserve"> -55.696 * _2026_04_17_16_25_21_23_high[[#This Row],[coeff]] + 79.57</f>
        <v>23.744044523199989</v>
      </c>
    </row>
    <row r="38" spans="1:12" x14ac:dyDescent="0.3">
      <c r="A38">
        <v>36</v>
      </c>
      <c r="B38">
        <v>953</v>
      </c>
      <c r="C38" t="b">
        <v>1</v>
      </c>
      <c r="D38">
        <v>8042</v>
      </c>
      <c r="E38">
        <v>8117</v>
      </c>
      <c r="F38">
        <v>199.73334</v>
      </c>
      <c r="G38">
        <v>200.4</v>
      </c>
      <c r="H38">
        <v>0.99667335000000001</v>
      </c>
      <c r="I38">
        <v>3.3266292999999999E-3</v>
      </c>
      <c r="J38">
        <v>0.50083303000000001</v>
      </c>
      <c r="K38">
        <f xml:space="preserve"> -55.696 * _2026_04_17_16_25_21_23_high[[#This Row],[coeff]] + 79.57</f>
        <v>24.059281098399993</v>
      </c>
      <c r="L38">
        <f xml:space="preserve"> -55.696 * _2026_04_17_16_25_21_23_high[[#This Row],[coeff]] + 79.57</f>
        <v>24.059281098399993</v>
      </c>
    </row>
    <row r="39" spans="1:12" x14ac:dyDescent="0.3">
      <c r="A39">
        <v>37</v>
      </c>
      <c r="B39">
        <v>984</v>
      </c>
      <c r="C39" t="b">
        <v>1</v>
      </c>
      <c r="D39">
        <v>8037</v>
      </c>
      <c r="E39">
        <v>8111</v>
      </c>
      <c r="F39">
        <v>199</v>
      </c>
      <c r="G39">
        <v>200.4</v>
      </c>
      <c r="H39">
        <v>0.99301399999999995</v>
      </c>
      <c r="I39">
        <v>6.9859980000000002E-3</v>
      </c>
      <c r="J39">
        <v>0.50175259999999999</v>
      </c>
      <c r="K39">
        <f xml:space="preserve"> -55.696 * _2026_04_17_16_25_21_23_high[[#This Row],[coeff]] + 79.57</f>
        <v>24.263092256</v>
      </c>
      <c r="L39">
        <f xml:space="preserve"> -55.696 * _2026_04_17_16_25_21_23_high[[#This Row],[coeff]] + 79.57</f>
        <v>24.263092256</v>
      </c>
    </row>
    <row r="40" spans="1:12" x14ac:dyDescent="0.3">
      <c r="A40">
        <v>38</v>
      </c>
      <c r="B40">
        <v>1016</v>
      </c>
      <c r="C40" t="b">
        <v>1</v>
      </c>
      <c r="D40">
        <v>8023</v>
      </c>
      <c r="E40">
        <v>8093</v>
      </c>
      <c r="F40">
        <v>197.73334</v>
      </c>
      <c r="G40">
        <v>200.4</v>
      </c>
      <c r="H40">
        <v>0.9866933</v>
      </c>
      <c r="I40">
        <v>1.330667E-2</v>
      </c>
      <c r="J40">
        <v>0.50334895000000002</v>
      </c>
      <c r="K40">
        <f xml:space="preserve"> -55.696 * _2026_04_17_16_25_21_23_high[[#This Row],[coeff]] + 79.57</f>
        <v>24.615129963199998</v>
      </c>
      <c r="L40">
        <f xml:space="preserve"> -55.696 * _2026_04_17_16_25_21_23_high[[#This Row],[coeff]] + 79.57</f>
        <v>24.615129963199998</v>
      </c>
    </row>
    <row r="41" spans="1:12" x14ac:dyDescent="0.3">
      <c r="A41">
        <v>39</v>
      </c>
      <c r="B41">
        <v>1048</v>
      </c>
      <c r="C41" t="b">
        <v>1</v>
      </c>
      <c r="D41">
        <v>8037</v>
      </c>
      <c r="E41">
        <v>8105</v>
      </c>
      <c r="F41">
        <v>197.4</v>
      </c>
      <c r="G41">
        <v>200.4</v>
      </c>
      <c r="H41">
        <v>0.98502993999999999</v>
      </c>
      <c r="I41">
        <v>1.497006E-2</v>
      </c>
      <c r="J41">
        <v>0.50377077000000003</v>
      </c>
      <c r="K41">
        <f xml:space="preserve"> -55.696 * _2026_04_17_16_25_21_23_high[[#This Row],[coeff]] + 79.57</f>
        <v>24.707772461759994</v>
      </c>
      <c r="L41">
        <f xml:space="preserve"> -55.696 * _2026_04_17_16_25_21_23_high[[#This Row],[coeff]] + 79.57</f>
        <v>24.707772461759994</v>
      </c>
    </row>
    <row r="42" spans="1:12" x14ac:dyDescent="0.3">
      <c r="A42">
        <v>40</v>
      </c>
      <c r="B42">
        <v>1064</v>
      </c>
      <c r="C42" t="b">
        <v>1</v>
      </c>
      <c r="D42">
        <v>8042</v>
      </c>
      <c r="E42">
        <v>8111</v>
      </c>
      <c r="F42">
        <v>197.06666999999999</v>
      </c>
      <c r="G42">
        <v>200.4</v>
      </c>
      <c r="H42">
        <v>0.98336659999999998</v>
      </c>
      <c r="I42">
        <v>1.6633374999999999E-2</v>
      </c>
      <c r="J42">
        <v>0.50419320000000001</v>
      </c>
      <c r="K42">
        <f xml:space="preserve"> -55.696 * _2026_04_17_16_25_21_23_high[[#This Row],[coeff]] + 79.57</f>
        <v>24.800413846399998</v>
      </c>
      <c r="L42">
        <f xml:space="preserve"> -55.696 * _2026_04_17_16_25_21_23_high[[#This Row],[coeff]] + 79.57</f>
        <v>24.800413846399998</v>
      </c>
    </row>
    <row r="43" spans="1:12" x14ac:dyDescent="0.3">
      <c r="A43">
        <v>41</v>
      </c>
      <c r="B43">
        <v>1079</v>
      </c>
      <c r="C43" t="b">
        <v>1</v>
      </c>
      <c r="D43">
        <v>8023</v>
      </c>
      <c r="E43">
        <v>8105</v>
      </c>
      <c r="F43">
        <v>196.73334</v>
      </c>
      <c r="G43">
        <v>200</v>
      </c>
      <c r="H43">
        <v>0.98366666000000003</v>
      </c>
      <c r="I43">
        <v>1.6333314000000002E-2</v>
      </c>
      <c r="J43">
        <v>0.50411695000000001</v>
      </c>
      <c r="K43">
        <f xml:space="preserve"> -55.696 * _2026_04_17_16_25_21_23_high[[#This Row],[coeff]] + 79.57</f>
        <v>24.783701704639995</v>
      </c>
      <c r="L43">
        <f xml:space="preserve"> -55.696 * _2026_04_17_16_25_21_23_high[[#This Row],[coeff]] + 79.57</f>
        <v>24.783701704639995</v>
      </c>
    </row>
    <row r="44" spans="1:12" x14ac:dyDescent="0.3">
      <c r="A44">
        <v>42</v>
      </c>
      <c r="B44">
        <v>1095</v>
      </c>
      <c r="C44" t="b">
        <v>1</v>
      </c>
      <c r="D44">
        <v>8037</v>
      </c>
      <c r="E44">
        <v>8111</v>
      </c>
      <c r="F44">
        <v>196.4</v>
      </c>
      <c r="G44">
        <v>199.6</v>
      </c>
      <c r="H44">
        <v>0.98396790000000001</v>
      </c>
      <c r="I44">
        <v>1.6032123999999998E-2</v>
      </c>
      <c r="J44">
        <v>0.50404040000000006</v>
      </c>
      <c r="K44">
        <f xml:space="preserve"> -55.696 * _2026_04_17_16_25_21_23_high[[#This Row],[coeff]] + 79.57</f>
        <v>24.766923841599997</v>
      </c>
      <c r="L44">
        <f xml:space="preserve"> -55.696 * _2026_04_17_16_25_21_23_high[[#This Row],[coeff]] + 79.57</f>
        <v>24.766923841599997</v>
      </c>
    </row>
    <row r="45" spans="1:12" x14ac:dyDescent="0.3">
      <c r="A45">
        <v>43</v>
      </c>
      <c r="B45">
        <v>1111</v>
      </c>
      <c r="C45" t="b">
        <v>1</v>
      </c>
      <c r="D45">
        <v>8071</v>
      </c>
      <c r="E45">
        <v>8105</v>
      </c>
      <c r="F45">
        <v>196.06666999999999</v>
      </c>
      <c r="G45">
        <v>198</v>
      </c>
      <c r="H45">
        <v>0.99023570000000005</v>
      </c>
      <c r="I45">
        <v>9.7643150000000008E-3</v>
      </c>
      <c r="J45">
        <v>0.50245309999999999</v>
      </c>
      <c r="K45">
        <f xml:space="preserve"> -55.696 * _2026_04_17_16_25_21_23_high[[#This Row],[coeff]] + 79.57</f>
        <v>24.417832452799992</v>
      </c>
      <c r="L45">
        <f xml:space="preserve"> -55.696 * _2026_04_17_16_25_21_23_high[[#This Row],[coeff]] + 79.57</f>
        <v>24.417832452799992</v>
      </c>
    </row>
    <row r="46" spans="1:12" x14ac:dyDescent="0.3">
      <c r="A46">
        <v>44</v>
      </c>
      <c r="B46">
        <v>1127</v>
      </c>
      <c r="C46" t="b">
        <v>1</v>
      </c>
      <c r="D46">
        <v>8037</v>
      </c>
      <c r="E46">
        <v>8111</v>
      </c>
      <c r="F46">
        <v>196.06666999999999</v>
      </c>
      <c r="G46">
        <v>196.8</v>
      </c>
      <c r="H46">
        <v>0.99627370000000004</v>
      </c>
      <c r="I46">
        <v>3.7263078000000002E-3</v>
      </c>
      <c r="J46">
        <v>0.50093330000000003</v>
      </c>
      <c r="K46">
        <f xml:space="preserve"> -55.696 * _2026_04_17_16_25_21_23_high[[#This Row],[coeff]] + 79.57</f>
        <v>24.08154000479999</v>
      </c>
      <c r="L46">
        <f xml:space="preserve"> -55.696 * _2026_04_17_16_25_21_23_high[[#This Row],[coeff]] + 79.57</f>
        <v>24.08154000479999</v>
      </c>
    </row>
    <row r="47" spans="1:12" x14ac:dyDescent="0.3">
      <c r="A47">
        <v>45</v>
      </c>
      <c r="B47">
        <v>1143</v>
      </c>
      <c r="C47" t="b">
        <v>1</v>
      </c>
      <c r="D47">
        <v>8037</v>
      </c>
      <c r="E47">
        <v>8105</v>
      </c>
      <c r="F47">
        <v>196.06666999999999</v>
      </c>
      <c r="G47">
        <v>195.2</v>
      </c>
      <c r="H47">
        <v>1.00444</v>
      </c>
      <c r="I47">
        <v>-4.4399009999999996E-3</v>
      </c>
      <c r="J47">
        <v>0.49889250000000002</v>
      </c>
      <c r="K47">
        <f xml:space="preserve"> -55.696 * _2026_04_17_16_25_21_23_high[[#This Row],[coeff]] + 79.57</f>
        <v>23.626709759999997</v>
      </c>
      <c r="L47">
        <f xml:space="preserve"> -55.696 * _2026_04_17_16_25_21_23_high[[#This Row],[coeff]] + 79.57</f>
        <v>23.626709759999997</v>
      </c>
    </row>
    <row r="48" spans="1:12" x14ac:dyDescent="0.3">
      <c r="A48">
        <v>46</v>
      </c>
      <c r="B48">
        <v>1159</v>
      </c>
      <c r="C48" t="b">
        <v>1</v>
      </c>
      <c r="D48">
        <v>8042</v>
      </c>
      <c r="E48">
        <v>8087</v>
      </c>
      <c r="F48">
        <v>196.06666999999999</v>
      </c>
      <c r="G48">
        <v>193.6</v>
      </c>
      <c r="H48">
        <v>1.0127409999999999</v>
      </c>
      <c r="I48">
        <v>-1.2741010000000001E-2</v>
      </c>
      <c r="J48">
        <v>0.49683490000000002</v>
      </c>
      <c r="K48">
        <f xml:space="preserve"> -55.696 * _2026_04_17_16_25_21_23_high[[#This Row],[coeff]] + 79.57</f>
        <v>23.164377264000002</v>
      </c>
      <c r="L48">
        <f xml:space="preserve"> -55.696 * _2026_04_17_16_25_21_23_high[[#This Row],[coeff]] + 79.57</f>
        <v>23.164377264000002</v>
      </c>
    </row>
    <row r="49" spans="1:12" x14ac:dyDescent="0.3">
      <c r="A49">
        <v>47</v>
      </c>
      <c r="B49">
        <v>1175</v>
      </c>
      <c r="C49" t="b">
        <v>1</v>
      </c>
      <c r="D49">
        <v>8065</v>
      </c>
      <c r="E49">
        <v>8105</v>
      </c>
      <c r="F49">
        <v>196.4</v>
      </c>
      <c r="G49">
        <v>192.4</v>
      </c>
      <c r="H49">
        <v>1.0207900000000001</v>
      </c>
      <c r="I49">
        <v>-2.0790021999999998E-2</v>
      </c>
      <c r="J49">
        <v>0.49485596999999998</v>
      </c>
      <c r="K49">
        <f xml:space="preserve"> -55.696 * _2026_04_17_16_25_21_23_high[[#This Row],[coeff]] + 79.57</f>
        <v>22.71608015999999</v>
      </c>
      <c r="L49">
        <f xml:space="preserve"> -55.696 * _2026_04_17_16_25_21_23_high[[#This Row],[coeff]] + 79.57</f>
        <v>22.71608015999999</v>
      </c>
    </row>
    <row r="50" spans="1:12" x14ac:dyDescent="0.3">
      <c r="A50">
        <v>48</v>
      </c>
      <c r="B50">
        <v>1191</v>
      </c>
      <c r="C50" t="b">
        <v>1</v>
      </c>
      <c r="D50">
        <v>8054</v>
      </c>
      <c r="E50">
        <v>8093</v>
      </c>
      <c r="F50">
        <v>196.73334</v>
      </c>
      <c r="G50">
        <v>192.4</v>
      </c>
      <c r="H50">
        <v>1.0225226000000001</v>
      </c>
      <c r="I50">
        <v>-2.2522575999999999E-2</v>
      </c>
      <c r="J50">
        <v>0.49443206000000001</v>
      </c>
      <c r="K50">
        <f xml:space="preserve"> -55.696 * _2026_04_17_16_25_21_23_high[[#This Row],[coeff]] + 79.57</f>
        <v>22.619581270399991</v>
      </c>
      <c r="L50">
        <f xml:space="preserve"> -55.696 * _2026_04_17_16_25_21_23_high[[#This Row],[coeff]] + 79.57</f>
        <v>22.619581270399991</v>
      </c>
    </row>
    <row r="51" spans="1:12" x14ac:dyDescent="0.3">
      <c r="A51">
        <v>49</v>
      </c>
      <c r="B51">
        <v>1207</v>
      </c>
      <c r="C51" t="b">
        <v>1</v>
      </c>
      <c r="D51">
        <v>8037</v>
      </c>
      <c r="E51">
        <v>8111</v>
      </c>
      <c r="F51">
        <v>197.06666999999999</v>
      </c>
      <c r="G51">
        <v>192.4</v>
      </c>
      <c r="H51">
        <v>1.0242549999999999</v>
      </c>
      <c r="I51">
        <v>-2.4255051999999999E-2</v>
      </c>
      <c r="J51">
        <v>0.49400886999999999</v>
      </c>
      <c r="K51">
        <f xml:space="preserve"> -55.696 * _2026_04_17_16_25_21_23_high[[#This Row],[coeff]] + 79.57</f>
        <v>22.523093520000003</v>
      </c>
      <c r="L51">
        <f xml:space="preserve"> -55.696 * _2026_04_17_16_25_21_23_high[[#This Row],[coeff]] + 79.57</f>
        <v>22.523093520000003</v>
      </c>
    </row>
    <row r="52" spans="1:12" x14ac:dyDescent="0.3">
      <c r="A52">
        <v>50</v>
      </c>
      <c r="B52">
        <v>1222</v>
      </c>
      <c r="C52" t="b">
        <v>1</v>
      </c>
      <c r="D52">
        <v>8030</v>
      </c>
      <c r="E52">
        <v>8093</v>
      </c>
      <c r="F52">
        <v>197.4</v>
      </c>
      <c r="G52">
        <v>191.6</v>
      </c>
      <c r="H52">
        <v>1.0302712999999999</v>
      </c>
      <c r="I52">
        <v>-3.0271335E-2</v>
      </c>
      <c r="J52">
        <v>0.49254500000000001</v>
      </c>
      <c r="K52">
        <f xml:space="preserve"> -55.696 * _2026_04_17_16_25_21_23_high[[#This Row],[coeff]] + 79.57</f>
        <v>22.1880096752</v>
      </c>
      <c r="L52">
        <f xml:space="preserve"> -55.696 * _2026_04_17_16_25_21_23_high[[#This Row],[coeff]] + 79.57</f>
        <v>22.1880096752</v>
      </c>
    </row>
    <row r="53" spans="1:12" x14ac:dyDescent="0.3">
      <c r="A53">
        <v>51</v>
      </c>
      <c r="B53">
        <v>1239</v>
      </c>
      <c r="C53" t="b">
        <v>1</v>
      </c>
      <c r="D53">
        <v>8054</v>
      </c>
      <c r="E53">
        <v>8105</v>
      </c>
      <c r="F53">
        <v>198.53334000000001</v>
      </c>
      <c r="G53">
        <v>191.2</v>
      </c>
      <c r="H53">
        <v>1.0383543</v>
      </c>
      <c r="I53">
        <v>-3.8354306999999997E-2</v>
      </c>
      <c r="J53">
        <v>0.49059185</v>
      </c>
      <c r="K53">
        <f xml:space="preserve"> -55.696 * _2026_04_17_16_25_21_23_high[[#This Row],[coeff]] + 79.57</f>
        <v>21.737818907200001</v>
      </c>
      <c r="L53">
        <f xml:space="preserve"> -55.696 * _2026_04_17_16_25_21_23_high[[#This Row],[coeff]] + 79.57</f>
        <v>21.737818907200001</v>
      </c>
    </row>
    <row r="54" spans="1:12" x14ac:dyDescent="0.3">
      <c r="A54">
        <v>52</v>
      </c>
      <c r="B54">
        <v>1270</v>
      </c>
      <c r="C54" t="b">
        <v>1</v>
      </c>
      <c r="D54">
        <v>8054</v>
      </c>
      <c r="E54">
        <v>8117</v>
      </c>
      <c r="F54">
        <v>199.66667000000001</v>
      </c>
      <c r="G54">
        <v>190.8</v>
      </c>
      <c r="H54">
        <v>1.0464709999999999</v>
      </c>
      <c r="I54">
        <v>-4.647101E-2</v>
      </c>
      <c r="J54">
        <v>0.48864605999999999</v>
      </c>
      <c r="K54">
        <f xml:space="preserve"> -55.696 * _2026_04_17_16_25_21_23_high[[#This Row],[coeff]] + 79.57</f>
        <v>21.285751183999999</v>
      </c>
      <c r="L54">
        <f xml:space="preserve"> -55.696 * _2026_04_17_16_25_21_23_high[[#This Row],[coeff]] + 79.57</f>
        <v>21.285751183999999</v>
      </c>
    </row>
    <row r="55" spans="1:12" x14ac:dyDescent="0.3">
      <c r="A55">
        <v>53</v>
      </c>
      <c r="B55">
        <v>1301</v>
      </c>
      <c r="C55" t="b">
        <v>1</v>
      </c>
      <c r="D55">
        <v>8037</v>
      </c>
      <c r="E55">
        <v>8117</v>
      </c>
      <c r="F55">
        <v>200.6</v>
      </c>
      <c r="G55">
        <v>190.8</v>
      </c>
      <c r="H55">
        <v>1.0513627999999999</v>
      </c>
      <c r="I55">
        <v>-5.1362696999999999E-2</v>
      </c>
      <c r="J55">
        <v>0.48748081999999998</v>
      </c>
      <c r="K55">
        <f xml:space="preserve"> -55.696 * _2026_04_17_16_25_21_23_high[[#This Row],[coeff]] + 79.57</f>
        <v>21.013297491199999</v>
      </c>
      <c r="L55">
        <f xml:space="preserve"> -55.696 * _2026_04_17_16_25_21_23_high[[#This Row],[coeff]] + 79.57</f>
        <v>21.013297491199999</v>
      </c>
    </row>
    <row r="56" spans="1:12" x14ac:dyDescent="0.3">
      <c r="A56">
        <v>54</v>
      </c>
      <c r="B56">
        <v>1333</v>
      </c>
      <c r="C56" t="b">
        <v>1</v>
      </c>
      <c r="D56">
        <v>8037</v>
      </c>
      <c r="E56">
        <v>8099</v>
      </c>
      <c r="F56">
        <v>200.6</v>
      </c>
      <c r="G56">
        <v>190.4</v>
      </c>
      <c r="H56">
        <v>1.0535715000000001</v>
      </c>
      <c r="I56">
        <v>-5.3571496000000003E-2</v>
      </c>
      <c r="J56">
        <v>0.48695650000000001</v>
      </c>
      <c r="K56">
        <f xml:space="preserve"> -55.696 * _2026_04_17_16_25_21_23_high[[#This Row],[coeff]] + 79.57</f>
        <v>20.890281735999991</v>
      </c>
      <c r="L56">
        <f xml:space="preserve"> -55.696 * _2026_04_17_16_25_21_23_high[[#This Row],[coeff]] + 79.57</f>
        <v>20.890281735999991</v>
      </c>
    </row>
    <row r="57" spans="1:12" x14ac:dyDescent="0.3">
      <c r="A57">
        <v>55</v>
      </c>
      <c r="B57">
        <v>1365</v>
      </c>
      <c r="C57" t="b">
        <v>1</v>
      </c>
      <c r="D57">
        <v>8037</v>
      </c>
      <c r="E57">
        <v>8099</v>
      </c>
      <c r="F57">
        <v>200.6</v>
      </c>
      <c r="G57">
        <v>190</v>
      </c>
      <c r="H57">
        <v>1.0557894999999999</v>
      </c>
      <c r="I57">
        <v>-5.5789503999999997E-2</v>
      </c>
      <c r="J57">
        <v>0.48643111999999999</v>
      </c>
      <c r="K57">
        <f xml:space="preserve"> -55.696 * _2026_04_17_16_25_21_23_high[[#This Row],[coeff]] + 79.57</f>
        <v>20.766748008</v>
      </c>
      <c r="L57">
        <f xml:space="preserve"> -55.696 * _2026_04_17_16_25_21_23_high[[#This Row],[coeff]] + 79.57</f>
        <v>20.766748008</v>
      </c>
    </row>
    <row r="58" spans="1:12" x14ac:dyDescent="0.3">
      <c r="A58">
        <v>56</v>
      </c>
      <c r="B58">
        <v>1396</v>
      </c>
      <c r="C58" t="b">
        <v>1</v>
      </c>
      <c r="D58">
        <v>8048</v>
      </c>
      <c r="E58">
        <v>8099</v>
      </c>
      <c r="F58">
        <v>200.6</v>
      </c>
      <c r="G58">
        <v>189.6</v>
      </c>
      <c r="H58">
        <v>1.0580168999999999</v>
      </c>
      <c r="I58">
        <v>-5.8016878000000001E-2</v>
      </c>
      <c r="J58">
        <v>0.48590465999999999</v>
      </c>
      <c r="K58">
        <f xml:space="preserve"> -55.696 * _2026_04_17_16_25_21_23_high[[#This Row],[coeff]] + 79.57</f>
        <v>20.642690737599999</v>
      </c>
      <c r="L58">
        <f xml:space="preserve"> -55.696 * _2026_04_17_16_25_21_23_high[[#This Row],[coeff]] + 79.57</f>
        <v>20.642690737599999</v>
      </c>
    </row>
    <row r="59" spans="1:12" x14ac:dyDescent="0.3">
      <c r="A59">
        <v>57</v>
      </c>
      <c r="B59">
        <v>1427</v>
      </c>
      <c r="C59" t="b">
        <v>1</v>
      </c>
      <c r="D59">
        <v>8054</v>
      </c>
      <c r="E59">
        <v>8105</v>
      </c>
      <c r="F59">
        <v>200.6</v>
      </c>
      <c r="G59">
        <v>189.2</v>
      </c>
      <c r="H59">
        <v>1.0602537000000001</v>
      </c>
      <c r="I59">
        <v>-6.0253750000000002E-2</v>
      </c>
      <c r="J59">
        <v>0.48537712999999999</v>
      </c>
      <c r="K59">
        <f xml:space="preserve"> -55.696 * _2026_04_17_16_25_21_23_high[[#This Row],[coeff]] + 79.57</f>
        <v>20.518109924799994</v>
      </c>
      <c r="L59">
        <f xml:space="preserve"> -55.696 * _2026_04_17_16_25_21_23_high[[#This Row],[coeff]] + 79.57</f>
        <v>20.518109924799994</v>
      </c>
    </row>
    <row r="60" spans="1:12" x14ac:dyDescent="0.3">
      <c r="A60">
        <v>58</v>
      </c>
      <c r="B60">
        <v>1443</v>
      </c>
      <c r="C60" t="b">
        <v>1</v>
      </c>
      <c r="D60">
        <v>8037</v>
      </c>
      <c r="E60">
        <v>8111</v>
      </c>
      <c r="F60">
        <v>200.6</v>
      </c>
      <c r="G60">
        <v>188.8</v>
      </c>
      <c r="H60">
        <v>1.0625</v>
      </c>
      <c r="I60">
        <v>-6.2500015000000006E-2</v>
      </c>
      <c r="J60">
        <v>0.48484846999999998</v>
      </c>
      <c r="K60">
        <f xml:space="preserve"> -55.696 * _2026_04_17_16_25_21_23_high[[#This Row],[coeff]] + 79.57</f>
        <v>20.392999999999994</v>
      </c>
      <c r="L60">
        <f xml:space="preserve"> -55.696 * _2026_04_17_16_25_21_23_high[[#This Row],[coeff]] + 79.57</f>
        <v>20.392999999999994</v>
      </c>
    </row>
    <row r="61" spans="1:12" x14ac:dyDescent="0.3">
      <c r="A61">
        <v>59</v>
      </c>
      <c r="B61">
        <v>1474</v>
      </c>
      <c r="C61" t="b">
        <v>1</v>
      </c>
      <c r="D61">
        <v>8042</v>
      </c>
      <c r="E61">
        <v>8099</v>
      </c>
      <c r="F61">
        <v>200.93333000000001</v>
      </c>
      <c r="G61">
        <v>188</v>
      </c>
      <c r="H61">
        <v>1.0687944</v>
      </c>
      <c r="I61">
        <v>-6.8794330000000001E-2</v>
      </c>
      <c r="J61">
        <v>0.48337330000000001</v>
      </c>
      <c r="K61">
        <f xml:space="preserve"> -55.696 * _2026_04_17_16_25_21_23_high[[#This Row],[coeff]] + 79.57</f>
        <v>20.04242709759999</v>
      </c>
      <c r="L61">
        <f xml:space="preserve"> -55.696 * _2026_04_17_16_25_21_23_high[[#This Row],[coeff]] + 79.57</f>
        <v>20.04242709759999</v>
      </c>
    </row>
    <row r="62" spans="1:12" x14ac:dyDescent="0.3">
      <c r="A62">
        <v>60</v>
      </c>
      <c r="B62">
        <v>1490</v>
      </c>
      <c r="C62" t="b">
        <v>1</v>
      </c>
      <c r="D62">
        <v>8030</v>
      </c>
      <c r="E62">
        <v>8129</v>
      </c>
      <c r="F62">
        <v>201.26666</v>
      </c>
      <c r="G62">
        <v>188</v>
      </c>
      <c r="H62">
        <v>1.0705674000000001</v>
      </c>
      <c r="I62">
        <v>-7.0567354999999998E-2</v>
      </c>
      <c r="J62">
        <v>0.48295941999999997</v>
      </c>
      <c r="K62">
        <f xml:space="preserve"> -55.696 * _2026_04_17_16_25_21_23_high[[#This Row],[coeff]] + 79.57</f>
        <v>19.943678089599992</v>
      </c>
      <c r="L62">
        <f xml:space="preserve"> -55.696 * _2026_04_17_16_25_21_23_high[[#This Row],[coeff]] + 79.57</f>
        <v>19.943678089599992</v>
      </c>
    </row>
    <row r="63" spans="1:12" x14ac:dyDescent="0.3">
      <c r="A63">
        <v>61</v>
      </c>
      <c r="B63">
        <v>1506</v>
      </c>
      <c r="C63" t="b">
        <v>1</v>
      </c>
      <c r="D63">
        <v>8060</v>
      </c>
      <c r="E63">
        <v>8105</v>
      </c>
      <c r="F63">
        <v>201.6</v>
      </c>
      <c r="G63">
        <v>188</v>
      </c>
      <c r="H63">
        <v>1.0723404999999999</v>
      </c>
      <c r="I63">
        <v>-7.2340459999999995E-2</v>
      </c>
      <c r="J63">
        <v>0.48254617999999999</v>
      </c>
      <c r="K63">
        <f xml:space="preserve"> -55.696 * _2026_04_17_16_25_21_23_high[[#This Row],[coeff]] + 79.57</f>
        <v>19.844923512000001</v>
      </c>
      <c r="L63">
        <f xml:space="preserve"> -55.696 * _2026_04_17_16_25_21_23_high[[#This Row],[coeff]] + 79.57</f>
        <v>19.844923512000001</v>
      </c>
    </row>
    <row r="64" spans="1:12" x14ac:dyDescent="0.3">
      <c r="A64">
        <v>62</v>
      </c>
      <c r="B64">
        <v>1538</v>
      </c>
      <c r="C64" t="b">
        <v>1</v>
      </c>
      <c r="D64">
        <v>8042</v>
      </c>
      <c r="E64">
        <v>8099</v>
      </c>
      <c r="F64">
        <v>201.6</v>
      </c>
      <c r="G64">
        <v>188</v>
      </c>
      <c r="H64">
        <v>1.0723404999999999</v>
      </c>
      <c r="I64">
        <v>-7.2340459999999995E-2</v>
      </c>
      <c r="J64">
        <v>0.48254617999999999</v>
      </c>
      <c r="K64">
        <f xml:space="preserve"> -55.696 * _2026_04_17_16_25_21_23_high[[#This Row],[coeff]] + 79.57</f>
        <v>19.844923512000001</v>
      </c>
      <c r="L64">
        <f xml:space="preserve"> -55.696 * _2026_04_17_16_25_21_23_high[[#This Row],[coeff]] + 79.57</f>
        <v>19.844923512000001</v>
      </c>
    </row>
    <row r="65" spans="1:12" x14ac:dyDescent="0.3">
      <c r="A65">
        <v>63</v>
      </c>
      <c r="B65">
        <v>1554</v>
      </c>
      <c r="C65" t="b">
        <v>1</v>
      </c>
      <c r="D65">
        <v>8017</v>
      </c>
      <c r="E65">
        <v>8117</v>
      </c>
      <c r="F65">
        <v>201.6</v>
      </c>
      <c r="G65">
        <v>188</v>
      </c>
      <c r="H65">
        <v>1.0723404999999999</v>
      </c>
      <c r="I65">
        <v>-7.2340459999999995E-2</v>
      </c>
      <c r="J65">
        <v>0.48254617999999999</v>
      </c>
      <c r="K65">
        <f xml:space="preserve"> -55.696 * _2026_04_17_16_25_21_23_high[[#This Row],[coeff]] + 79.57</f>
        <v>19.844923512000001</v>
      </c>
      <c r="L65">
        <f xml:space="preserve"> -55.696 * _2026_04_17_16_25_21_23_high[[#This Row],[coeff]] + 79.57</f>
        <v>19.844923512000001</v>
      </c>
    </row>
    <row r="66" spans="1:12" x14ac:dyDescent="0.3">
      <c r="A66">
        <v>64</v>
      </c>
      <c r="B66">
        <v>1570</v>
      </c>
      <c r="C66" t="b">
        <v>1</v>
      </c>
      <c r="D66">
        <v>8037</v>
      </c>
      <c r="E66">
        <v>8099</v>
      </c>
      <c r="F66">
        <v>201.26666</v>
      </c>
      <c r="G66">
        <v>188</v>
      </c>
      <c r="H66">
        <v>1.0705674000000001</v>
      </c>
      <c r="I66">
        <v>-7.0567354999999998E-2</v>
      </c>
      <c r="J66">
        <v>0.48295941999999997</v>
      </c>
      <c r="K66">
        <f xml:space="preserve"> -55.696 * _2026_04_17_16_25_21_23_high[[#This Row],[coeff]] + 79.57</f>
        <v>19.943678089599992</v>
      </c>
      <c r="L66">
        <f xml:space="preserve"> -55.696 * _2026_04_17_16_25_21_23_high[[#This Row],[coeff]] + 79.57</f>
        <v>19.943678089599992</v>
      </c>
    </row>
    <row r="67" spans="1:12" x14ac:dyDescent="0.3">
      <c r="A67">
        <v>65</v>
      </c>
      <c r="B67">
        <v>1585</v>
      </c>
      <c r="C67" t="b">
        <v>1</v>
      </c>
      <c r="D67">
        <v>8030</v>
      </c>
      <c r="E67">
        <v>8117</v>
      </c>
      <c r="F67">
        <v>200.93333000000001</v>
      </c>
      <c r="G67">
        <v>188.8</v>
      </c>
      <c r="H67">
        <v>1.0642655000000001</v>
      </c>
      <c r="I67">
        <v>-6.4265530000000001E-2</v>
      </c>
      <c r="J67">
        <v>0.48443380000000003</v>
      </c>
      <c r="K67">
        <f xml:space="preserve"> -55.696 * _2026_04_17_16_25_21_23_high[[#This Row],[coeff]] + 79.57</f>
        <v>20.294668711999989</v>
      </c>
      <c r="L67">
        <f xml:space="preserve"> -55.696 * _2026_04_17_16_25_21_23_high[[#This Row],[coeff]] + 79.57</f>
        <v>20.294668711999989</v>
      </c>
    </row>
    <row r="68" spans="1:12" x14ac:dyDescent="0.3">
      <c r="A68">
        <v>66</v>
      </c>
      <c r="B68">
        <v>1617</v>
      </c>
      <c r="C68" t="b">
        <v>1</v>
      </c>
      <c r="D68">
        <v>8030</v>
      </c>
      <c r="E68">
        <v>8105</v>
      </c>
      <c r="F68">
        <v>199.33332999999999</v>
      </c>
      <c r="G68">
        <v>188.8</v>
      </c>
      <c r="H68">
        <v>1.0557909000000001</v>
      </c>
      <c r="I68">
        <v>-5.5790916000000003E-2</v>
      </c>
      <c r="J68">
        <v>0.4864308</v>
      </c>
      <c r="K68">
        <f xml:space="preserve"> -55.696 * _2026_04_17_16_25_21_23_high[[#This Row],[coeff]] + 79.57</f>
        <v>20.766670033599993</v>
      </c>
      <c r="L68">
        <f xml:space="preserve"> -55.696 * _2026_04_17_16_25_21_23_high[[#This Row],[coeff]] + 79.57</f>
        <v>20.766670033599993</v>
      </c>
    </row>
    <row r="69" spans="1:12" x14ac:dyDescent="0.3">
      <c r="A69">
        <v>67</v>
      </c>
      <c r="B69">
        <v>1632</v>
      </c>
      <c r="C69" t="b">
        <v>1</v>
      </c>
      <c r="D69">
        <v>8030</v>
      </c>
      <c r="E69">
        <v>8099</v>
      </c>
      <c r="F69">
        <v>197.73334</v>
      </c>
      <c r="G69">
        <v>188.8</v>
      </c>
      <c r="H69">
        <v>1.0473163999999999</v>
      </c>
      <c r="I69">
        <v>-4.7316387000000001E-2</v>
      </c>
      <c r="J69">
        <v>0.4884443</v>
      </c>
      <c r="K69">
        <f xml:space="preserve"> -55.696 * _2026_04_17_16_25_21_23_high[[#This Row],[coeff]] + 79.57</f>
        <v>21.238665785599999</v>
      </c>
      <c r="L69">
        <f xml:space="preserve"> -55.696 * _2026_04_17_16_25_21_23_high[[#This Row],[coeff]] + 79.57</f>
        <v>21.238665785599999</v>
      </c>
    </row>
    <row r="70" spans="1:12" x14ac:dyDescent="0.3">
      <c r="A70">
        <v>68</v>
      </c>
      <c r="B70">
        <v>1649</v>
      </c>
      <c r="C70" t="b">
        <v>1</v>
      </c>
      <c r="D70">
        <v>8023</v>
      </c>
      <c r="E70">
        <v>8099</v>
      </c>
      <c r="F70">
        <v>197.26666</v>
      </c>
      <c r="G70">
        <v>188</v>
      </c>
      <c r="H70">
        <v>1.0492908000000001</v>
      </c>
      <c r="I70">
        <v>-4.9290757999999997E-2</v>
      </c>
      <c r="J70">
        <v>0.48797370000000001</v>
      </c>
      <c r="K70">
        <f xml:space="preserve"> -55.696 * _2026_04_17_16_25_21_23_high[[#This Row],[coeff]] + 79.57</f>
        <v>21.128699603199991</v>
      </c>
      <c r="L70">
        <f xml:space="preserve"> -55.696 * _2026_04_17_16_25_21_23_high[[#This Row],[coeff]] + 79.57</f>
        <v>21.128699603199991</v>
      </c>
    </row>
    <row r="71" spans="1:12" x14ac:dyDescent="0.3">
      <c r="A71">
        <v>69</v>
      </c>
      <c r="B71">
        <v>1664</v>
      </c>
      <c r="C71" t="b">
        <v>1</v>
      </c>
      <c r="D71">
        <v>8042</v>
      </c>
      <c r="E71">
        <v>8123</v>
      </c>
      <c r="F71">
        <v>196.8</v>
      </c>
      <c r="G71">
        <v>188</v>
      </c>
      <c r="H71">
        <v>1.0468085</v>
      </c>
      <c r="I71">
        <v>-4.6808526000000003E-2</v>
      </c>
      <c r="J71">
        <v>0.48856549999999999</v>
      </c>
      <c r="K71">
        <f xml:space="preserve"> -55.696 * _2026_04_17_16_25_21_23_high[[#This Row],[coeff]] + 79.57</f>
        <v>21.266953783999995</v>
      </c>
      <c r="L71">
        <f xml:space="preserve"> -55.696 * _2026_04_17_16_25_21_23_high[[#This Row],[coeff]] + 79.57</f>
        <v>21.266953783999995</v>
      </c>
    </row>
    <row r="72" spans="1:12" x14ac:dyDescent="0.3">
      <c r="A72">
        <v>70</v>
      </c>
      <c r="B72">
        <v>1680</v>
      </c>
      <c r="C72" t="b">
        <v>1</v>
      </c>
      <c r="D72">
        <v>8030</v>
      </c>
      <c r="E72">
        <v>8093</v>
      </c>
      <c r="F72">
        <v>196.33332999999999</v>
      </c>
      <c r="G72">
        <v>187.6</v>
      </c>
      <c r="H72">
        <v>1.0465529</v>
      </c>
      <c r="I72">
        <v>-4.655289E-2</v>
      </c>
      <c r="J72">
        <v>0.48862647999999997</v>
      </c>
      <c r="K72">
        <f xml:space="preserve"> -55.696 * _2026_04_17_16_25_21_23_high[[#This Row],[coeff]] + 79.57</f>
        <v>21.281189681599997</v>
      </c>
      <c r="L72">
        <f xml:space="preserve"> -55.696 * _2026_04_17_16_25_21_23_high[[#This Row],[coeff]] + 79.57</f>
        <v>21.281189681599997</v>
      </c>
    </row>
    <row r="73" spans="1:12" x14ac:dyDescent="0.3">
      <c r="A73">
        <v>71</v>
      </c>
      <c r="B73">
        <v>1696</v>
      </c>
      <c r="C73" t="b">
        <v>1</v>
      </c>
      <c r="D73">
        <v>8023</v>
      </c>
      <c r="E73">
        <v>8146</v>
      </c>
      <c r="F73">
        <v>195.86667</v>
      </c>
      <c r="G73">
        <v>187.6</v>
      </c>
      <c r="H73">
        <v>1.0440654</v>
      </c>
      <c r="I73">
        <v>-4.4065364000000003E-2</v>
      </c>
      <c r="J73">
        <v>0.48922115999999999</v>
      </c>
      <c r="K73">
        <f xml:space="preserve"> -55.696 * _2026_04_17_16_25_21_23_high[[#This Row],[coeff]] + 79.57</f>
        <v>21.419733481599991</v>
      </c>
      <c r="L73">
        <f xml:space="preserve"> -55.696 * _2026_04_17_16_25_21_23_high[[#This Row],[coeff]] + 79.57</f>
        <v>21.419733481599991</v>
      </c>
    </row>
    <row r="74" spans="1:12" x14ac:dyDescent="0.3">
      <c r="A74">
        <v>72</v>
      </c>
      <c r="B74">
        <v>1712</v>
      </c>
      <c r="C74" t="b">
        <v>1</v>
      </c>
      <c r="D74">
        <v>8048</v>
      </c>
      <c r="E74">
        <v>8111</v>
      </c>
      <c r="F74">
        <v>195.4</v>
      </c>
      <c r="G74">
        <v>188.4</v>
      </c>
      <c r="H74">
        <v>1.037155</v>
      </c>
      <c r="I74">
        <v>-3.7154989999999999E-2</v>
      </c>
      <c r="J74">
        <v>0.49088067000000002</v>
      </c>
      <c r="K74">
        <f xml:space="preserve"> -55.696 * _2026_04_17_16_25_21_23_high[[#This Row],[coeff]] + 79.57</f>
        <v>21.804615119999994</v>
      </c>
      <c r="L74">
        <f xml:space="preserve"> -55.696 * _2026_04_17_16_25_21_23_high[[#This Row],[coeff]] + 79.57</f>
        <v>21.804615119999994</v>
      </c>
    </row>
    <row r="75" spans="1:12" x14ac:dyDescent="0.3">
      <c r="A75">
        <v>73</v>
      </c>
      <c r="B75">
        <v>1728</v>
      </c>
      <c r="C75" t="b">
        <v>1</v>
      </c>
      <c r="D75">
        <v>8042</v>
      </c>
      <c r="E75">
        <v>8099</v>
      </c>
      <c r="F75">
        <v>195.73334</v>
      </c>
      <c r="G75">
        <v>189.2</v>
      </c>
      <c r="H75">
        <v>1.0345314000000001</v>
      </c>
      <c r="I75">
        <v>-3.4531399999999997E-2</v>
      </c>
      <c r="J75">
        <v>0.49151363999999997</v>
      </c>
      <c r="K75">
        <f xml:space="preserve"> -55.696 * _2026_04_17_16_25_21_23_high[[#This Row],[coeff]] + 79.57</f>
        <v>21.950739145599989</v>
      </c>
      <c r="L75">
        <f xml:space="preserve"> -55.696 * _2026_04_17_16_25_21_23_high[[#This Row],[coeff]] + 79.57</f>
        <v>21.950739145599989</v>
      </c>
    </row>
    <row r="76" spans="1:12" x14ac:dyDescent="0.3">
      <c r="A76">
        <v>74</v>
      </c>
      <c r="B76">
        <v>1759</v>
      </c>
      <c r="C76" t="b">
        <v>1</v>
      </c>
      <c r="D76">
        <v>8030</v>
      </c>
      <c r="E76">
        <v>8117</v>
      </c>
      <c r="F76">
        <v>194.93333000000001</v>
      </c>
      <c r="G76">
        <v>190</v>
      </c>
      <c r="H76">
        <v>1.025965</v>
      </c>
      <c r="I76">
        <v>-2.5964918E-2</v>
      </c>
      <c r="J76">
        <v>0.49359193000000001</v>
      </c>
      <c r="K76">
        <f xml:space="preserve"> -55.696 * _2026_04_17_16_25_21_23_high[[#This Row],[coeff]] + 79.57</f>
        <v>22.427853359999993</v>
      </c>
      <c r="L76">
        <f xml:space="preserve"> -55.696 * _2026_04_17_16_25_21_23_high[[#This Row],[coeff]] + 79.57</f>
        <v>22.427853359999993</v>
      </c>
    </row>
    <row r="77" spans="1:12" x14ac:dyDescent="0.3">
      <c r="A77">
        <v>75</v>
      </c>
      <c r="B77">
        <v>1791</v>
      </c>
      <c r="C77" t="b">
        <v>1</v>
      </c>
      <c r="D77">
        <v>8030</v>
      </c>
      <c r="E77">
        <v>8093</v>
      </c>
      <c r="F77">
        <v>194.13333</v>
      </c>
      <c r="G77">
        <v>190.4</v>
      </c>
      <c r="H77">
        <v>1.0196079</v>
      </c>
      <c r="I77">
        <v>-1.9607863999999999E-2</v>
      </c>
      <c r="J77">
        <v>0.49514562000000001</v>
      </c>
      <c r="K77">
        <f xml:space="preserve"> -55.696 * _2026_04_17_16_25_21_23_high[[#This Row],[coeff]] + 79.57</f>
        <v>22.781918401599995</v>
      </c>
      <c r="L77">
        <f xml:space="preserve"> -55.696 * _2026_04_17_16_25_21_23_high[[#This Row],[coeff]] + 79.57</f>
        <v>22.781918401599995</v>
      </c>
    </row>
    <row r="78" spans="1:12" x14ac:dyDescent="0.3">
      <c r="A78">
        <v>76</v>
      </c>
      <c r="B78">
        <v>1807</v>
      </c>
      <c r="C78" t="b">
        <v>1</v>
      </c>
      <c r="D78">
        <v>8037</v>
      </c>
      <c r="E78">
        <v>8105</v>
      </c>
      <c r="F78">
        <v>193.8</v>
      </c>
      <c r="G78">
        <v>190.4</v>
      </c>
      <c r="H78">
        <v>1.0178571999999999</v>
      </c>
      <c r="I78">
        <v>-1.7857192000000001E-2</v>
      </c>
      <c r="J78">
        <v>0.49557519999999999</v>
      </c>
      <c r="K78">
        <f xml:space="preserve"> -55.696 * _2026_04_17_16_25_21_23_high[[#This Row],[coeff]] + 79.57</f>
        <v>22.879425388800001</v>
      </c>
      <c r="L78">
        <f xml:space="preserve"> -55.696 * _2026_04_17_16_25_21_23_high[[#This Row],[coeff]] + 79.57</f>
        <v>22.879425388800001</v>
      </c>
    </row>
    <row r="79" spans="1:12" x14ac:dyDescent="0.3">
      <c r="A79">
        <v>77</v>
      </c>
      <c r="B79">
        <v>1823</v>
      </c>
      <c r="C79" t="b">
        <v>1</v>
      </c>
      <c r="D79">
        <v>8054</v>
      </c>
      <c r="E79">
        <v>8105</v>
      </c>
      <c r="F79">
        <v>193.46665999999999</v>
      </c>
      <c r="G79">
        <v>190.4</v>
      </c>
      <c r="H79">
        <v>1.0161065</v>
      </c>
      <c r="I79">
        <v>-1.6106438000000001E-2</v>
      </c>
      <c r="J79">
        <v>0.49600556000000001</v>
      </c>
      <c r="K79">
        <f xml:space="preserve"> -55.696 * _2026_04_17_16_25_21_23_high[[#This Row],[coeff]] + 79.57</f>
        <v>22.976932375999993</v>
      </c>
      <c r="L79">
        <f xml:space="preserve"> -55.696 * _2026_04_17_16_25_21_23_high[[#This Row],[coeff]] + 79.57</f>
        <v>22.976932375999993</v>
      </c>
    </row>
    <row r="80" spans="1:12" x14ac:dyDescent="0.3">
      <c r="A80">
        <v>78</v>
      </c>
      <c r="B80">
        <v>1854</v>
      </c>
      <c r="C80" t="b">
        <v>1</v>
      </c>
      <c r="D80">
        <v>8054</v>
      </c>
      <c r="E80">
        <v>8099</v>
      </c>
      <c r="F80">
        <v>193.13333</v>
      </c>
      <c r="G80">
        <v>190.4</v>
      </c>
      <c r="H80">
        <v>1.0143557999999999</v>
      </c>
      <c r="I80">
        <v>-1.4355764E-2</v>
      </c>
      <c r="J80">
        <v>0.49643662999999999</v>
      </c>
      <c r="K80">
        <f xml:space="preserve"> -55.696 * _2026_04_17_16_25_21_23_high[[#This Row],[coeff]] + 79.57</f>
        <v>23.0744393632</v>
      </c>
      <c r="L80">
        <f xml:space="preserve"> -55.696 * _2026_04_17_16_25_21_23_high[[#This Row],[coeff]] + 79.57</f>
        <v>23.0744393632</v>
      </c>
    </row>
    <row r="81" spans="1:12" x14ac:dyDescent="0.3">
      <c r="A81">
        <v>79</v>
      </c>
      <c r="B81">
        <v>1886</v>
      </c>
      <c r="C81" t="b">
        <v>1</v>
      </c>
      <c r="D81">
        <v>8048</v>
      </c>
      <c r="E81">
        <v>8123</v>
      </c>
      <c r="F81">
        <v>193.86667</v>
      </c>
      <c r="G81">
        <v>190.4</v>
      </c>
      <c r="H81">
        <v>1.0182073</v>
      </c>
      <c r="I81">
        <v>-1.8207326999999999E-2</v>
      </c>
      <c r="J81">
        <v>0.49548924</v>
      </c>
      <c r="K81">
        <f xml:space="preserve"> -55.696 * _2026_04_17_16_25_21_23_high[[#This Row],[coeff]] + 79.57</f>
        <v>22.859926219199991</v>
      </c>
      <c r="L81">
        <f xml:space="preserve"> -55.696 * _2026_04_17_16_25_21_23_high[[#This Row],[coeff]] + 79.57</f>
        <v>22.859926219199991</v>
      </c>
    </row>
    <row r="82" spans="1:12" x14ac:dyDescent="0.3">
      <c r="A82">
        <v>80</v>
      </c>
      <c r="B82">
        <v>1917</v>
      </c>
      <c r="C82" t="b">
        <v>1</v>
      </c>
      <c r="D82">
        <v>8054</v>
      </c>
      <c r="E82">
        <v>8111</v>
      </c>
      <c r="F82">
        <v>195</v>
      </c>
      <c r="G82">
        <v>190.4</v>
      </c>
      <c r="H82">
        <v>1.0241597</v>
      </c>
      <c r="I82">
        <v>-2.4159696000000001E-2</v>
      </c>
      <c r="J82">
        <v>0.49403216999999999</v>
      </c>
      <c r="K82">
        <f xml:space="preserve"> -55.696 * _2026_04_17_16_25_21_23_high[[#This Row],[coeff]] + 79.57</f>
        <v>22.528401348799996</v>
      </c>
      <c r="L82">
        <f xml:space="preserve"> -55.696 * _2026_04_17_16_25_21_23_high[[#This Row],[coeff]] + 79.57</f>
        <v>22.528401348799996</v>
      </c>
    </row>
    <row r="83" spans="1:12" x14ac:dyDescent="0.3">
      <c r="A83">
        <v>81</v>
      </c>
      <c r="B83">
        <v>1948</v>
      </c>
      <c r="C83" t="b">
        <v>1</v>
      </c>
      <c r="D83">
        <v>8054</v>
      </c>
      <c r="E83">
        <v>8105</v>
      </c>
      <c r="F83">
        <v>196.6</v>
      </c>
      <c r="G83">
        <v>190.4</v>
      </c>
      <c r="H83">
        <v>1.0325631</v>
      </c>
      <c r="I83">
        <v>-3.2563090000000003E-2</v>
      </c>
      <c r="J83">
        <v>0.49198964000000001</v>
      </c>
      <c r="K83">
        <f xml:space="preserve"> -55.696 * _2026_04_17_16_25_21_23_high[[#This Row],[coeff]] + 79.57</f>
        <v>22.060365582399996</v>
      </c>
      <c r="L83">
        <f xml:space="preserve"> -55.696 * _2026_04_17_16_25_21_23_high[[#This Row],[coeff]] + 79.57</f>
        <v>22.060365582399996</v>
      </c>
    </row>
    <row r="84" spans="1:12" x14ac:dyDescent="0.3">
      <c r="A84">
        <v>82</v>
      </c>
      <c r="B84">
        <v>1980</v>
      </c>
      <c r="C84" t="b">
        <v>1</v>
      </c>
      <c r="D84">
        <v>8037</v>
      </c>
      <c r="E84">
        <v>8087</v>
      </c>
      <c r="F84">
        <v>198.2</v>
      </c>
      <c r="G84">
        <v>190.4</v>
      </c>
      <c r="H84">
        <v>1.0409664000000001</v>
      </c>
      <c r="I84">
        <v>-4.0966402999999998E-2</v>
      </c>
      <c r="J84">
        <v>0.48996398000000002</v>
      </c>
      <c r="K84">
        <f xml:space="preserve"> -55.696 * _2026_04_17_16_25_21_23_high[[#This Row],[coeff]] + 79.57</f>
        <v>21.592335385599995</v>
      </c>
      <c r="L84">
        <f xml:space="preserve"> -55.696 * _2026_04_17_16_25_21_23_high[[#This Row],[coeff]] + 79.57</f>
        <v>21.592335385599995</v>
      </c>
    </row>
    <row r="85" spans="1:12" x14ac:dyDescent="0.3">
      <c r="A85">
        <v>83</v>
      </c>
      <c r="B85">
        <v>2011</v>
      </c>
      <c r="C85" t="b">
        <v>1</v>
      </c>
      <c r="D85">
        <v>8037</v>
      </c>
      <c r="E85">
        <v>8111</v>
      </c>
      <c r="F85">
        <v>199.4</v>
      </c>
      <c r="G85">
        <v>191.2</v>
      </c>
      <c r="H85">
        <v>1.0428869999999999</v>
      </c>
      <c r="I85">
        <v>-4.2887013000000002E-2</v>
      </c>
      <c r="J85">
        <v>0.48950335</v>
      </c>
      <c r="K85">
        <f xml:space="preserve"> -55.696 * _2026_04_17_16_25_21_23_high[[#This Row],[coeff]] + 79.57</f>
        <v>21.485365647999998</v>
      </c>
      <c r="L85">
        <f xml:space="preserve"> -55.696 * _2026_04_17_16_25_21_23_high[[#This Row],[coeff]] + 79.57</f>
        <v>21.485365647999998</v>
      </c>
    </row>
    <row r="86" spans="1:12" x14ac:dyDescent="0.3">
      <c r="A86">
        <v>84</v>
      </c>
      <c r="B86">
        <v>2043</v>
      </c>
      <c r="C86" t="b">
        <v>1</v>
      </c>
      <c r="D86">
        <v>8042</v>
      </c>
      <c r="E86">
        <v>8123</v>
      </c>
      <c r="F86">
        <v>200.2</v>
      </c>
      <c r="G86">
        <v>191.6</v>
      </c>
      <c r="H86">
        <v>1.0448852</v>
      </c>
      <c r="I86">
        <v>-4.4885130000000002E-2</v>
      </c>
      <c r="J86">
        <v>0.48902506000000001</v>
      </c>
      <c r="K86">
        <f xml:space="preserve"> -55.696 * _2026_04_17_16_25_21_23_high[[#This Row],[coeff]] + 79.57</f>
        <v>21.374073900799999</v>
      </c>
      <c r="L86">
        <f xml:space="preserve"> -55.696 * _2026_04_17_16_25_21_23_high[[#This Row],[coeff]] + 79.57</f>
        <v>21.374073900799999</v>
      </c>
    </row>
    <row r="87" spans="1:12" x14ac:dyDescent="0.3">
      <c r="A87">
        <v>85</v>
      </c>
      <c r="B87">
        <v>2074</v>
      </c>
      <c r="C87" t="b">
        <v>1</v>
      </c>
      <c r="D87">
        <v>8054</v>
      </c>
      <c r="E87">
        <v>8123</v>
      </c>
      <c r="F87">
        <v>201</v>
      </c>
      <c r="G87">
        <v>192.4</v>
      </c>
      <c r="H87">
        <v>1.0446986</v>
      </c>
      <c r="I87">
        <v>-4.4698577000000003E-2</v>
      </c>
      <c r="J87">
        <v>0.48906964000000003</v>
      </c>
      <c r="K87">
        <f xml:space="preserve"> -55.696 * _2026_04_17_16_25_21_23_high[[#This Row],[coeff]] + 79.57</f>
        <v>21.384466774399996</v>
      </c>
      <c r="L87">
        <f xml:space="preserve"> -55.696 * _2026_04_17_16_25_21_23_high[[#This Row],[coeff]] + 79.57</f>
        <v>21.384466774399996</v>
      </c>
    </row>
    <row r="88" spans="1:12" x14ac:dyDescent="0.3">
      <c r="A88">
        <v>86</v>
      </c>
      <c r="B88">
        <v>2106</v>
      </c>
      <c r="C88" t="b">
        <v>1</v>
      </c>
      <c r="D88">
        <v>8060</v>
      </c>
      <c r="E88">
        <v>8093</v>
      </c>
      <c r="F88">
        <v>201.8</v>
      </c>
      <c r="G88">
        <v>193.2</v>
      </c>
      <c r="H88">
        <v>1.0445135000000001</v>
      </c>
      <c r="I88">
        <v>-4.4513490000000003E-2</v>
      </c>
      <c r="J88">
        <v>0.48911392999999997</v>
      </c>
      <c r="K88">
        <f xml:space="preserve"> -55.696 * _2026_04_17_16_25_21_23_high[[#This Row],[coeff]] + 79.57</f>
        <v>21.394776103999988</v>
      </c>
      <c r="L88">
        <f xml:space="preserve"> -55.696 * _2026_04_17_16_25_21_23_high[[#This Row],[coeff]] + 79.57</f>
        <v>21.394776103999988</v>
      </c>
    </row>
    <row r="89" spans="1:12" x14ac:dyDescent="0.3">
      <c r="A89">
        <v>87</v>
      </c>
      <c r="B89">
        <v>2137</v>
      </c>
      <c r="C89" t="b">
        <v>1</v>
      </c>
      <c r="D89">
        <v>8042</v>
      </c>
      <c r="E89">
        <v>8087</v>
      </c>
      <c r="F89">
        <v>202.6</v>
      </c>
      <c r="G89">
        <v>193.2</v>
      </c>
      <c r="H89">
        <v>1.0486542999999999</v>
      </c>
      <c r="I89">
        <v>-4.8654290000000003E-2</v>
      </c>
      <c r="J89">
        <v>0.48812531999999997</v>
      </c>
      <c r="K89">
        <f xml:space="preserve"> -55.696 * _2026_04_17_16_25_21_23_high[[#This Row],[coeff]] + 79.57</f>
        <v>21.164150107200001</v>
      </c>
      <c r="L89">
        <f xml:space="preserve"> -55.696 * _2026_04_17_16_25_21_23_high[[#This Row],[coeff]] + 79.57</f>
        <v>21.164150107200001</v>
      </c>
    </row>
    <row r="90" spans="1:12" x14ac:dyDescent="0.3">
      <c r="A90">
        <v>88</v>
      </c>
      <c r="B90">
        <v>2153</v>
      </c>
      <c r="C90" t="b">
        <v>1</v>
      </c>
      <c r="D90">
        <v>8054</v>
      </c>
      <c r="E90">
        <v>8087</v>
      </c>
      <c r="F90">
        <v>203.4</v>
      </c>
      <c r="G90">
        <v>192</v>
      </c>
      <c r="H90">
        <v>1.0593748999999999</v>
      </c>
      <c r="I90">
        <v>-5.9374969999999999E-2</v>
      </c>
      <c r="J90">
        <v>0.48558423000000001</v>
      </c>
      <c r="K90">
        <f xml:space="preserve"> -55.696 * _2026_04_17_16_25_21_23_high[[#This Row],[coeff]] + 79.57</f>
        <v>20.567055569600001</v>
      </c>
      <c r="L90">
        <f xml:space="preserve"> -55.696 * _2026_04_17_16_25_21_23_high[[#This Row],[coeff]] + 79.57</f>
        <v>20.567055569600001</v>
      </c>
    </row>
    <row r="91" spans="1:12" x14ac:dyDescent="0.3">
      <c r="A91">
        <v>89</v>
      </c>
      <c r="B91">
        <v>2185</v>
      </c>
      <c r="C91" t="b">
        <v>1</v>
      </c>
      <c r="D91">
        <v>8048</v>
      </c>
      <c r="E91">
        <v>8093</v>
      </c>
      <c r="F91">
        <v>205</v>
      </c>
      <c r="G91">
        <v>190.8</v>
      </c>
      <c r="H91">
        <v>1.0744233999999999</v>
      </c>
      <c r="I91">
        <v>-7.4423459999999997E-2</v>
      </c>
      <c r="J91">
        <v>0.48206167999999999</v>
      </c>
      <c r="K91">
        <f xml:space="preserve"> -55.696 * _2026_04_17_16_25_21_23_high[[#This Row],[coeff]] + 79.57</f>
        <v>19.728914313600001</v>
      </c>
      <c r="L91">
        <f xml:space="preserve"> -55.696 * _2026_04_17_16_25_21_23_high[[#This Row],[coeff]] + 79.57</f>
        <v>19.728914313600001</v>
      </c>
    </row>
    <row r="92" spans="1:12" x14ac:dyDescent="0.3">
      <c r="A92">
        <v>90</v>
      </c>
      <c r="B92">
        <v>2216</v>
      </c>
      <c r="C92" t="b">
        <v>1</v>
      </c>
      <c r="D92">
        <v>8048</v>
      </c>
      <c r="E92">
        <v>8123</v>
      </c>
      <c r="F92">
        <v>206.2</v>
      </c>
      <c r="G92">
        <v>189.6</v>
      </c>
      <c r="H92">
        <v>1.0875527</v>
      </c>
      <c r="I92">
        <v>-8.7552690000000002E-2</v>
      </c>
      <c r="J92">
        <v>0.47902982999999999</v>
      </c>
      <c r="K92">
        <f xml:space="preserve"> -55.696 * _2026_04_17_16_25_21_23_high[[#This Row],[coeff]] + 79.57</f>
        <v>18.99766482079999</v>
      </c>
      <c r="L92">
        <f xml:space="preserve"> -55.696 * _2026_04_17_16_25_21_23_high[[#This Row],[coeff]] + 79.57</f>
        <v>18.99766482079999</v>
      </c>
    </row>
    <row r="93" spans="1:12" x14ac:dyDescent="0.3">
      <c r="A93">
        <v>91</v>
      </c>
      <c r="B93">
        <v>2232</v>
      </c>
      <c r="C93" t="b">
        <v>1</v>
      </c>
      <c r="D93">
        <v>8054</v>
      </c>
      <c r="E93">
        <v>8105</v>
      </c>
      <c r="F93">
        <v>206.93333000000001</v>
      </c>
      <c r="G93">
        <v>188.8</v>
      </c>
      <c r="H93">
        <v>1.0960451</v>
      </c>
      <c r="I93">
        <v>-9.6045190000000003E-2</v>
      </c>
      <c r="J93">
        <v>0.47708896000000001</v>
      </c>
      <c r="K93">
        <f xml:space="preserve"> -55.696 * _2026_04_17_16_25_21_23_high[[#This Row],[coeff]] + 79.57</f>
        <v>18.524672110399997</v>
      </c>
      <c r="L93">
        <f xml:space="preserve"> -55.696 * _2026_04_17_16_25_21_23_high[[#This Row],[coeff]] + 79.57</f>
        <v>18.524672110399997</v>
      </c>
    </row>
    <row r="94" spans="1:12" x14ac:dyDescent="0.3">
      <c r="A94">
        <v>92</v>
      </c>
      <c r="B94">
        <v>2264</v>
      </c>
      <c r="C94" t="b">
        <v>1</v>
      </c>
      <c r="D94">
        <v>8030</v>
      </c>
      <c r="E94">
        <v>8111</v>
      </c>
      <c r="F94">
        <v>207.66667000000001</v>
      </c>
      <c r="G94">
        <v>188.8</v>
      </c>
      <c r="H94">
        <v>1.0999293000000001</v>
      </c>
      <c r="I94">
        <v>-9.9929384999999996E-2</v>
      </c>
      <c r="J94">
        <v>0.47620647999999999</v>
      </c>
      <c r="K94">
        <f xml:space="preserve"> -55.696 * _2026_04_17_16_25_21_23_high[[#This Row],[coeff]] + 79.57</f>
        <v>18.308337707199989</v>
      </c>
      <c r="L94">
        <f xml:space="preserve"> -55.696 * _2026_04_17_16_25_21_23_high[[#This Row],[coeff]] + 79.57</f>
        <v>18.308337707199989</v>
      </c>
    </row>
    <row r="95" spans="1:12" x14ac:dyDescent="0.3">
      <c r="A95">
        <v>93</v>
      </c>
      <c r="B95">
        <v>2280</v>
      </c>
      <c r="C95" t="b">
        <v>1</v>
      </c>
      <c r="D95">
        <v>8048</v>
      </c>
      <c r="E95">
        <v>8111</v>
      </c>
      <c r="F95">
        <v>208.4</v>
      </c>
      <c r="G95">
        <v>189.2</v>
      </c>
      <c r="H95">
        <v>1.1014799</v>
      </c>
      <c r="I95">
        <v>-0.1014799</v>
      </c>
      <c r="J95">
        <v>0.47585514000000001</v>
      </c>
      <c r="K95">
        <f xml:space="preserve"> -55.696 * _2026_04_17_16_25_21_23_high[[#This Row],[coeff]] + 79.57</f>
        <v>18.221975489599998</v>
      </c>
      <c r="L95">
        <f xml:space="preserve"> -55.696 * _2026_04_17_16_25_21_23_high[[#This Row],[coeff]] + 79.57</f>
        <v>18.221975489599998</v>
      </c>
    </row>
    <row r="96" spans="1:12" x14ac:dyDescent="0.3">
      <c r="A96">
        <v>94</v>
      </c>
      <c r="B96">
        <v>2296</v>
      </c>
      <c r="C96" t="b">
        <v>1</v>
      </c>
      <c r="D96">
        <v>8042</v>
      </c>
      <c r="E96">
        <v>8117</v>
      </c>
      <c r="F96">
        <v>208.4</v>
      </c>
      <c r="G96">
        <v>189.6</v>
      </c>
      <c r="H96">
        <v>1.099156</v>
      </c>
      <c r="I96">
        <v>-9.9156049999999996E-2</v>
      </c>
      <c r="J96">
        <v>0.47638193000000001</v>
      </c>
      <c r="K96">
        <f xml:space="preserve"> -55.696 * _2026_04_17_16_25_21_23_high[[#This Row],[coeff]] + 79.57</f>
        <v>18.351407423999994</v>
      </c>
      <c r="L96">
        <f xml:space="preserve"> -55.696 * _2026_04_17_16_25_21_23_high[[#This Row],[coeff]] + 79.57</f>
        <v>18.351407423999994</v>
      </c>
    </row>
    <row r="97" spans="1:12" x14ac:dyDescent="0.3">
      <c r="A97">
        <v>95</v>
      </c>
      <c r="B97">
        <v>2312</v>
      </c>
      <c r="C97" t="b">
        <v>1</v>
      </c>
      <c r="D97">
        <v>8037</v>
      </c>
      <c r="E97">
        <v>8117</v>
      </c>
      <c r="F97">
        <v>207.6</v>
      </c>
      <c r="G97">
        <v>190</v>
      </c>
      <c r="H97">
        <v>1.0926316</v>
      </c>
      <c r="I97">
        <v>-9.2631610000000003E-2</v>
      </c>
      <c r="J97">
        <v>0.47786719999999999</v>
      </c>
      <c r="K97">
        <f xml:space="preserve"> -55.696 * _2026_04_17_16_25_21_23_high[[#This Row],[coeff]] + 79.57</f>
        <v>18.714790406399992</v>
      </c>
      <c r="L97">
        <f xml:space="preserve"> -55.696 * _2026_04_17_16_25_21_23_high[[#This Row],[coeff]] + 79.57</f>
        <v>18.714790406399992</v>
      </c>
    </row>
    <row r="98" spans="1:12" x14ac:dyDescent="0.3">
      <c r="A98">
        <v>96</v>
      </c>
      <c r="B98">
        <v>2343</v>
      </c>
      <c r="C98" t="b">
        <v>1</v>
      </c>
      <c r="D98">
        <v>8042</v>
      </c>
      <c r="E98">
        <v>8134</v>
      </c>
      <c r="F98">
        <v>206.8</v>
      </c>
      <c r="G98">
        <v>190.8</v>
      </c>
      <c r="H98">
        <v>1.0838574000000001</v>
      </c>
      <c r="I98">
        <v>-8.3857440000000005E-2</v>
      </c>
      <c r="J98">
        <v>0.47987930000000001</v>
      </c>
      <c r="K98">
        <f xml:space="preserve"> -55.696 * _2026_04_17_16_25_21_23_high[[#This Row],[coeff]] + 79.57</f>
        <v>19.203478249599989</v>
      </c>
      <c r="L98">
        <f xml:space="preserve"> -55.696 * _2026_04_17_16_25_21_23_high[[#This Row],[coeff]] + 79.57</f>
        <v>19.203478249599989</v>
      </c>
    </row>
    <row r="99" spans="1:12" x14ac:dyDescent="0.3">
      <c r="A99">
        <v>97</v>
      </c>
      <c r="B99">
        <v>2359</v>
      </c>
      <c r="C99" t="b">
        <v>1</v>
      </c>
      <c r="D99">
        <v>8042</v>
      </c>
      <c r="E99">
        <v>8129</v>
      </c>
      <c r="F99">
        <v>206</v>
      </c>
      <c r="G99">
        <v>191.6</v>
      </c>
      <c r="H99">
        <v>1.0751565999999999</v>
      </c>
      <c r="I99">
        <v>-7.5156539999999994E-2</v>
      </c>
      <c r="J99">
        <v>0.48189135999999999</v>
      </c>
      <c r="K99">
        <f xml:space="preserve"> -55.696 * _2026_04_17_16_25_21_23_high[[#This Row],[coeff]] + 79.57</f>
        <v>19.688078006399998</v>
      </c>
      <c r="L99">
        <f xml:space="preserve"> -55.696 * _2026_04_17_16_25_21_23_high[[#This Row],[coeff]] + 79.57</f>
        <v>19.688078006399998</v>
      </c>
    </row>
    <row r="100" spans="1:12" x14ac:dyDescent="0.3">
      <c r="A100">
        <v>98</v>
      </c>
      <c r="B100">
        <v>2375</v>
      </c>
      <c r="C100" t="b">
        <v>1</v>
      </c>
      <c r="D100">
        <v>8023</v>
      </c>
      <c r="E100">
        <v>8105</v>
      </c>
      <c r="F100">
        <v>205.6</v>
      </c>
      <c r="G100">
        <v>192</v>
      </c>
      <c r="H100">
        <v>1.0708333000000001</v>
      </c>
      <c r="I100">
        <v>-7.0833359999999998E-2</v>
      </c>
      <c r="J100">
        <v>0.48289736999999999</v>
      </c>
      <c r="K100">
        <f xml:space="preserve"> -55.696 * _2026_04_17_16_25_21_23_high[[#This Row],[coeff]] + 79.57</f>
        <v>19.928868523199988</v>
      </c>
      <c r="L100">
        <f xml:space="preserve"> -55.696 * _2026_04_17_16_25_21_23_high[[#This Row],[coeff]] + 79.57</f>
        <v>19.928868523199988</v>
      </c>
    </row>
    <row r="101" spans="1:12" x14ac:dyDescent="0.3">
      <c r="A101">
        <v>99</v>
      </c>
      <c r="B101">
        <v>2391</v>
      </c>
      <c r="C101" t="b">
        <v>1</v>
      </c>
      <c r="D101">
        <v>8023</v>
      </c>
      <c r="E101">
        <v>8105</v>
      </c>
      <c r="F101">
        <v>205.26666</v>
      </c>
      <c r="G101">
        <v>192.4</v>
      </c>
      <c r="H101">
        <v>1.0668746</v>
      </c>
      <c r="I101">
        <v>-6.6874580000000003E-2</v>
      </c>
      <c r="J101">
        <v>0.48382229999999998</v>
      </c>
      <c r="K101">
        <f xml:space="preserve"> -55.696 * _2026_04_17_16_25_21_23_high[[#This Row],[coeff]] + 79.57</f>
        <v>20.149352278399995</v>
      </c>
      <c r="L101">
        <f xml:space="preserve"> -55.696 * _2026_04_17_16_25_21_23_high[[#This Row],[coeff]] + 79.57</f>
        <v>20.149352278399995</v>
      </c>
    </row>
    <row r="102" spans="1:12" x14ac:dyDescent="0.3">
      <c r="A102">
        <v>100</v>
      </c>
      <c r="B102">
        <v>2407</v>
      </c>
      <c r="C102" t="b">
        <v>1</v>
      </c>
      <c r="D102">
        <v>8042</v>
      </c>
      <c r="E102">
        <v>8093</v>
      </c>
      <c r="F102">
        <v>205.26666</v>
      </c>
      <c r="G102">
        <v>192</v>
      </c>
      <c r="H102">
        <v>1.0690972000000001</v>
      </c>
      <c r="I102">
        <v>-6.9097199999999998E-2</v>
      </c>
      <c r="J102">
        <v>0.48330255999999999</v>
      </c>
      <c r="K102">
        <f xml:space="preserve"> -55.696 * _2026_04_17_16_25_21_23_high[[#This Row],[coeff]] + 79.57</f>
        <v>20.025562348799994</v>
      </c>
      <c r="L102">
        <f xml:space="preserve"> -55.696 * _2026_04_17_16_25_21_23_high[[#This Row],[coeff]] + 79.57</f>
        <v>20.025562348799994</v>
      </c>
    </row>
    <row r="103" spans="1:12" x14ac:dyDescent="0.3">
      <c r="A103">
        <v>101</v>
      </c>
      <c r="B103">
        <v>2438</v>
      </c>
      <c r="C103" t="b">
        <v>1</v>
      </c>
      <c r="D103">
        <v>8023</v>
      </c>
      <c r="E103">
        <v>8117</v>
      </c>
      <c r="F103">
        <v>204</v>
      </c>
      <c r="G103">
        <v>191.6</v>
      </c>
      <c r="H103">
        <v>1.0647180999999999</v>
      </c>
      <c r="I103">
        <v>-6.4718129999999999E-2</v>
      </c>
      <c r="J103">
        <v>0.48432760000000002</v>
      </c>
      <c r="K103">
        <f xml:space="preserve"> -55.696 * _2026_04_17_16_25_21_23_high[[#This Row],[coeff]] + 79.57</f>
        <v>20.269460702400004</v>
      </c>
      <c r="L103">
        <f xml:space="preserve"> -55.696 * _2026_04_17_16_25_21_23_high[[#This Row],[coeff]] + 79.57</f>
        <v>20.269460702400004</v>
      </c>
    </row>
    <row r="104" spans="1:12" x14ac:dyDescent="0.3">
      <c r="A104">
        <v>102</v>
      </c>
      <c r="B104">
        <v>2454</v>
      </c>
      <c r="C104" t="b">
        <v>1</v>
      </c>
      <c r="D104">
        <v>8042</v>
      </c>
      <c r="E104">
        <v>8105</v>
      </c>
      <c r="F104">
        <v>202.73334</v>
      </c>
      <c r="G104">
        <v>191.2</v>
      </c>
      <c r="H104">
        <v>1.0603209</v>
      </c>
      <c r="I104">
        <v>-6.0320819999999997E-2</v>
      </c>
      <c r="J104">
        <v>0.48536128000000001</v>
      </c>
      <c r="K104">
        <f xml:space="preserve"> -55.696 * _2026_04_17_16_25_21_23_high[[#This Row],[coeff]] + 79.57</f>
        <v>20.514367153599991</v>
      </c>
      <c r="L104">
        <f xml:space="preserve"> -55.696 * _2026_04_17_16_25_21_23_high[[#This Row],[coeff]] + 79.57</f>
        <v>20.514367153599991</v>
      </c>
    </row>
    <row r="105" spans="1:12" x14ac:dyDescent="0.3">
      <c r="A105">
        <v>103</v>
      </c>
      <c r="B105">
        <v>2470</v>
      </c>
      <c r="C105" t="b">
        <v>1</v>
      </c>
      <c r="D105">
        <v>8048</v>
      </c>
      <c r="E105">
        <v>8117</v>
      </c>
      <c r="F105">
        <v>201.93333000000001</v>
      </c>
      <c r="G105">
        <v>192</v>
      </c>
      <c r="H105">
        <v>1.0517361000000001</v>
      </c>
      <c r="I105">
        <v>-5.1736115999999999E-2</v>
      </c>
      <c r="J105">
        <v>0.48739209999999999</v>
      </c>
      <c r="K105">
        <f xml:space="preserve"> -55.696 * _2026_04_17_16_25_21_23_high[[#This Row],[coeff]] + 79.57</f>
        <v>20.992506174399992</v>
      </c>
      <c r="L105">
        <f xml:space="preserve"> -55.696 * _2026_04_17_16_25_21_23_high[[#This Row],[coeff]] + 79.57</f>
        <v>20.992506174399992</v>
      </c>
    </row>
    <row r="106" spans="1:12" x14ac:dyDescent="0.3">
      <c r="A106">
        <v>104</v>
      </c>
      <c r="B106">
        <v>2503</v>
      </c>
      <c r="C106" t="b">
        <v>1</v>
      </c>
      <c r="D106">
        <v>8030</v>
      </c>
      <c r="E106">
        <v>8087</v>
      </c>
      <c r="F106">
        <v>201.13333</v>
      </c>
      <c r="G106">
        <v>192.8</v>
      </c>
      <c r="H106">
        <v>1.0432227000000001</v>
      </c>
      <c r="I106">
        <v>-4.3222654999999999E-2</v>
      </c>
      <c r="J106">
        <v>0.48942289999999999</v>
      </c>
      <c r="K106">
        <f xml:space="preserve"> -55.696 * _2026_04_17_16_25_21_23_high[[#This Row],[coeff]] + 79.57</f>
        <v>21.46666850079999</v>
      </c>
      <c r="L106">
        <f xml:space="preserve"> -55.696 * _2026_04_17_16_25_21_23_high[[#This Row],[coeff]] + 79.57</f>
        <v>21.46666850079999</v>
      </c>
    </row>
    <row r="107" spans="1:12" x14ac:dyDescent="0.3">
      <c r="A107">
        <v>105</v>
      </c>
      <c r="B107">
        <v>2534</v>
      </c>
      <c r="C107" t="b">
        <v>1</v>
      </c>
      <c r="D107">
        <v>8054</v>
      </c>
      <c r="E107">
        <v>8111</v>
      </c>
      <c r="F107">
        <v>200.73334</v>
      </c>
      <c r="G107">
        <v>194</v>
      </c>
      <c r="H107">
        <v>1.0347078999999999</v>
      </c>
      <c r="I107">
        <v>-3.4707926E-2</v>
      </c>
      <c r="J107">
        <v>0.49147101999999998</v>
      </c>
      <c r="K107">
        <f xml:space="preserve"> -55.696 * _2026_04_17_16_25_21_23_high[[#This Row],[coeff]] + 79.57</f>
        <v>21.940908801600003</v>
      </c>
      <c r="L107">
        <f xml:space="preserve"> -55.696 * _2026_04_17_16_25_21_23_high[[#This Row],[coeff]] + 79.57</f>
        <v>21.940908801600003</v>
      </c>
    </row>
    <row r="108" spans="1:12" x14ac:dyDescent="0.3">
      <c r="A108">
        <v>106</v>
      </c>
      <c r="B108">
        <v>2566</v>
      </c>
      <c r="C108" t="b">
        <v>1</v>
      </c>
      <c r="D108">
        <v>8030</v>
      </c>
      <c r="E108">
        <v>8111</v>
      </c>
      <c r="F108">
        <v>200.33332999999999</v>
      </c>
      <c r="G108">
        <v>195.2</v>
      </c>
      <c r="H108">
        <v>1.0262978</v>
      </c>
      <c r="I108">
        <v>-2.6297804000000001E-2</v>
      </c>
      <c r="J108">
        <v>0.49351086999999999</v>
      </c>
      <c r="K108">
        <f xml:space="preserve"> -55.696 * _2026_04_17_16_25_21_23_high[[#This Row],[coeff]] + 79.57</f>
        <v>22.409317731199991</v>
      </c>
      <c r="L108">
        <f xml:space="preserve"> -55.696 * _2026_04_17_16_25_21_23_high[[#This Row],[coeff]] + 79.57</f>
        <v>22.409317731199991</v>
      </c>
    </row>
    <row r="109" spans="1:12" x14ac:dyDescent="0.3">
      <c r="A109">
        <v>107</v>
      </c>
      <c r="B109">
        <v>2597</v>
      </c>
      <c r="C109" t="b">
        <v>1</v>
      </c>
      <c r="D109">
        <v>8048</v>
      </c>
      <c r="E109">
        <v>8105</v>
      </c>
      <c r="F109">
        <v>200.33332999999999</v>
      </c>
      <c r="G109">
        <v>195.6</v>
      </c>
      <c r="H109">
        <v>1.0241990000000001</v>
      </c>
      <c r="I109">
        <v>-2.4198988000000001E-2</v>
      </c>
      <c r="J109">
        <v>0.49402255</v>
      </c>
      <c r="K109">
        <f xml:space="preserve"> -55.696 * _2026_04_17_16_25_21_23_high[[#This Row],[coeff]] + 79.57</f>
        <v>22.526212495999992</v>
      </c>
      <c r="L109">
        <f xml:space="preserve"> -55.696 * _2026_04_17_16_25_21_23_high[[#This Row],[coeff]] + 79.57</f>
        <v>22.526212495999992</v>
      </c>
    </row>
    <row r="110" spans="1:12" x14ac:dyDescent="0.3">
      <c r="A110">
        <v>108</v>
      </c>
      <c r="B110">
        <v>2629</v>
      </c>
      <c r="C110" t="b">
        <v>1</v>
      </c>
      <c r="D110">
        <v>8048</v>
      </c>
      <c r="E110">
        <v>8111</v>
      </c>
      <c r="F110">
        <v>200.33332999999999</v>
      </c>
      <c r="G110">
        <v>195.6</v>
      </c>
      <c r="H110">
        <v>1.0241990000000001</v>
      </c>
      <c r="I110">
        <v>-2.4198988000000001E-2</v>
      </c>
      <c r="J110">
        <v>0.49402255</v>
      </c>
      <c r="K110">
        <f xml:space="preserve"> -55.696 * _2026_04_17_16_25_21_23_high[[#This Row],[coeff]] + 79.57</f>
        <v>22.526212495999992</v>
      </c>
      <c r="L110">
        <f xml:space="preserve"> -55.696 * _2026_04_17_16_25_21_23_high[[#This Row],[coeff]] + 79.57</f>
        <v>22.526212495999992</v>
      </c>
    </row>
    <row r="111" spans="1:12" x14ac:dyDescent="0.3">
      <c r="A111">
        <v>109</v>
      </c>
      <c r="B111">
        <v>2661</v>
      </c>
      <c r="C111" t="b">
        <v>1</v>
      </c>
      <c r="D111">
        <v>8030</v>
      </c>
      <c r="E111">
        <v>8105</v>
      </c>
      <c r="F111">
        <v>200.33332999999999</v>
      </c>
      <c r="G111">
        <v>195.6</v>
      </c>
      <c r="H111">
        <v>1.0241990000000001</v>
      </c>
      <c r="I111">
        <v>-2.4198988000000001E-2</v>
      </c>
      <c r="J111">
        <v>0.49402255</v>
      </c>
      <c r="K111">
        <f xml:space="preserve"> -55.696 * _2026_04_17_16_25_21_23_high[[#This Row],[coeff]] + 79.57</f>
        <v>22.526212495999992</v>
      </c>
      <c r="L111">
        <f xml:space="preserve"> -55.696 * _2026_04_17_16_25_21_23_high[[#This Row],[coeff]] + 79.57</f>
        <v>22.526212495999992</v>
      </c>
    </row>
    <row r="112" spans="1:12" x14ac:dyDescent="0.3">
      <c r="A112">
        <v>110</v>
      </c>
      <c r="B112">
        <v>2693</v>
      </c>
      <c r="C112" t="b">
        <v>1</v>
      </c>
      <c r="D112">
        <v>8048</v>
      </c>
      <c r="E112">
        <v>8099</v>
      </c>
      <c r="F112">
        <v>200.73334</v>
      </c>
      <c r="G112">
        <v>195.2</v>
      </c>
      <c r="H112">
        <v>1.0283469999999999</v>
      </c>
      <c r="I112">
        <v>-2.8347032000000001E-2</v>
      </c>
      <c r="J112">
        <v>0.49301224999999999</v>
      </c>
      <c r="K112">
        <f xml:space="preserve"> -55.696 * _2026_04_17_16_25_21_23_high[[#This Row],[coeff]] + 79.57</f>
        <v>22.295185488000001</v>
      </c>
      <c r="L112">
        <f xml:space="preserve"> -55.696 * _2026_04_17_16_25_21_23_high[[#This Row],[coeff]] + 79.57</f>
        <v>22.295185488000001</v>
      </c>
    </row>
    <row r="113" spans="1:12" x14ac:dyDescent="0.3">
      <c r="A113">
        <v>111</v>
      </c>
      <c r="B113">
        <v>2724</v>
      </c>
      <c r="C113" t="b">
        <v>1</v>
      </c>
      <c r="D113">
        <v>8037</v>
      </c>
      <c r="E113">
        <v>8117</v>
      </c>
      <c r="F113">
        <v>201.13333</v>
      </c>
      <c r="G113">
        <v>194.4</v>
      </c>
      <c r="H113">
        <v>1.0346365</v>
      </c>
      <c r="I113">
        <v>-3.4636510000000002E-2</v>
      </c>
      <c r="J113">
        <v>0.49148828</v>
      </c>
      <c r="K113">
        <f xml:space="preserve"> -55.696 * _2026_04_17_16_25_21_23_high[[#This Row],[coeff]] + 79.57</f>
        <v>21.944885495999998</v>
      </c>
      <c r="L113">
        <f xml:space="preserve"> -55.696 * _2026_04_17_16_25_21_23_high[[#This Row],[coeff]] + 79.57</f>
        <v>21.944885495999998</v>
      </c>
    </row>
    <row r="114" spans="1:12" x14ac:dyDescent="0.3">
      <c r="A114">
        <v>112</v>
      </c>
      <c r="B114">
        <v>2755</v>
      </c>
      <c r="C114" t="b">
        <v>1</v>
      </c>
      <c r="D114">
        <v>8037</v>
      </c>
      <c r="E114">
        <v>8129</v>
      </c>
      <c r="F114">
        <v>200.8</v>
      </c>
      <c r="G114">
        <v>194</v>
      </c>
      <c r="H114">
        <v>1.0350516000000001</v>
      </c>
      <c r="I114">
        <v>-3.5051562000000001E-2</v>
      </c>
      <c r="J114">
        <v>0.49138805000000002</v>
      </c>
      <c r="K114">
        <f xml:space="preserve"> -55.696 * _2026_04_17_16_25_21_23_high[[#This Row],[coeff]] + 79.57</f>
        <v>21.921766086399991</v>
      </c>
      <c r="L114">
        <f xml:space="preserve"> -55.696 * _2026_04_17_16_25_21_23_high[[#This Row],[coeff]] + 79.57</f>
        <v>21.921766086399991</v>
      </c>
    </row>
    <row r="115" spans="1:12" x14ac:dyDescent="0.3">
      <c r="A115">
        <v>113</v>
      </c>
      <c r="B115">
        <v>2787</v>
      </c>
      <c r="C115" t="b">
        <v>1</v>
      </c>
      <c r="D115">
        <v>8048</v>
      </c>
      <c r="E115">
        <v>8129</v>
      </c>
      <c r="F115">
        <v>200.46665999999999</v>
      </c>
      <c r="G115">
        <v>194</v>
      </c>
      <c r="H115">
        <v>1.0333333</v>
      </c>
      <c r="I115">
        <v>-3.3333297999999997E-2</v>
      </c>
      <c r="J115">
        <v>0.49180326000000002</v>
      </c>
      <c r="K115">
        <f xml:space="preserve"> -55.696 * _2026_04_17_16_25_21_23_high[[#This Row],[coeff]] + 79.57</f>
        <v>22.017468523199994</v>
      </c>
      <c r="L115">
        <f xml:space="preserve"> -55.696 * _2026_04_17_16_25_21_23_high[[#This Row],[coeff]] + 79.57</f>
        <v>22.017468523199994</v>
      </c>
    </row>
    <row r="116" spans="1:12" x14ac:dyDescent="0.3">
      <c r="A116">
        <v>114</v>
      </c>
      <c r="B116">
        <v>2819</v>
      </c>
      <c r="C116" t="b">
        <v>1</v>
      </c>
      <c r="D116">
        <v>8037</v>
      </c>
      <c r="E116">
        <v>8123</v>
      </c>
      <c r="F116">
        <v>200.46665999999999</v>
      </c>
      <c r="G116">
        <v>194.4</v>
      </c>
      <c r="H116">
        <v>1.0312071</v>
      </c>
      <c r="I116">
        <v>-3.120713E-2</v>
      </c>
      <c r="J116">
        <v>0.49231809999999998</v>
      </c>
      <c r="K116">
        <f xml:space="preserve"> -55.696 * _2026_04_17_16_25_21_23_high[[#This Row],[coeff]] + 79.57</f>
        <v>22.135889358399993</v>
      </c>
      <c r="L116">
        <f xml:space="preserve"> -55.696 * _2026_04_17_16_25_21_23_high[[#This Row],[coeff]] + 79.57</f>
        <v>22.135889358399993</v>
      </c>
    </row>
    <row r="117" spans="1:12" x14ac:dyDescent="0.3">
      <c r="A117">
        <v>115</v>
      </c>
      <c r="B117">
        <v>2851</v>
      </c>
      <c r="C117" t="b">
        <v>1</v>
      </c>
      <c r="D117">
        <v>8042</v>
      </c>
      <c r="E117">
        <v>8105</v>
      </c>
      <c r="F117">
        <v>200.13333</v>
      </c>
      <c r="G117">
        <v>195.6</v>
      </c>
      <c r="H117">
        <v>1.0231766</v>
      </c>
      <c r="I117">
        <v>-2.3176507999999998E-2</v>
      </c>
      <c r="J117">
        <v>0.49427226000000002</v>
      </c>
      <c r="K117">
        <f xml:space="preserve"> -55.696 * _2026_04_17_16_25_21_23_high[[#This Row],[coeff]] + 79.57</f>
        <v>22.583156086399995</v>
      </c>
      <c r="L117">
        <f xml:space="preserve"> -55.696 * _2026_04_17_16_25_21_23_high[[#This Row],[coeff]] + 79.57</f>
        <v>22.583156086399995</v>
      </c>
    </row>
    <row r="118" spans="1:12" x14ac:dyDescent="0.3">
      <c r="A118">
        <v>116</v>
      </c>
      <c r="B118">
        <v>2882</v>
      </c>
      <c r="C118" t="b">
        <v>1</v>
      </c>
      <c r="D118">
        <v>8042</v>
      </c>
      <c r="E118">
        <v>8099</v>
      </c>
      <c r="F118">
        <v>201.4</v>
      </c>
      <c r="G118">
        <v>196.8</v>
      </c>
      <c r="H118">
        <v>1.023374</v>
      </c>
      <c r="I118">
        <v>-2.3373937000000001E-2</v>
      </c>
      <c r="J118">
        <v>0.494224</v>
      </c>
      <c r="K118">
        <f xml:space="preserve"> -55.696 * _2026_04_17_16_25_21_23_high[[#This Row],[coeff]] + 79.57</f>
        <v>22.572161695999995</v>
      </c>
      <c r="L118">
        <f xml:space="preserve"> -55.696 * _2026_04_17_16_25_21_23_high[[#This Row],[coeff]] + 79.57</f>
        <v>22.572161695999995</v>
      </c>
    </row>
    <row r="119" spans="1:12" x14ac:dyDescent="0.3">
      <c r="A119">
        <v>117</v>
      </c>
      <c r="B119">
        <v>2914</v>
      </c>
      <c r="C119" t="b">
        <v>1</v>
      </c>
      <c r="D119">
        <v>8037</v>
      </c>
      <c r="E119">
        <v>8105</v>
      </c>
      <c r="F119">
        <v>202.66667000000001</v>
      </c>
      <c r="G119">
        <v>196.8</v>
      </c>
      <c r="H119">
        <v>1.0298103000000001</v>
      </c>
      <c r="I119">
        <v>-2.9810308000000001E-2</v>
      </c>
      <c r="J119">
        <v>0.49265690000000001</v>
      </c>
      <c r="K119">
        <f xml:space="preserve"> -55.696 * _2026_04_17_16_25_21_23_high[[#This Row],[coeff]] + 79.57</f>
        <v>22.213685531199992</v>
      </c>
      <c r="L119">
        <f xml:space="preserve"> -55.696 * _2026_04_17_16_25_21_23_high[[#This Row],[coeff]] + 79.57</f>
        <v>22.213685531199992</v>
      </c>
    </row>
    <row r="120" spans="1:12" x14ac:dyDescent="0.3">
      <c r="A120">
        <v>118</v>
      </c>
      <c r="B120">
        <v>2946</v>
      </c>
      <c r="C120" t="b">
        <v>1</v>
      </c>
      <c r="D120">
        <v>8054</v>
      </c>
      <c r="E120">
        <v>8117</v>
      </c>
      <c r="F120">
        <v>202.66667000000001</v>
      </c>
      <c r="G120">
        <v>196.8</v>
      </c>
      <c r="H120">
        <v>1.0298103000000001</v>
      </c>
      <c r="I120">
        <v>-2.9810308000000001E-2</v>
      </c>
      <c r="J120">
        <v>0.49265690000000001</v>
      </c>
      <c r="K120">
        <f xml:space="preserve"> -55.696 * _2026_04_17_16_25_21_23_high[[#This Row],[coeff]] + 79.57</f>
        <v>22.213685531199992</v>
      </c>
      <c r="L120">
        <f xml:space="preserve"> -55.696 * _2026_04_17_16_25_21_23_high[[#This Row],[coeff]] + 79.57</f>
        <v>22.213685531199992</v>
      </c>
    </row>
    <row r="121" spans="1:12" x14ac:dyDescent="0.3">
      <c r="A121">
        <v>119</v>
      </c>
      <c r="B121">
        <v>2977</v>
      </c>
      <c r="C121" t="b">
        <v>1</v>
      </c>
      <c r="D121">
        <v>8017</v>
      </c>
      <c r="E121">
        <v>8099</v>
      </c>
      <c r="F121">
        <v>202.66667000000001</v>
      </c>
      <c r="G121">
        <v>196.8</v>
      </c>
      <c r="H121">
        <v>1.0298103000000001</v>
      </c>
      <c r="I121">
        <v>-2.9810308000000001E-2</v>
      </c>
      <c r="J121">
        <v>0.49265690000000001</v>
      </c>
      <c r="K121">
        <f xml:space="preserve"> -55.696 * _2026_04_17_16_25_21_23_high[[#This Row],[coeff]] + 79.57</f>
        <v>22.213685531199992</v>
      </c>
      <c r="L121">
        <f xml:space="preserve"> -55.696 * _2026_04_17_16_25_21_23_high[[#This Row],[coeff]] + 79.57</f>
        <v>22.213685531199992</v>
      </c>
    </row>
    <row r="122" spans="1:12" x14ac:dyDescent="0.3">
      <c r="A122">
        <v>120</v>
      </c>
      <c r="B122">
        <v>2994</v>
      </c>
      <c r="C122" t="b">
        <v>1</v>
      </c>
      <c r="D122">
        <v>8030</v>
      </c>
      <c r="E122">
        <v>8105</v>
      </c>
      <c r="F122">
        <v>202.33332999999999</v>
      </c>
      <c r="G122">
        <v>196.4</v>
      </c>
      <c r="H122">
        <v>1.0302104999999999</v>
      </c>
      <c r="I122">
        <v>-3.0210461000000001E-2</v>
      </c>
      <c r="J122">
        <v>0.49255976000000001</v>
      </c>
      <c r="K122">
        <f xml:space="preserve"> -55.696 * _2026_04_17_16_25_21_23_high[[#This Row],[coeff]] + 79.57</f>
        <v>22.191395991999997</v>
      </c>
      <c r="L122">
        <f xml:space="preserve"> -55.696 * _2026_04_17_16_25_21_23_high[[#This Row],[coeff]] + 79.57</f>
        <v>22.191395991999997</v>
      </c>
    </row>
    <row r="123" spans="1:12" x14ac:dyDescent="0.3">
      <c r="A123">
        <v>121</v>
      </c>
      <c r="B123">
        <v>3009</v>
      </c>
      <c r="C123" t="b">
        <v>1</v>
      </c>
      <c r="D123">
        <v>8048</v>
      </c>
      <c r="E123">
        <v>8087</v>
      </c>
      <c r="F123">
        <v>202</v>
      </c>
      <c r="G123">
        <v>196</v>
      </c>
      <c r="H123">
        <v>1.0306122</v>
      </c>
      <c r="I123">
        <v>-3.0612245E-2</v>
      </c>
      <c r="J123">
        <v>0.49246230000000002</v>
      </c>
      <c r="K123">
        <f xml:space="preserve"> -55.696 * _2026_04_17_16_25_21_23_high[[#This Row],[coeff]] + 79.57</f>
        <v>22.169022908799995</v>
      </c>
      <c r="L123">
        <f xml:space="preserve"> -55.696 * _2026_04_17_16_25_21_23_high[[#This Row],[coeff]] + 79.57</f>
        <v>22.169022908799995</v>
      </c>
    </row>
    <row r="124" spans="1:12" x14ac:dyDescent="0.3">
      <c r="A124">
        <v>122</v>
      </c>
      <c r="B124">
        <v>3042</v>
      </c>
      <c r="C124" t="b">
        <v>1</v>
      </c>
      <c r="D124">
        <v>8030</v>
      </c>
      <c r="E124">
        <v>8105</v>
      </c>
      <c r="F124">
        <v>200.8</v>
      </c>
      <c r="G124">
        <v>195.6</v>
      </c>
      <c r="H124">
        <v>1.0265849</v>
      </c>
      <c r="I124">
        <v>-2.658485E-2</v>
      </c>
      <c r="J124">
        <v>0.49344095999999998</v>
      </c>
      <c r="K124">
        <f xml:space="preserve"> -55.696 * _2026_04_17_16_25_21_23_high[[#This Row],[coeff]] + 79.57</f>
        <v>22.393327409599991</v>
      </c>
      <c r="L124">
        <f xml:space="preserve"> -55.696 * _2026_04_17_16_25_21_23_high[[#This Row],[coeff]] + 79.57</f>
        <v>22.393327409599991</v>
      </c>
    </row>
    <row r="125" spans="1:12" x14ac:dyDescent="0.3">
      <c r="A125">
        <v>123</v>
      </c>
      <c r="B125">
        <v>3073</v>
      </c>
      <c r="C125" t="b">
        <v>1</v>
      </c>
      <c r="D125">
        <v>8037</v>
      </c>
      <c r="E125">
        <v>8099</v>
      </c>
      <c r="F125">
        <v>199.6</v>
      </c>
      <c r="G125">
        <v>194.8</v>
      </c>
      <c r="H125">
        <v>1.0246407</v>
      </c>
      <c r="I125">
        <v>-2.4640671999999999E-2</v>
      </c>
      <c r="J125">
        <v>0.49391478</v>
      </c>
      <c r="K125">
        <f xml:space="preserve"> -55.696 * _2026_04_17_16_25_21_23_high[[#This Row],[coeff]] + 79.57</f>
        <v>22.501611572799995</v>
      </c>
      <c r="L125">
        <f xml:space="preserve"> -55.696 * _2026_04_17_16_25_21_23_high[[#This Row],[coeff]] + 79.57</f>
        <v>22.501611572799995</v>
      </c>
    </row>
    <row r="126" spans="1:12" x14ac:dyDescent="0.3">
      <c r="A126">
        <v>124</v>
      </c>
      <c r="B126">
        <v>3089</v>
      </c>
      <c r="C126" t="b">
        <v>1</v>
      </c>
      <c r="D126">
        <v>8037</v>
      </c>
      <c r="E126">
        <v>8123</v>
      </c>
      <c r="F126">
        <v>198.86667</v>
      </c>
      <c r="G126">
        <v>194.4</v>
      </c>
      <c r="H126">
        <v>1.0229767999999999</v>
      </c>
      <c r="I126">
        <v>-2.2976723000000001E-2</v>
      </c>
      <c r="J126">
        <v>0.49432104999999998</v>
      </c>
      <c r="K126">
        <f xml:space="preserve"> -55.696 * _2026_04_17_16_25_21_23_high[[#This Row],[coeff]] + 79.57</f>
        <v>22.5942841472</v>
      </c>
      <c r="L126">
        <f xml:space="preserve"> -55.696 * _2026_04_17_16_25_21_23_high[[#This Row],[coeff]] + 79.57</f>
        <v>22.5942841472</v>
      </c>
    </row>
    <row r="127" spans="1:12" x14ac:dyDescent="0.3">
      <c r="A127">
        <v>125</v>
      </c>
      <c r="B127">
        <v>3121</v>
      </c>
      <c r="C127" t="b">
        <v>1</v>
      </c>
      <c r="D127">
        <v>8048</v>
      </c>
      <c r="E127">
        <v>8099</v>
      </c>
      <c r="F127">
        <v>198.13333</v>
      </c>
      <c r="G127">
        <v>194</v>
      </c>
      <c r="H127">
        <v>1.0213057999999999</v>
      </c>
      <c r="I127">
        <v>-2.1305831000000001E-2</v>
      </c>
      <c r="J127">
        <v>0.49472969999999999</v>
      </c>
      <c r="K127">
        <f xml:space="preserve"> -55.696 * _2026_04_17_16_25_21_23_high[[#This Row],[coeff]] + 79.57</f>
        <v>22.687352163199996</v>
      </c>
      <c r="L127">
        <f xml:space="preserve"> -55.696 * _2026_04_17_16_25_21_23_high[[#This Row],[coeff]] + 79.57</f>
        <v>22.687352163199996</v>
      </c>
    </row>
    <row r="128" spans="1:12" x14ac:dyDescent="0.3">
      <c r="A128">
        <v>126</v>
      </c>
      <c r="B128">
        <v>3152</v>
      </c>
      <c r="C128" t="b">
        <v>1</v>
      </c>
      <c r="D128">
        <v>8037</v>
      </c>
      <c r="E128">
        <v>8111</v>
      </c>
      <c r="F128">
        <v>197.4</v>
      </c>
      <c r="G128">
        <v>194</v>
      </c>
      <c r="H128">
        <v>1.0175258</v>
      </c>
      <c r="I128">
        <v>-1.7525742E-2</v>
      </c>
      <c r="J128">
        <v>0.49565663999999998</v>
      </c>
      <c r="K128">
        <f xml:space="preserve"> -55.696 * _2026_04_17_16_25_21_23_high[[#This Row],[coeff]] + 79.57</f>
        <v>22.897883043199997</v>
      </c>
      <c r="L128">
        <f xml:space="preserve"> -55.696 * _2026_04_17_16_25_21_23_high[[#This Row],[coeff]] + 79.57</f>
        <v>22.897883043199997</v>
      </c>
    </row>
    <row r="129" spans="1:12" x14ac:dyDescent="0.3">
      <c r="A129">
        <v>127</v>
      </c>
      <c r="B129">
        <v>3184</v>
      </c>
      <c r="C129" t="b">
        <v>1</v>
      </c>
      <c r="D129">
        <v>8065</v>
      </c>
      <c r="E129">
        <v>8117</v>
      </c>
      <c r="F129">
        <v>197.4</v>
      </c>
      <c r="G129">
        <v>194</v>
      </c>
      <c r="H129">
        <v>1.0175258</v>
      </c>
      <c r="I129">
        <v>-1.7525742E-2</v>
      </c>
      <c r="J129">
        <v>0.49565663999999998</v>
      </c>
      <c r="K129">
        <f xml:space="preserve"> -55.696 * _2026_04_17_16_25_21_23_high[[#This Row],[coeff]] + 79.57</f>
        <v>22.897883043199997</v>
      </c>
      <c r="L129">
        <f xml:space="preserve"> -55.696 * _2026_04_17_16_25_21_23_high[[#This Row],[coeff]] + 79.57</f>
        <v>22.897883043199997</v>
      </c>
    </row>
    <row r="130" spans="1:12" x14ac:dyDescent="0.3">
      <c r="A130">
        <v>128</v>
      </c>
      <c r="B130">
        <v>3216</v>
      </c>
      <c r="C130" t="b">
        <v>1</v>
      </c>
      <c r="D130">
        <v>8037</v>
      </c>
      <c r="E130">
        <v>8099</v>
      </c>
      <c r="F130">
        <v>197.4</v>
      </c>
      <c r="G130">
        <v>193.6</v>
      </c>
      <c r="H130">
        <v>1.019628</v>
      </c>
      <c r="I130">
        <v>-1.9628034999999999E-2</v>
      </c>
      <c r="J130">
        <v>0.49514067</v>
      </c>
      <c r="K130">
        <f xml:space="preserve"> -55.696 * _2026_04_17_16_25_21_23_high[[#This Row],[coeff]] + 79.57</f>
        <v>22.780798911999995</v>
      </c>
      <c r="L130">
        <f xml:space="preserve"> -55.696 * _2026_04_17_16_25_21_23_high[[#This Row],[coeff]] + 79.57</f>
        <v>22.780798911999995</v>
      </c>
    </row>
    <row r="131" spans="1:12" x14ac:dyDescent="0.3">
      <c r="A131">
        <v>129</v>
      </c>
      <c r="B131">
        <v>3249</v>
      </c>
      <c r="C131" t="b">
        <v>1</v>
      </c>
      <c r="D131">
        <v>8023</v>
      </c>
      <c r="E131">
        <v>8105</v>
      </c>
      <c r="F131">
        <v>197.4</v>
      </c>
      <c r="G131">
        <v>192.4</v>
      </c>
      <c r="H131">
        <v>1.0259875000000001</v>
      </c>
      <c r="I131">
        <v>-2.5987526E-2</v>
      </c>
      <c r="J131">
        <v>0.49358645000000001</v>
      </c>
      <c r="K131">
        <f xml:space="preserve"> -55.696 * _2026_04_17_16_25_21_23_high[[#This Row],[coeff]] + 79.57</f>
        <v>22.426600199999996</v>
      </c>
      <c r="L131">
        <f xml:space="preserve"> -55.696 * _2026_04_17_16_25_21_23_high[[#This Row],[coeff]] + 79.57</f>
        <v>22.426600199999996</v>
      </c>
    </row>
    <row r="132" spans="1:12" x14ac:dyDescent="0.3">
      <c r="A132">
        <v>130</v>
      </c>
      <c r="B132">
        <v>3280</v>
      </c>
      <c r="C132" t="b">
        <v>1</v>
      </c>
      <c r="D132">
        <v>8030</v>
      </c>
      <c r="E132">
        <v>8105</v>
      </c>
      <c r="F132">
        <v>197.4</v>
      </c>
      <c r="G132">
        <v>191.2</v>
      </c>
      <c r="H132">
        <v>1.0324267</v>
      </c>
      <c r="I132">
        <v>-3.2426762999999997E-2</v>
      </c>
      <c r="J132">
        <v>0.49202266</v>
      </c>
      <c r="K132">
        <f xml:space="preserve"> -55.696 * _2026_04_17_16_25_21_23_high[[#This Row],[coeff]] + 79.57</f>
        <v>22.067962516799994</v>
      </c>
      <c r="L132">
        <f xml:space="preserve"> -55.696 * _2026_04_17_16_25_21_23_high[[#This Row],[coeff]] + 79.57</f>
        <v>22.067962516799994</v>
      </c>
    </row>
    <row r="133" spans="1:12" x14ac:dyDescent="0.3">
      <c r="A133">
        <v>131</v>
      </c>
      <c r="B133">
        <v>3296</v>
      </c>
      <c r="C133" t="b">
        <v>1</v>
      </c>
      <c r="D133">
        <v>8065</v>
      </c>
      <c r="E133">
        <v>8111</v>
      </c>
      <c r="F133">
        <v>197.06666999999999</v>
      </c>
      <c r="G133">
        <v>190</v>
      </c>
      <c r="H133">
        <v>1.037193</v>
      </c>
      <c r="I133">
        <v>-3.7192978000000002E-2</v>
      </c>
      <c r="J133">
        <v>0.49087152000000001</v>
      </c>
      <c r="K133">
        <f xml:space="preserve"> -55.696 * _2026_04_17_16_25_21_23_high[[#This Row],[coeff]] + 79.57</f>
        <v>21.802498671999992</v>
      </c>
      <c r="L133">
        <f xml:space="preserve"> -55.696 * _2026_04_17_16_25_21_23_high[[#This Row],[coeff]] + 79.57</f>
        <v>21.802498671999992</v>
      </c>
    </row>
    <row r="134" spans="1:12" x14ac:dyDescent="0.3">
      <c r="A134">
        <v>132</v>
      </c>
      <c r="B134">
        <v>3312</v>
      </c>
      <c r="C134" t="b">
        <v>1</v>
      </c>
      <c r="D134">
        <v>8048</v>
      </c>
      <c r="E134">
        <v>8111</v>
      </c>
      <c r="F134">
        <v>196.73334</v>
      </c>
      <c r="G134">
        <v>190</v>
      </c>
      <c r="H134">
        <v>1.0354387</v>
      </c>
      <c r="I134">
        <v>-3.5438619999999997E-2</v>
      </c>
      <c r="J134">
        <v>0.49129460000000003</v>
      </c>
      <c r="K134">
        <f xml:space="preserve"> -55.696 * _2026_04_17_16_25_21_23_high[[#This Row],[coeff]] + 79.57</f>
        <v>21.900206164799989</v>
      </c>
      <c r="L134">
        <f xml:space="preserve"> -55.696 * _2026_04_17_16_25_21_23_high[[#This Row],[coeff]] + 79.57</f>
        <v>21.900206164799989</v>
      </c>
    </row>
    <row r="135" spans="1:12" x14ac:dyDescent="0.3">
      <c r="A135">
        <v>133</v>
      </c>
      <c r="B135">
        <v>3328</v>
      </c>
      <c r="C135" t="b">
        <v>1</v>
      </c>
      <c r="D135">
        <v>8048</v>
      </c>
      <c r="E135">
        <v>8111</v>
      </c>
      <c r="F135">
        <v>197.13333</v>
      </c>
      <c r="G135">
        <v>190.4</v>
      </c>
      <c r="H135">
        <v>1.0353642000000001</v>
      </c>
      <c r="I135">
        <v>-3.536417E-2</v>
      </c>
      <c r="J135">
        <v>0.49131256000000001</v>
      </c>
      <c r="K135">
        <f xml:space="preserve"> -55.696 * _2026_04_17_16_25_21_23_high[[#This Row],[coeff]] + 79.57</f>
        <v>21.904355516799988</v>
      </c>
      <c r="L135">
        <f xml:space="preserve"> -55.696 * _2026_04_17_16_25_21_23_high[[#This Row],[coeff]] + 79.57</f>
        <v>21.904355516799988</v>
      </c>
    </row>
    <row r="136" spans="1:12" x14ac:dyDescent="0.3">
      <c r="A136">
        <v>134</v>
      </c>
      <c r="B136">
        <v>3360</v>
      </c>
      <c r="C136" t="b">
        <v>1</v>
      </c>
      <c r="D136">
        <v>8054</v>
      </c>
      <c r="E136">
        <v>8111</v>
      </c>
      <c r="F136">
        <v>197.53334000000001</v>
      </c>
      <c r="G136">
        <v>190.8</v>
      </c>
      <c r="H136">
        <v>1.03529</v>
      </c>
      <c r="I136">
        <v>-3.529003E-2</v>
      </c>
      <c r="J136">
        <v>0.49133047000000002</v>
      </c>
      <c r="K136">
        <f xml:space="preserve"> -55.696 * _2026_04_17_16_25_21_23_high[[#This Row],[coeff]] + 79.57</f>
        <v>21.90848815999999</v>
      </c>
      <c r="L136">
        <f xml:space="preserve"> -55.696 * _2026_04_17_16_25_21_23_high[[#This Row],[coeff]] + 79.57</f>
        <v>21.90848815999999</v>
      </c>
    </row>
    <row r="137" spans="1:12" x14ac:dyDescent="0.3">
      <c r="A137">
        <v>135</v>
      </c>
      <c r="B137">
        <v>3376</v>
      </c>
      <c r="C137" t="b">
        <v>1</v>
      </c>
      <c r="D137">
        <v>8037</v>
      </c>
      <c r="E137">
        <v>8087</v>
      </c>
      <c r="F137">
        <v>198.26666</v>
      </c>
      <c r="G137">
        <v>191.2</v>
      </c>
      <c r="H137">
        <v>1.0369595</v>
      </c>
      <c r="I137">
        <v>-3.6959548000000002E-2</v>
      </c>
      <c r="J137">
        <v>0.49092775999999999</v>
      </c>
      <c r="K137">
        <f xml:space="preserve"> -55.696 * _2026_04_17_16_25_21_23_high[[#This Row],[coeff]] + 79.57</f>
        <v>21.815503687999993</v>
      </c>
      <c r="L137">
        <f xml:space="preserve"> -55.696 * _2026_04_17_16_25_21_23_high[[#This Row],[coeff]] + 79.57</f>
        <v>21.815503687999993</v>
      </c>
    </row>
    <row r="138" spans="1:12" x14ac:dyDescent="0.3">
      <c r="A138">
        <v>136</v>
      </c>
      <c r="B138">
        <v>3407</v>
      </c>
      <c r="C138" t="b">
        <v>1</v>
      </c>
      <c r="D138">
        <v>8042</v>
      </c>
      <c r="E138">
        <v>8117</v>
      </c>
      <c r="F138">
        <v>199</v>
      </c>
      <c r="G138">
        <v>191.6</v>
      </c>
      <c r="H138">
        <v>1.0386221</v>
      </c>
      <c r="I138">
        <v>-3.8622096000000002E-2</v>
      </c>
      <c r="J138">
        <v>0.4905274</v>
      </c>
      <c r="K138">
        <f xml:space="preserve"> -55.696 * _2026_04_17_16_25_21_23_high[[#This Row],[coeff]] + 79.57</f>
        <v>21.722903518399995</v>
      </c>
      <c r="L138">
        <f xml:space="preserve"> -55.696 * _2026_04_17_16_25_21_23_high[[#This Row],[coeff]] + 79.57</f>
        <v>21.722903518399995</v>
      </c>
    </row>
    <row r="139" spans="1:12" x14ac:dyDescent="0.3">
      <c r="A139">
        <v>137</v>
      </c>
      <c r="B139">
        <v>3439</v>
      </c>
      <c r="C139" t="b">
        <v>1</v>
      </c>
      <c r="D139">
        <v>8054</v>
      </c>
      <c r="E139">
        <v>8117</v>
      </c>
      <c r="F139">
        <v>200.2</v>
      </c>
      <c r="G139">
        <v>192</v>
      </c>
      <c r="H139">
        <v>1.0427082999999999</v>
      </c>
      <c r="I139">
        <v>-4.2708320000000001E-2</v>
      </c>
      <c r="J139">
        <v>0.48954611999999997</v>
      </c>
      <c r="K139">
        <f xml:space="preserve"> -55.696 * _2026_04_17_16_25_21_23_high[[#This Row],[coeff]] + 79.57</f>
        <v>21.495318523199998</v>
      </c>
      <c r="L139">
        <f xml:space="preserve"> -55.696 * _2026_04_17_16_25_21_23_high[[#This Row],[coeff]] + 79.57</f>
        <v>21.495318523199998</v>
      </c>
    </row>
    <row r="140" spans="1:12" x14ac:dyDescent="0.3">
      <c r="A140">
        <v>138</v>
      </c>
      <c r="B140">
        <v>3454</v>
      </c>
      <c r="C140" t="b">
        <v>1</v>
      </c>
      <c r="D140">
        <v>8042</v>
      </c>
      <c r="E140">
        <v>8129</v>
      </c>
      <c r="F140">
        <v>201</v>
      </c>
      <c r="G140">
        <v>193.2</v>
      </c>
      <c r="H140">
        <v>1.0403727</v>
      </c>
      <c r="I140">
        <v>-4.0372690000000003E-2</v>
      </c>
      <c r="J140">
        <v>0.49010651999999999</v>
      </c>
      <c r="K140">
        <f xml:space="preserve"> -55.696 * _2026_04_17_16_25_21_23_high[[#This Row],[coeff]] + 79.57</f>
        <v>21.625402100799995</v>
      </c>
      <c r="L140">
        <f xml:space="preserve"> -55.696 * _2026_04_17_16_25_21_23_high[[#This Row],[coeff]] + 79.57</f>
        <v>21.625402100799995</v>
      </c>
    </row>
    <row r="141" spans="1:12" x14ac:dyDescent="0.3">
      <c r="A141">
        <v>139</v>
      </c>
      <c r="B141">
        <v>3486</v>
      </c>
      <c r="C141" t="b">
        <v>1</v>
      </c>
      <c r="D141">
        <v>8065</v>
      </c>
      <c r="E141">
        <v>8093</v>
      </c>
      <c r="F141">
        <v>201.33332999999999</v>
      </c>
      <c r="G141">
        <v>194</v>
      </c>
      <c r="H141">
        <v>1.0378007</v>
      </c>
      <c r="I141">
        <v>-3.7800661999999999E-2</v>
      </c>
      <c r="J141">
        <v>0.49072515999999999</v>
      </c>
      <c r="K141">
        <f xml:space="preserve"> -55.696 * _2026_04_17_16_25_21_23_high[[#This Row],[coeff]] + 79.57</f>
        <v>21.768652212799992</v>
      </c>
      <c r="L141">
        <f xml:space="preserve"> -55.696 * _2026_04_17_16_25_21_23_high[[#This Row],[coeff]] + 79.57</f>
        <v>21.768652212799992</v>
      </c>
    </row>
    <row r="142" spans="1:12" x14ac:dyDescent="0.3">
      <c r="A142">
        <v>140</v>
      </c>
      <c r="B142">
        <v>3518</v>
      </c>
      <c r="C142" t="b">
        <v>1</v>
      </c>
      <c r="D142">
        <v>8060</v>
      </c>
      <c r="E142">
        <v>8099</v>
      </c>
      <c r="F142">
        <v>202.46665999999999</v>
      </c>
      <c r="G142">
        <v>195.2</v>
      </c>
      <c r="H142">
        <v>1.0372268</v>
      </c>
      <c r="I142">
        <v>-3.7226755E-2</v>
      </c>
      <c r="J142">
        <v>0.49086338000000002</v>
      </c>
      <c r="K142">
        <f xml:space="preserve"> -55.696 * _2026_04_17_16_25_21_23_high[[#This Row],[coeff]] + 79.57</f>
        <v>21.800616147199996</v>
      </c>
      <c r="L142">
        <f xml:space="preserve"> -55.696 * _2026_04_17_16_25_21_23_high[[#This Row],[coeff]] + 79.57</f>
        <v>21.800616147199996</v>
      </c>
    </row>
    <row r="143" spans="1:12" x14ac:dyDescent="0.3">
      <c r="A143">
        <v>141</v>
      </c>
      <c r="B143">
        <v>3550</v>
      </c>
      <c r="C143" t="b">
        <v>1</v>
      </c>
      <c r="D143">
        <v>8042</v>
      </c>
      <c r="E143">
        <v>8117</v>
      </c>
      <c r="F143">
        <v>203.6</v>
      </c>
      <c r="G143">
        <v>196</v>
      </c>
      <c r="H143">
        <v>1.0387755999999999</v>
      </c>
      <c r="I143">
        <v>-3.8775539999999997E-2</v>
      </c>
      <c r="J143">
        <v>0.4904905</v>
      </c>
      <c r="K143">
        <f xml:space="preserve"> -55.696 * _2026_04_17_16_25_21_23_high[[#This Row],[coeff]] + 79.57</f>
        <v>21.714354182400001</v>
      </c>
      <c r="L143">
        <f xml:space="preserve"> -55.696 * _2026_04_17_16_25_21_23_high[[#This Row],[coeff]] + 79.57</f>
        <v>21.714354182400001</v>
      </c>
    </row>
    <row r="144" spans="1:12" x14ac:dyDescent="0.3">
      <c r="A144">
        <v>142</v>
      </c>
      <c r="B144">
        <v>3581</v>
      </c>
      <c r="C144" t="b">
        <v>1</v>
      </c>
      <c r="D144">
        <v>8042</v>
      </c>
      <c r="E144">
        <v>8123</v>
      </c>
      <c r="F144">
        <v>203.93333000000001</v>
      </c>
      <c r="G144">
        <v>196.4</v>
      </c>
      <c r="H144">
        <v>1.0383571</v>
      </c>
      <c r="I144">
        <v>-3.8357130000000003E-2</v>
      </c>
      <c r="J144">
        <v>0.49059120000000001</v>
      </c>
      <c r="K144">
        <f xml:space="preserve"> -55.696 * _2026_04_17_16_25_21_23_high[[#This Row],[coeff]] + 79.57</f>
        <v>21.737662958399994</v>
      </c>
      <c r="L144">
        <f xml:space="preserve"> -55.696 * _2026_04_17_16_25_21_23_high[[#This Row],[coeff]] + 79.57</f>
        <v>21.737662958399994</v>
      </c>
    </row>
    <row r="145" spans="1:12" x14ac:dyDescent="0.3">
      <c r="A145">
        <v>143</v>
      </c>
      <c r="B145">
        <v>3597</v>
      </c>
      <c r="C145" t="b">
        <v>1</v>
      </c>
      <c r="D145">
        <v>8042</v>
      </c>
      <c r="E145">
        <v>8099</v>
      </c>
      <c r="F145">
        <v>204.26666</v>
      </c>
      <c r="G145">
        <v>195.6</v>
      </c>
      <c r="H145">
        <v>1.0443081000000001</v>
      </c>
      <c r="I145">
        <v>-4.4308060000000003E-2</v>
      </c>
      <c r="J145">
        <v>0.48916306999999998</v>
      </c>
      <c r="K145">
        <f xml:space="preserve"> -55.696 * _2026_04_17_16_25_21_23_high[[#This Row],[coeff]] + 79.57</f>
        <v>21.406216062399992</v>
      </c>
      <c r="L145">
        <f xml:space="preserve"> -55.696 * _2026_04_17_16_25_21_23_high[[#This Row],[coeff]] + 79.57</f>
        <v>21.406216062399992</v>
      </c>
    </row>
    <row r="146" spans="1:12" x14ac:dyDescent="0.3">
      <c r="A146">
        <v>144</v>
      </c>
      <c r="B146">
        <v>3613</v>
      </c>
      <c r="C146" t="b">
        <v>1</v>
      </c>
      <c r="D146">
        <v>8023</v>
      </c>
      <c r="E146">
        <v>8117</v>
      </c>
      <c r="F146">
        <v>204.6</v>
      </c>
      <c r="G146">
        <v>196.4</v>
      </c>
      <c r="H146">
        <v>1.0417516</v>
      </c>
      <c r="I146">
        <v>-4.1751589999999998E-2</v>
      </c>
      <c r="J146">
        <v>0.48977554000000001</v>
      </c>
      <c r="K146">
        <f xml:space="preserve"> -55.696 * _2026_04_17_16_25_21_23_high[[#This Row],[coeff]] + 79.57</f>
        <v>21.548602886399998</v>
      </c>
      <c r="L146">
        <f xml:space="preserve"> -55.696 * _2026_04_17_16_25_21_23_high[[#This Row],[coeff]] + 79.57</f>
        <v>21.548602886399998</v>
      </c>
    </row>
    <row r="147" spans="1:12" x14ac:dyDescent="0.3">
      <c r="A147">
        <v>145</v>
      </c>
      <c r="B147">
        <v>3645</v>
      </c>
      <c r="C147" t="b">
        <v>1</v>
      </c>
      <c r="D147">
        <v>8054</v>
      </c>
      <c r="E147">
        <v>8111</v>
      </c>
      <c r="F147">
        <v>204.93333000000001</v>
      </c>
      <c r="G147">
        <v>197.2</v>
      </c>
      <c r="H147">
        <v>1.0392157</v>
      </c>
      <c r="I147">
        <v>-3.9215706000000003E-2</v>
      </c>
      <c r="J147">
        <v>0.4903846</v>
      </c>
      <c r="K147">
        <f xml:space="preserve"> -55.696 * _2026_04_17_16_25_21_23_high[[#This Row],[coeff]] + 79.57</f>
        <v>21.689842372799994</v>
      </c>
      <c r="L147">
        <f xml:space="preserve"> -55.696 * _2026_04_17_16_25_21_23_high[[#This Row],[coeff]] + 79.57</f>
        <v>21.689842372799994</v>
      </c>
    </row>
    <row r="148" spans="1:12" x14ac:dyDescent="0.3">
      <c r="A148">
        <v>146</v>
      </c>
      <c r="B148">
        <v>3677</v>
      </c>
      <c r="C148" t="b">
        <v>1</v>
      </c>
      <c r="D148">
        <v>8060</v>
      </c>
      <c r="E148">
        <v>8117</v>
      </c>
      <c r="F148">
        <v>205.26666</v>
      </c>
      <c r="G148">
        <v>198</v>
      </c>
      <c r="H148">
        <v>1.0367004</v>
      </c>
      <c r="I148">
        <v>-3.6700315999999997E-2</v>
      </c>
      <c r="J148">
        <v>0.49099025000000002</v>
      </c>
      <c r="K148">
        <f xml:space="preserve"> -55.696 * _2026_04_17_16_25_21_23_high[[#This Row],[coeff]] + 79.57</f>
        <v>21.829934521599995</v>
      </c>
      <c r="L148">
        <f xml:space="preserve"> -55.696 * _2026_04_17_16_25_21_23_high[[#This Row],[coeff]] + 79.57</f>
        <v>21.829934521599995</v>
      </c>
    </row>
    <row r="149" spans="1:12" x14ac:dyDescent="0.3">
      <c r="A149">
        <v>147</v>
      </c>
      <c r="B149">
        <v>3709</v>
      </c>
      <c r="C149" t="b">
        <v>1</v>
      </c>
      <c r="D149">
        <v>8042</v>
      </c>
      <c r="E149">
        <v>8099</v>
      </c>
      <c r="F149">
        <v>205.6</v>
      </c>
      <c r="G149">
        <v>198.4</v>
      </c>
      <c r="H149">
        <v>1.0362903999999999</v>
      </c>
      <c r="I149">
        <v>-3.6290385000000001E-2</v>
      </c>
      <c r="J149">
        <v>0.4910891</v>
      </c>
      <c r="K149">
        <f xml:space="preserve"> -55.696 * _2026_04_17_16_25_21_23_high[[#This Row],[coeff]] + 79.57</f>
        <v>21.852769881599997</v>
      </c>
      <c r="L149">
        <f xml:space="preserve"> -55.696 * _2026_04_17_16_25_21_23_high[[#This Row],[coeff]] + 79.57</f>
        <v>21.852769881599997</v>
      </c>
    </row>
    <row r="150" spans="1:12" x14ac:dyDescent="0.3">
      <c r="A150">
        <v>148</v>
      </c>
      <c r="B150">
        <v>3740</v>
      </c>
      <c r="C150" t="b">
        <v>1</v>
      </c>
      <c r="D150">
        <v>8048</v>
      </c>
      <c r="E150">
        <v>8105</v>
      </c>
      <c r="F150">
        <v>205.6</v>
      </c>
      <c r="G150">
        <v>198.4</v>
      </c>
      <c r="H150">
        <v>1.0362903999999999</v>
      </c>
      <c r="I150">
        <v>-3.6290385000000001E-2</v>
      </c>
      <c r="J150">
        <v>0.4910891</v>
      </c>
      <c r="K150">
        <f xml:space="preserve"> -55.696 * _2026_04_17_16_25_21_23_high[[#This Row],[coeff]] + 79.57</f>
        <v>21.852769881599997</v>
      </c>
      <c r="L150">
        <f xml:space="preserve"> -55.696 * _2026_04_17_16_25_21_23_high[[#This Row],[coeff]] + 79.57</f>
        <v>21.852769881599997</v>
      </c>
    </row>
    <row r="151" spans="1:12" x14ac:dyDescent="0.3">
      <c r="A151">
        <v>149</v>
      </c>
      <c r="B151">
        <v>3772</v>
      </c>
      <c r="C151" t="b">
        <v>1</v>
      </c>
      <c r="D151">
        <v>8023</v>
      </c>
      <c r="E151">
        <v>8129</v>
      </c>
      <c r="F151">
        <v>205.6</v>
      </c>
      <c r="G151">
        <v>198.4</v>
      </c>
      <c r="H151">
        <v>1.0362903999999999</v>
      </c>
      <c r="I151">
        <v>-3.6290385000000001E-2</v>
      </c>
      <c r="J151">
        <v>0.4910891</v>
      </c>
      <c r="K151">
        <f xml:space="preserve"> -55.696 * _2026_04_17_16_25_21_23_high[[#This Row],[coeff]] + 79.57</f>
        <v>21.852769881599997</v>
      </c>
      <c r="L151">
        <f xml:space="preserve"> -55.696 * _2026_04_17_16_25_21_23_high[[#This Row],[coeff]] + 79.57</f>
        <v>21.852769881599997</v>
      </c>
    </row>
    <row r="152" spans="1:12" x14ac:dyDescent="0.3">
      <c r="A152">
        <v>150</v>
      </c>
      <c r="B152">
        <v>3788</v>
      </c>
      <c r="C152" t="b">
        <v>1</v>
      </c>
      <c r="D152">
        <v>8030</v>
      </c>
      <c r="E152">
        <v>8105</v>
      </c>
      <c r="F152">
        <v>205.2</v>
      </c>
      <c r="G152">
        <v>198</v>
      </c>
      <c r="H152">
        <v>1.0363636000000001</v>
      </c>
      <c r="I152">
        <v>-3.6363619999999999E-2</v>
      </c>
      <c r="J152">
        <v>0.49107139999999999</v>
      </c>
      <c r="K152">
        <f xml:space="preserve"> -55.696 * _2026_04_17_16_25_21_23_high[[#This Row],[coeff]] + 79.57</f>
        <v>21.848692934399992</v>
      </c>
      <c r="L152">
        <f xml:space="preserve"> -55.696 * _2026_04_17_16_25_21_23_high[[#This Row],[coeff]] + 79.57</f>
        <v>21.848692934399992</v>
      </c>
    </row>
    <row r="153" spans="1:12" x14ac:dyDescent="0.3">
      <c r="A153">
        <v>151</v>
      </c>
      <c r="B153">
        <v>3803</v>
      </c>
      <c r="C153" t="b">
        <v>1</v>
      </c>
      <c r="D153">
        <v>8048</v>
      </c>
      <c r="E153">
        <v>8105</v>
      </c>
      <c r="F153">
        <v>204.8</v>
      </c>
      <c r="G153">
        <v>197.6</v>
      </c>
      <c r="H153">
        <v>1.0364373</v>
      </c>
      <c r="I153">
        <v>-3.6437232E-2</v>
      </c>
      <c r="J153">
        <v>0.49105367</v>
      </c>
      <c r="K153">
        <f xml:space="preserve"> -55.696 * _2026_04_17_16_25_21_23_high[[#This Row],[coeff]] + 79.57</f>
        <v>21.844588139199992</v>
      </c>
      <c r="L153">
        <f xml:space="preserve"> -55.696 * _2026_04_17_16_25_21_23_high[[#This Row],[coeff]] + 79.57</f>
        <v>21.844588139199992</v>
      </c>
    </row>
    <row r="154" spans="1:12" x14ac:dyDescent="0.3">
      <c r="A154">
        <v>152</v>
      </c>
      <c r="B154">
        <v>3835</v>
      </c>
      <c r="C154" t="b">
        <v>1</v>
      </c>
      <c r="D154">
        <v>8048</v>
      </c>
      <c r="E154">
        <v>8111</v>
      </c>
      <c r="F154">
        <v>204.8</v>
      </c>
      <c r="G154">
        <v>197.2</v>
      </c>
      <c r="H154">
        <v>1.0385394999999999</v>
      </c>
      <c r="I154">
        <v>-3.8539585000000001E-2</v>
      </c>
      <c r="J154">
        <v>0.49054726999999998</v>
      </c>
      <c r="K154">
        <f xml:space="preserve"> -55.696 * _2026_04_17_16_25_21_23_high[[#This Row],[coeff]] + 79.57</f>
        <v>21.727504007999997</v>
      </c>
      <c r="L154">
        <f xml:space="preserve"> -55.696 * _2026_04_17_16_25_21_23_high[[#This Row],[coeff]] + 79.57</f>
        <v>21.727504007999997</v>
      </c>
    </row>
    <row r="155" spans="1:12" x14ac:dyDescent="0.3">
      <c r="A155">
        <v>153</v>
      </c>
      <c r="B155">
        <v>3867</v>
      </c>
      <c r="C155" t="b">
        <v>1</v>
      </c>
      <c r="D155">
        <v>8037</v>
      </c>
      <c r="E155">
        <v>8111</v>
      </c>
      <c r="F155">
        <v>204.46665999999999</v>
      </c>
      <c r="G155">
        <v>196.8</v>
      </c>
      <c r="H155">
        <v>1.0389565999999999</v>
      </c>
      <c r="I155">
        <v>-3.8956586000000001E-2</v>
      </c>
      <c r="J155">
        <v>0.49044693</v>
      </c>
      <c r="K155">
        <f xml:space="preserve"> -55.696 * _2026_04_17_16_25_21_23_high[[#This Row],[coeff]] + 79.57</f>
        <v>21.704273206400003</v>
      </c>
      <c r="L155">
        <f xml:space="preserve"> -55.696 * _2026_04_17_16_25_21_23_high[[#This Row],[coeff]] + 79.57</f>
        <v>21.704273206400003</v>
      </c>
    </row>
    <row r="156" spans="1:12" x14ac:dyDescent="0.3">
      <c r="A156">
        <v>154</v>
      </c>
      <c r="B156">
        <v>3899</v>
      </c>
      <c r="C156" t="b">
        <v>1</v>
      </c>
      <c r="D156">
        <v>8048</v>
      </c>
      <c r="E156">
        <v>8099</v>
      </c>
      <c r="F156">
        <v>204.86667</v>
      </c>
      <c r="G156">
        <v>196</v>
      </c>
      <c r="H156">
        <v>1.0452380999999999</v>
      </c>
      <c r="I156">
        <v>-4.5238107E-2</v>
      </c>
      <c r="J156">
        <v>0.48894062999999999</v>
      </c>
      <c r="K156">
        <f xml:space="preserve"> -55.696 * _2026_04_17_16_25_21_23_high[[#This Row],[coeff]] + 79.57</f>
        <v>21.354418782399996</v>
      </c>
      <c r="L156">
        <f xml:space="preserve"> -55.696 * _2026_04_17_16_25_21_23_high[[#This Row],[coeff]] + 79.57</f>
        <v>21.354418782399996</v>
      </c>
    </row>
    <row r="157" spans="1:12" x14ac:dyDescent="0.3">
      <c r="A157">
        <v>155</v>
      </c>
      <c r="B157">
        <v>3931</v>
      </c>
      <c r="C157" t="b">
        <v>1</v>
      </c>
      <c r="D157">
        <v>8060</v>
      </c>
      <c r="E157">
        <v>8099</v>
      </c>
      <c r="F157">
        <v>204.46665999999999</v>
      </c>
      <c r="G157">
        <v>195.2</v>
      </c>
      <c r="H157">
        <v>1.0474726999999999</v>
      </c>
      <c r="I157">
        <v>-4.7472656000000002E-2</v>
      </c>
      <c r="J157">
        <v>0.48840702000000003</v>
      </c>
      <c r="K157">
        <f xml:space="preserve"> -55.696 * _2026_04_17_16_25_21_23_high[[#This Row],[coeff]] + 79.57</f>
        <v>21.229960500799997</v>
      </c>
      <c r="L157">
        <f xml:space="preserve"> -55.696 * _2026_04_17_16_25_21_23_high[[#This Row],[coeff]] + 79.57</f>
        <v>21.229960500799997</v>
      </c>
    </row>
    <row r="158" spans="1:12" x14ac:dyDescent="0.3">
      <c r="A158">
        <v>156</v>
      </c>
      <c r="B158">
        <v>3947</v>
      </c>
      <c r="C158" t="b">
        <v>1</v>
      </c>
      <c r="D158">
        <v>8042</v>
      </c>
      <c r="E158">
        <v>8111</v>
      </c>
      <c r="F158">
        <v>204.06666999999999</v>
      </c>
      <c r="G158">
        <v>194.8</v>
      </c>
      <c r="H158">
        <v>1.0475700999999999</v>
      </c>
      <c r="I158">
        <v>-4.7570135E-2</v>
      </c>
      <c r="J158">
        <v>0.48838376999999999</v>
      </c>
      <c r="K158">
        <f xml:space="preserve"> -55.696 * _2026_04_17_16_25_21_23_high[[#This Row],[coeff]] + 79.57</f>
        <v>21.224535710399998</v>
      </c>
      <c r="L158">
        <f xml:space="preserve"> -55.696 * _2026_04_17_16_25_21_23_high[[#This Row],[coeff]] + 79.57</f>
        <v>21.224535710399998</v>
      </c>
    </row>
    <row r="159" spans="1:12" x14ac:dyDescent="0.3">
      <c r="A159">
        <v>157</v>
      </c>
      <c r="B159">
        <v>3979</v>
      </c>
      <c r="C159" t="b">
        <v>1</v>
      </c>
      <c r="D159">
        <v>8023</v>
      </c>
      <c r="E159">
        <v>8087</v>
      </c>
      <c r="F159">
        <v>204.06666999999999</v>
      </c>
      <c r="G159">
        <v>193.6</v>
      </c>
      <c r="H159">
        <v>1.0540632999999999</v>
      </c>
      <c r="I159">
        <v>-5.4063324000000003E-2</v>
      </c>
      <c r="J159">
        <v>0.48683989999999999</v>
      </c>
      <c r="K159">
        <f xml:space="preserve"> -55.696 * _2026_04_17_16_25_21_23_high[[#This Row],[coeff]] + 79.57</f>
        <v>20.862890443200001</v>
      </c>
      <c r="L159">
        <f xml:space="preserve"> -55.696 * _2026_04_17_16_25_21_23_high[[#This Row],[coeff]] + 79.57</f>
        <v>20.862890443200001</v>
      </c>
    </row>
    <row r="160" spans="1:12" x14ac:dyDescent="0.3">
      <c r="A160">
        <v>158</v>
      </c>
      <c r="B160">
        <v>3994</v>
      </c>
      <c r="C160" t="b">
        <v>1</v>
      </c>
      <c r="D160">
        <v>8042</v>
      </c>
      <c r="E160">
        <v>8105</v>
      </c>
      <c r="F160">
        <v>204.06666999999999</v>
      </c>
      <c r="G160">
        <v>193.6</v>
      </c>
      <c r="H160">
        <v>1.0540632999999999</v>
      </c>
      <c r="I160">
        <v>-5.4063324000000003E-2</v>
      </c>
      <c r="J160">
        <v>0.48683989999999999</v>
      </c>
      <c r="K160">
        <f xml:space="preserve"> -55.696 * _2026_04_17_16_25_21_23_high[[#This Row],[coeff]] + 79.57</f>
        <v>20.862890443200001</v>
      </c>
      <c r="L160">
        <f xml:space="preserve"> -55.696 * _2026_04_17_16_25_21_23_high[[#This Row],[coeff]] + 79.57</f>
        <v>20.862890443200001</v>
      </c>
    </row>
    <row r="161" spans="1:12" x14ac:dyDescent="0.3">
      <c r="A161">
        <v>159</v>
      </c>
      <c r="B161">
        <v>4010</v>
      </c>
      <c r="C161" t="b">
        <v>1</v>
      </c>
      <c r="D161">
        <v>8030</v>
      </c>
      <c r="E161">
        <v>8105</v>
      </c>
      <c r="F161">
        <v>204.06666999999999</v>
      </c>
      <c r="G161">
        <v>192.8</v>
      </c>
      <c r="H161">
        <v>1.0584370000000001</v>
      </c>
      <c r="I161">
        <v>-5.8437045999999999E-2</v>
      </c>
      <c r="J161">
        <v>0.48580548000000001</v>
      </c>
      <c r="K161">
        <f xml:space="preserve"> -55.696 * _2026_04_17_16_25_21_23_high[[#This Row],[coeff]] + 79.57</f>
        <v>20.619292847999994</v>
      </c>
      <c r="L161">
        <f xml:space="preserve"> -55.696 * _2026_04_17_16_25_21_23_high[[#This Row],[coeff]] + 79.57</f>
        <v>20.619292847999994</v>
      </c>
    </row>
    <row r="162" spans="1:12" x14ac:dyDescent="0.3">
      <c r="A162">
        <v>160</v>
      </c>
      <c r="B162">
        <v>4026</v>
      </c>
      <c r="C162" t="b">
        <v>1</v>
      </c>
      <c r="D162">
        <v>8037</v>
      </c>
      <c r="E162">
        <v>8105</v>
      </c>
      <c r="F162">
        <v>203.73334</v>
      </c>
      <c r="G162">
        <v>192</v>
      </c>
      <c r="H162">
        <v>1.0611111</v>
      </c>
      <c r="I162">
        <v>-6.1111133999999998E-2</v>
      </c>
      <c r="J162">
        <v>0.48517519999999997</v>
      </c>
      <c r="K162">
        <f xml:space="preserve"> -55.696 * _2026_04_17_16_25_21_23_high[[#This Row],[coeff]] + 79.57</f>
        <v>20.470356174399996</v>
      </c>
      <c r="L162">
        <f xml:space="preserve"> -55.696 * _2026_04_17_16_25_21_23_high[[#This Row],[coeff]] + 79.57</f>
        <v>20.470356174399996</v>
      </c>
    </row>
    <row r="163" spans="1:12" x14ac:dyDescent="0.3">
      <c r="A163">
        <v>161</v>
      </c>
      <c r="B163">
        <v>4059</v>
      </c>
      <c r="C163" t="b">
        <v>1</v>
      </c>
      <c r="D163">
        <v>8023</v>
      </c>
      <c r="E163">
        <v>8093</v>
      </c>
      <c r="F163">
        <v>202.93333000000001</v>
      </c>
      <c r="G163">
        <v>191.2</v>
      </c>
      <c r="H163">
        <v>1.0613668000000001</v>
      </c>
      <c r="I163">
        <v>-6.1366829999999997E-2</v>
      </c>
      <c r="J163">
        <v>0.48511502000000001</v>
      </c>
      <c r="K163">
        <f xml:space="preserve"> -55.696 * _2026_04_17_16_25_21_23_high[[#This Row],[coeff]] + 79.57</f>
        <v>20.456114707199994</v>
      </c>
      <c r="L163">
        <f xml:space="preserve"> -55.696 * _2026_04_17_16_25_21_23_high[[#This Row],[coeff]] + 79.57</f>
        <v>20.456114707199994</v>
      </c>
    </row>
    <row r="164" spans="1:12" x14ac:dyDescent="0.3">
      <c r="A164">
        <v>162</v>
      </c>
      <c r="B164">
        <v>4074</v>
      </c>
      <c r="C164" t="b">
        <v>1</v>
      </c>
      <c r="D164">
        <v>8042</v>
      </c>
      <c r="E164">
        <v>8105</v>
      </c>
      <c r="F164">
        <v>202.6</v>
      </c>
      <c r="G164">
        <v>190.8</v>
      </c>
      <c r="H164">
        <v>1.0618448</v>
      </c>
      <c r="I164">
        <v>-6.1844877999999999E-2</v>
      </c>
      <c r="J164">
        <v>0.48500251999999999</v>
      </c>
      <c r="K164">
        <f xml:space="preserve"> -55.696 * _2026_04_17_16_25_21_23_high[[#This Row],[coeff]] + 79.57</f>
        <v>20.429492019199991</v>
      </c>
      <c r="L164">
        <f xml:space="preserve"> -55.696 * _2026_04_17_16_25_21_23_high[[#This Row],[coeff]] + 79.57</f>
        <v>20.429492019199991</v>
      </c>
    </row>
    <row r="165" spans="1:12" x14ac:dyDescent="0.3">
      <c r="A165">
        <v>163</v>
      </c>
      <c r="B165">
        <v>4090</v>
      </c>
      <c r="C165" t="b">
        <v>1</v>
      </c>
      <c r="D165">
        <v>8023</v>
      </c>
      <c r="E165">
        <v>8099</v>
      </c>
      <c r="F165">
        <v>201.4</v>
      </c>
      <c r="G165">
        <v>190.4</v>
      </c>
      <c r="H165">
        <v>1.0577730999999999</v>
      </c>
      <c r="I165">
        <v>-5.7773110000000003E-2</v>
      </c>
      <c r="J165">
        <v>0.48596220000000001</v>
      </c>
      <c r="K165">
        <f xml:space="preserve"> -55.696 * _2026_04_17_16_25_21_23_high[[#This Row],[coeff]] + 79.57</f>
        <v>20.656269422400001</v>
      </c>
      <c r="L165">
        <f xml:space="preserve"> -55.696 * _2026_04_17_16_25_21_23_high[[#This Row],[coeff]] + 79.57</f>
        <v>20.656269422400001</v>
      </c>
    </row>
    <row r="166" spans="1:12" x14ac:dyDescent="0.3">
      <c r="A166">
        <v>164</v>
      </c>
      <c r="B166">
        <v>4121</v>
      </c>
      <c r="C166" t="b">
        <v>1</v>
      </c>
      <c r="D166">
        <v>8037</v>
      </c>
      <c r="E166">
        <v>8111</v>
      </c>
      <c r="F166">
        <v>200.66667000000001</v>
      </c>
      <c r="G166">
        <v>190</v>
      </c>
      <c r="H166">
        <v>1.0561404000000001</v>
      </c>
      <c r="I166">
        <v>-5.6140377999999998E-2</v>
      </c>
      <c r="J166">
        <v>0.48634810000000001</v>
      </c>
      <c r="K166">
        <f xml:space="preserve"> -55.696 * _2026_04_17_16_25_21_23_high[[#This Row],[coeff]] + 79.57</f>
        <v>20.747204281599991</v>
      </c>
      <c r="L166">
        <f xml:space="preserve"> -55.696 * _2026_04_17_16_25_21_23_high[[#This Row],[coeff]] + 79.57</f>
        <v>20.747204281599991</v>
      </c>
    </row>
    <row r="167" spans="1:12" x14ac:dyDescent="0.3">
      <c r="A167">
        <v>165</v>
      </c>
      <c r="B167">
        <v>4137</v>
      </c>
      <c r="C167" t="b">
        <v>1</v>
      </c>
      <c r="D167">
        <v>8030</v>
      </c>
      <c r="E167">
        <v>8099</v>
      </c>
      <c r="F167">
        <v>199.86667</v>
      </c>
      <c r="G167">
        <v>189.6</v>
      </c>
      <c r="H167">
        <v>1.054149</v>
      </c>
      <c r="I167">
        <v>-5.4149059999999999E-2</v>
      </c>
      <c r="J167">
        <v>0.48681960000000002</v>
      </c>
      <c r="K167">
        <f xml:space="preserve"> -55.696 * _2026_04_17_16_25_21_23_high[[#This Row],[coeff]] + 79.57</f>
        <v>20.858117295999996</v>
      </c>
      <c r="L167">
        <f xml:space="preserve"> -55.696 * _2026_04_17_16_25_21_23_high[[#This Row],[coeff]] + 79.57</f>
        <v>20.858117295999996</v>
      </c>
    </row>
    <row r="168" spans="1:12" x14ac:dyDescent="0.3">
      <c r="A168">
        <v>166</v>
      </c>
      <c r="B168">
        <v>4169</v>
      </c>
      <c r="C168" t="b">
        <v>1</v>
      </c>
      <c r="D168">
        <v>8030</v>
      </c>
      <c r="E168">
        <v>8099</v>
      </c>
      <c r="F168">
        <v>199.06666999999999</v>
      </c>
      <c r="G168">
        <v>189.2</v>
      </c>
      <c r="H168">
        <v>1.0521494</v>
      </c>
      <c r="I168">
        <v>-5.214941E-2</v>
      </c>
      <c r="J168">
        <v>0.48729396000000003</v>
      </c>
      <c r="K168">
        <f xml:space="preserve"> -55.696 * _2026_04_17_16_25_21_23_high[[#This Row],[coeff]] + 79.57</f>
        <v>20.969487017599995</v>
      </c>
      <c r="L168">
        <f xml:space="preserve"> -55.696 * _2026_04_17_16_25_21_23_high[[#This Row],[coeff]] + 79.57</f>
        <v>20.969487017599995</v>
      </c>
    </row>
    <row r="169" spans="1:12" x14ac:dyDescent="0.3">
      <c r="A169">
        <v>167</v>
      </c>
      <c r="B169">
        <v>4201</v>
      </c>
      <c r="C169" t="b">
        <v>1</v>
      </c>
      <c r="D169">
        <v>8042</v>
      </c>
      <c r="E169">
        <v>8111</v>
      </c>
      <c r="F169">
        <v>197.86667</v>
      </c>
      <c r="G169">
        <v>188.8</v>
      </c>
      <c r="H169">
        <v>1.0480225999999999</v>
      </c>
      <c r="I169">
        <v>-4.8022594000000002E-2</v>
      </c>
      <c r="J169">
        <v>0.48827586000000001</v>
      </c>
      <c r="K169">
        <f xml:space="preserve"> -55.696 * _2026_04_17_16_25_21_23_high[[#This Row],[coeff]] + 79.57</f>
        <v>21.199333270399997</v>
      </c>
      <c r="L169">
        <f xml:space="preserve"> -55.696 * _2026_04_17_16_25_21_23_high[[#This Row],[coeff]] + 79.57</f>
        <v>21.199333270399997</v>
      </c>
    </row>
    <row r="170" spans="1:12" x14ac:dyDescent="0.3">
      <c r="A170">
        <v>168</v>
      </c>
      <c r="B170">
        <v>4233</v>
      </c>
      <c r="C170" t="b">
        <v>1</v>
      </c>
      <c r="D170">
        <v>8060</v>
      </c>
      <c r="E170">
        <v>8099</v>
      </c>
      <c r="F170">
        <v>197.86667</v>
      </c>
      <c r="G170">
        <v>188</v>
      </c>
      <c r="H170">
        <v>1.0524822</v>
      </c>
      <c r="I170">
        <v>-5.2482279999999999E-2</v>
      </c>
      <c r="J170">
        <v>0.48721492</v>
      </c>
      <c r="K170">
        <f xml:space="preserve"> -55.696 * _2026_04_17_16_25_21_23_high[[#This Row],[coeff]] + 79.57</f>
        <v>20.950951388799993</v>
      </c>
      <c r="L170">
        <f xml:space="preserve"> -55.696 * _2026_04_17_16_25_21_23_high[[#This Row],[coeff]] + 79.57</f>
        <v>20.950951388799993</v>
      </c>
    </row>
    <row r="171" spans="1:12" x14ac:dyDescent="0.3">
      <c r="A171">
        <v>169</v>
      </c>
      <c r="B171">
        <v>4264</v>
      </c>
      <c r="C171" t="b">
        <v>1</v>
      </c>
      <c r="D171">
        <v>8030</v>
      </c>
      <c r="E171">
        <v>8099</v>
      </c>
      <c r="F171">
        <v>196.66667000000001</v>
      </c>
      <c r="G171">
        <v>187.6</v>
      </c>
      <c r="H171">
        <v>1.0483298000000001</v>
      </c>
      <c r="I171">
        <v>-4.8329773999999999E-2</v>
      </c>
      <c r="J171">
        <v>0.48820266000000001</v>
      </c>
      <c r="K171">
        <f xml:space="preserve"> -55.696 * _2026_04_17_16_25_21_23_high[[#This Row],[coeff]] + 79.57</f>
        <v>21.182223459199989</v>
      </c>
      <c r="L171">
        <f xml:space="preserve"> -55.696 * _2026_04_17_16_25_21_23_high[[#This Row],[coeff]] + 79.57</f>
        <v>21.182223459199989</v>
      </c>
    </row>
    <row r="172" spans="1:12" x14ac:dyDescent="0.3">
      <c r="A172">
        <v>170</v>
      </c>
      <c r="B172">
        <v>4280</v>
      </c>
      <c r="C172" t="b">
        <v>1</v>
      </c>
      <c r="D172">
        <v>8042</v>
      </c>
      <c r="E172">
        <v>8152</v>
      </c>
      <c r="F172">
        <v>196.26666</v>
      </c>
      <c r="G172">
        <v>187.2</v>
      </c>
      <c r="H172">
        <v>1.0484331</v>
      </c>
      <c r="I172">
        <v>-4.8433043000000002E-2</v>
      </c>
      <c r="J172">
        <v>0.488178</v>
      </c>
      <c r="K172">
        <f xml:space="preserve"> -55.696 * _2026_04_17_16_25_21_23_high[[#This Row],[coeff]] + 79.57</f>
        <v>21.176470062399993</v>
      </c>
      <c r="L172">
        <f xml:space="preserve"> -55.696 * _2026_04_17_16_25_21_23_high[[#This Row],[coeff]] + 79.57</f>
        <v>21.176470062399993</v>
      </c>
    </row>
    <row r="173" spans="1:12" x14ac:dyDescent="0.3">
      <c r="A173">
        <v>171</v>
      </c>
      <c r="B173">
        <v>4296</v>
      </c>
      <c r="C173" t="b">
        <v>1</v>
      </c>
      <c r="D173">
        <v>8037</v>
      </c>
      <c r="E173">
        <v>8111</v>
      </c>
      <c r="F173">
        <v>195.86667</v>
      </c>
      <c r="G173">
        <v>187.2</v>
      </c>
      <c r="H173">
        <v>1.0462963999999999</v>
      </c>
      <c r="I173">
        <v>-4.6296324999999999E-2</v>
      </c>
      <c r="J173">
        <v>0.48868778000000002</v>
      </c>
      <c r="K173">
        <f xml:space="preserve"> -55.696 * _2026_04_17_16_25_21_23_high[[#This Row],[coeff]] + 79.57</f>
        <v>21.295475705599998</v>
      </c>
      <c r="L173">
        <f xml:space="preserve"> -55.696 * _2026_04_17_16_25_21_23_high[[#This Row],[coeff]] + 79.57</f>
        <v>21.295475705599998</v>
      </c>
    </row>
    <row r="174" spans="1:12" x14ac:dyDescent="0.3">
      <c r="A174">
        <v>172</v>
      </c>
      <c r="B174">
        <v>4312</v>
      </c>
      <c r="C174" t="b">
        <v>1</v>
      </c>
      <c r="D174">
        <v>8037</v>
      </c>
      <c r="E174">
        <v>8117</v>
      </c>
      <c r="F174">
        <v>195.53334000000001</v>
      </c>
      <c r="G174">
        <v>188</v>
      </c>
      <c r="H174">
        <v>1.040071</v>
      </c>
      <c r="I174">
        <v>-4.0070960000000003E-2</v>
      </c>
      <c r="J174">
        <v>0.49017906</v>
      </c>
      <c r="K174">
        <f xml:space="preserve"> -55.696 * _2026_04_17_16_25_21_23_high[[#This Row],[coeff]] + 79.57</f>
        <v>21.642205583999996</v>
      </c>
      <c r="L174">
        <f xml:space="preserve"> -55.696 * _2026_04_17_16_25_21_23_high[[#This Row],[coeff]] + 79.57</f>
        <v>21.642205583999996</v>
      </c>
    </row>
    <row r="175" spans="1:12" x14ac:dyDescent="0.3">
      <c r="A175">
        <v>173</v>
      </c>
      <c r="B175">
        <v>4343</v>
      </c>
      <c r="C175" t="b">
        <v>1</v>
      </c>
      <c r="D175">
        <v>8023</v>
      </c>
      <c r="E175">
        <v>8105</v>
      </c>
      <c r="F175">
        <v>195.2</v>
      </c>
      <c r="G175">
        <v>188.8</v>
      </c>
      <c r="H175">
        <v>1.0338982000000001</v>
      </c>
      <c r="I175">
        <v>-3.3898270000000001E-2</v>
      </c>
      <c r="J175">
        <v>0.49166666999999997</v>
      </c>
      <c r="K175">
        <f xml:space="preserve"> -55.696 * _2026_04_17_16_25_21_23_high[[#This Row],[coeff]] + 79.57</f>
        <v>21.986005852799991</v>
      </c>
      <c r="L175">
        <f xml:space="preserve"> -55.696 * _2026_04_17_16_25_21_23_high[[#This Row],[coeff]] + 79.57</f>
        <v>21.986005852799991</v>
      </c>
    </row>
    <row r="176" spans="1:12" x14ac:dyDescent="0.3">
      <c r="A176">
        <v>174</v>
      </c>
      <c r="B176">
        <v>4375</v>
      </c>
      <c r="C176" t="b">
        <v>1</v>
      </c>
      <c r="D176">
        <v>8037</v>
      </c>
      <c r="E176">
        <v>8117</v>
      </c>
      <c r="F176">
        <v>194.86667</v>
      </c>
      <c r="G176">
        <v>189.6</v>
      </c>
      <c r="H176">
        <v>1.0277778</v>
      </c>
      <c r="I176">
        <v>-2.7777756000000001E-2</v>
      </c>
      <c r="J176">
        <v>0.49315068000000001</v>
      </c>
      <c r="K176">
        <f xml:space="preserve"> -55.696 * _2026_04_17_16_25_21_23_high[[#This Row],[coeff]] + 79.57</f>
        <v>22.326887651199996</v>
      </c>
      <c r="L176">
        <f xml:space="preserve"> -55.696 * _2026_04_17_16_25_21_23_high[[#This Row],[coeff]] + 79.57</f>
        <v>22.326887651199996</v>
      </c>
    </row>
    <row r="177" spans="1:12" x14ac:dyDescent="0.3">
      <c r="A177">
        <v>175</v>
      </c>
      <c r="B177">
        <v>4407</v>
      </c>
      <c r="C177" t="b">
        <v>1</v>
      </c>
      <c r="D177">
        <v>8030</v>
      </c>
      <c r="E177">
        <v>8105</v>
      </c>
      <c r="F177">
        <v>194.86667</v>
      </c>
      <c r="G177">
        <v>190</v>
      </c>
      <c r="H177">
        <v>1.025614</v>
      </c>
      <c r="I177">
        <v>-2.5614046000000001E-2</v>
      </c>
      <c r="J177">
        <v>0.49367747000000001</v>
      </c>
      <c r="K177">
        <f xml:space="preserve"> -55.696 * _2026_04_17_16_25_21_23_high[[#This Row],[coeff]] + 79.57</f>
        <v>22.447402655999994</v>
      </c>
      <c r="L177">
        <f xml:space="preserve"> -55.696 * _2026_04_17_16_25_21_23_high[[#This Row],[coeff]] + 79.57</f>
        <v>22.447402655999994</v>
      </c>
    </row>
    <row r="178" spans="1:12" x14ac:dyDescent="0.3">
      <c r="A178">
        <v>176</v>
      </c>
      <c r="B178">
        <v>4439</v>
      </c>
      <c r="C178" t="b">
        <v>1</v>
      </c>
      <c r="D178">
        <v>8030</v>
      </c>
      <c r="E178">
        <v>8105</v>
      </c>
      <c r="F178">
        <v>194.86667</v>
      </c>
      <c r="G178">
        <v>190</v>
      </c>
      <c r="H178">
        <v>1.025614</v>
      </c>
      <c r="I178">
        <v>-2.5614046000000001E-2</v>
      </c>
      <c r="J178">
        <v>0.49367747000000001</v>
      </c>
      <c r="K178">
        <f xml:space="preserve"> -55.696 * _2026_04_17_16_25_21_23_high[[#This Row],[coeff]] + 79.57</f>
        <v>22.447402655999994</v>
      </c>
      <c r="L178">
        <f xml:space="preserve"> -55.696 * _2026_04_17_16_25_21_23_high[[#This Row],[coeff]] + 79.57</f>
        <v>22.447402655999994</v>
      </c>
    </row>
    <row r="179" spans="1:12" x14ac:dyDescent="0.3">
      <c r="A179">
        <v>177</v>
      </c>
      <c r="B179">
        <v>4470</v>
      </c>
      <c r="C179" t="b">
        <v>1</v>
      </c>
      <c r="D179">
        <v>8054</v>
      </c>
      <c r="E179">
        <v>8105</v>
      </c>
      <c r="F179">
        <v>194.4</v>
      </c>
      <c r="G179">
        <v>190</v>
      </c>
      <c r="H179">
        <v>1.0231577999999999</v>
      </c>
      <c r="I179">
        <v>-2.3157863000000001E-2</v>
      </c>
      <c r="J179">
        <v>0.49427680000000002</v>
      </c>
      <c r="K179">
        <f xml:space="preserve"> -55.696 * _2026_04_17_16_25_21_23_high[[#This Row],[coeff]] + 79.57</f>
        <v>22.584203171200002</v>
      </c>
      <c r="L179">
        <f xml:space="preserve"> -55.696 * _2026_04_17_16_25_21_23_high[[#This Row],[coeff]] + 79.57</f>
        <v>22.584203171200002</v>
      </c>
    </row>
    <row r="180" spans="1:12" x14ac:dyDescent="0.3">
      <c r="A180">
        <v>178</v>
      </c>
      <c r="B180">
        <v>4486</v>
      </c>
      <c r="C180" t="b">
        <v>1</v>
      </c>
      <c r="D180">
        <v>8048</v>
      </c>
      <c r="E180">
        <v>8111</v>
      </c>
      <c r="F180">
        <v>194.86667</v>
      </c>
      <c r="G180">
        <v>190</v>
      </c>
      <c r="H180">
        <v>1.025614</v>
      </c>
      <c r="I180">
        <v>-2.5614046000000001E-2</v>
      </c>
      <c r="J180">
        <v>0.49367747000000001</v>
      </c>
      <c r="K180">
        <f xml:space="preserve"> -55.696 * _2026_04_17_16_25_21_23_high[[#This Row],[coeff]] + 79.57</f>
        <v>22.447402655999994</v>
      </c>
      <c r="L180">
        <f xml:space="preserve"> -55.696 * _2026_04_17_16_25_21_23_high[[#This Row],[coeff]] + 79.57</f>
        <v>22.447402655999994</v>
      </c>
    </row>
    <row r="181" spans="1:12" x14ac:dyDescent="0.3">
      <c r="A181">
        <v>179</v>
      </c>
      <c r="B181">
        <v>4518</v>
      </c>
      <c r="C181" t="b">
        <v>1</v>
      </c>
      <c r="D181">
        <v>8042</v>
      </c>
      <c r="E181">
        <v>8117</v>
      </c>
      <c r="F181">
        <v>195.2</v>
      </c>
      <c r="G181">
        <v>190</v>
      </c>
      <c r="H181">
        <v>1.0273684000000001</v>
      </c>
      <c r="I181">
        <v>-2.7368406000000001E-2</v>
      </c>
      <c r="J181">
        <v>0.49325025</v>
      </c>
      <c r="K181">
        <f xml:space="preserve"> -55.696 * _2026_04_17_16_25_21_23_high[[#This Row],[coeff]] + 79.57</f>
        <v>22.34968959359999</v>
      </c>
      <c r="L181">
        <f xml:space="preserve"> -55.696 * _2026_04_17_16_25_21_23_high[[#This Row],[coeff]] + 79.57</f>
        <v>22.34968959359999</v>
      </c>
    </row>
    <row r="182" spans="1:12" x14ac:dyDescent="0.3">
      <c r="A182">
        <v>180</v>
      </c>
      <c r="B182">
        <v>4550</v>
      </c>
      <c r="C182" t="b">
        <v>1</v>
      </c>
      <c r="D182">
        <v>8023</v>
      </c>
      <c r="E182">
        <v>8123</v>
      </c>
      <c r="F182">
        <v>196</v>
      </c>
      <c r="G182">
        <v>190.8</v>
      </c>
      <c r="H182">
        <v>1.0272536000000001</v>
      </c>
      <c r="I182">
        <v>-2.7253652E-2</v>
      </c>
      <c r="J182">
        <v>0.4932782</v>
      </c>
      <c r="K182">
        <f xml:space="preserve"> -55.696 * _2026_04_17_16_25_21_23_high[[#This Row],[coeff]] + 79.57</f>
        <v>22.356083494399989</v>
      </c>
      <c r="L182">
        <f xml:space="preserve"> -55.696 * _2026_04_17_16_25_21_23_high[[#This Row],[coeff]] + 79.57</f>
        <v>22.356083494399989</v>
      </c>
    </row>
    <row r="183" spans="1:12" x14ac:dyDescent="0.3">
      <c r="A183">
        <v>181</v>
      </c>
      <c r="B183">
        <v>4582</v>
      </c>
      <c r="C183" t="b">
        <v>1</v>
      </c>
      <c r="D183">
        <v>8054</v>
      </c>
      <c r="E183">
        <v>8140</v>
      </c>
      <c r="F183">
        <v>197.2</v>
      </c>
      <c r="G183">
        <v>192</v>
      </c>
      <c r="H183">
        <v>1.0270832999999999</v>
      </c>
      <c r="I183">
        <v>-2.7083316999999999E-2</v>
      </c>
      <c r="J183">
        <v>0.49331960000000002</v>
      </c>
      <c r="K183">
        <f xml:space="preserve"> -55.696 * _2026_04_17_16_25_21_23_high[[#This Row],[coeff]] + 79.57</f>
        <v>22.365568523199997</v>
      </c>
      <c r="L183">
        <f xml:space="preserve"> -55.696 * _2026_04_17_16_25_21_23_high[[#This Row],[coeff]] + 79.57</f>
        <v>22.365568523199997</v>
      </c>
    </row>
    <row r="184" spans="1:12" x14ac:dyDescent="0.3">
      <c r="A184">
        <v>182</v>
      </c>
      <c r="B184">
        <v>4613</v>
      </c>
      <c r="C184" t="b">
        <v>1</v>
      </c>
      <c r="D184">
        <v>8023</v>
      </c>
      <c r="E184">
        <v>8129</v>
      </c>
      <c r="F184">
        <v>198</v>
      </c>
      <c r="G184">
        <v>193.6</v>
      </c>
      <c r="H184">
        <v>1.0227272999999999</v>
      </c>
      <c r="I184">
        <v>-2.2727239999999999E-2</v>
      </c>
      <c r="J184">
        <v>0.49438201999999998</v>
      </c>
      <c r="K184">
        <f xml:space="preserve"> -55.696 * _2026_04_17_16_25_21_23_high[[#This Row],[coeff]] + 79.57</f>
        <v>22.608180299200001</v>
      </c>
      <c r="L184">
        <f xml:space="preserve"> -55.696 * _2026_04_17_16_25_21_23_high[[#This Row],[coeff]] + 79.57</f>
        <v>22.608180299200001</v>
      </c>
    </row>
    <row r="185" spans="1:12" x14ac:dyDescent="0.3">
      <c r="A185">
        <v>183</v>
      </c>
      <c r="B185">
        <v>4629</v>
      </c>
      <c r="C185" t="b">
        <v>1</v>
      </c>
      <c r="D185">
        <v>8037</v>
      </c>
      <c r="E185">
        <v>8117</v>
      </c>
      <c r="F185">
        <v>198</v>
      </c>
      <c r="G185">
        <v>195.2</v>
      </c>
      <c r="H185">
        <v>1.0143443000000001</v>
      </c>
      <c r="I185">
        <v>-1.4344278E-2</v>
      </c>
      <c r="J185">
        <v>0.49643946</v>
      </c>
      <c r="K185">
        <f xml:space="preserve"> -55.696 * _2026_04_17_16_25_21_23_high[[#This Row],[coeff]] + 79.57</f>
        <v>23.075079867199989</v>
      </c>
      <c r="L185">
        <f xml:space="preserve"> -55.696 * _2026_04_17_16_25_21_23_high[[#This Row],[coeff]] + 79.57</f>
        <v>23.075079867199989</v>
      </c>
    </row>
    <row r="186" spans="1:12" x14ac:dyDescent="0.3">
      <c r="A186">
        <v>184</v>
      </c>
      <c r="B186">
        <v>4645</v>
      </c>
      <c r="C186" t="b">
        <v>1</v>
      </c>
      <c r="D186">
        <v>8054</v>
      </c>
      <c r="E186">
        <v>8117</v>
      </c>
      <c r="F186">
        <v>198.46665999999999</v>
      </c>
      <c r="G186">
        <v>196.8</v>
      </c>
      <c r="H186">
        <v>1.0084687000000001</v>
      </c>
      <c r="I186">
        <v>-8.4687825000000008E-3</v>
      </c>
      <c r="J186">
        <v>0.49789171999999998</v>
      </c>
      <c r="K186">
        <f xml:space="preserve"> -55.696 * _2026_04_17_16_25_21_23_high[[#This Row],[coeff]] + 79.57</f>
        <v>23.402327284799988</v>
      </c>
      <c r="L186">
        <f xml:space="preserve"> -55.696 * _2026_04_17_16_25_21_23_high[[#This Row],[coeff]] + 79.57</f>
        <v>23.402327284799988</v>
      </c>
    </row>
    <row r="187" spans="1:12" x14ac:dyDescent="0.3">
      <c r="A187">
        <v>185</v>
      </c>
      <c r="B187">
        <v>4677</v>
      </c>
      <c r="C187" t="b">
        <v>1</v>
      </c>
      <c r="D187">
        <v>8030</v>
      </c>
      <c r="E187">
        <v>8129</v>
      </c>
      <c r="F187">
        <v>198.13333</v>
      </c>
      <c r="G187">
        <v>198.8</v>
      </c>
      <c r="H187">
        <v>0.99664649999999999</v>
      </c>
      <c r="I187">
        <v>3.3534796000000001E-3</v>
      </c>
      <c r="J187">
        <v>0.50083977000000002</v>
      </c>
      <c r="K187">
        <f xml:space="preserve"> -55.696 * _2026_04_17_16_25_21_23_high[[#This Row],[coeff]] + 79.57</f>
        <v>24.060776535999999</v>
      </c>
      <c r="L187">
        <f xml:space="preserve"> -55.696 * _2026_04_17_16_25_21_23_high[[#This Row],[coeff]] + 79.57</f>
        <v>24.060776535999999</v>
      </c>
    </row>
    <row r="188" spans="1:12" x14ac:dyDescent="0.3">
      <c r="A188">
        <v>186</v>
      </c>
      <c r="B188">
        <v>4693</v>
      </c>
      <c r="C188" t="b">
        <v>1</v>
      </c>
      <c r="D188">
        <v>8030</v>
      </c>
      <c r="E188">
        <v>8105</v>
      </c>
      <c r="F188">
        <v>197.33332999999999</v>
      </c>
      <c r="G188">
        <v>199.2</v>
      </c>
      <c r="H188">
        <v>0.99062919999999999</v>
      </c>
      <c r="I188">
        <v>9.370827E-3</v>
      </c>
      <c r="J188">
        <v>0.50235370000000001</v>
      </c>
      <c r="K188">
        <f xml:space="preserve"> -55.696 * _2026_04_17_16_25_21_23_high[[#This Row],[coeff]] + 79.57</f>
        <v>24.395916076799999</v>
      </c>
      <c r="L188">
        <f xml:space="preserve"> -55.696 * _2026_04_17_16_25_21_23_high[[#This Row],[coeff]] + 79.57</f>
        <v>24.395916076799999</v>
      </c>
    </row>
    <row r="189" spans="1:12" x14ac:dyDescent="0.3">
      <c r="A189">
        <v>187</v>
      </c>
      <c r="B189">
        <v>4709</v>
      </c>
      <c r="C189" t="b">
        <v>1</v>
      </c>
      <c r="D189">
        <v>8048</v>
      </c>
      <c r="E189">
        <v>8105</v>
      </c>
      <c r="F189">
        <v>197.33332999999999</v>
      </c>
      <c r="G189">
        <v>199.6</v>
      </c>
      <c r="H189">
        <v>0.98864390000000002</v>
      </c>
      <c r="I189">
        <v>1.1356101E-2</v>
      </c>
      <c r="J189">
        <v>0.50285524000000004</v>
      </c>
      <c r="K189">
        <f xml:space="preserve"> -55.696 * _2026_04_17_16_25_21_23_high[[#This Row],[coeff]] + 79.57</f>
        <v>24.506489345599995</v>
      </c>
      <c r="L189">
        <f xml:space="preserve"> -55.696 * _2026_04_17_16_25_21_23_high[[#This Row],[coeff]] + 79.57</f>
        <v>24.506489345599995</v>
      </c>
    </row>
    <row r="190" spans="1:12" x14ac:dyDescent="0.3">
      <c r="A190">
        <v>188</v>
      </c>
      <c r="B190">
        <v>4741</v>
      </c>
      <c r="C190" t="b">
        <v>1</v>
      </c>
      <c r="D190">
        <v>8048</v>
      </c>
      <c r="E190">
        <v>8111</v>
      </c>
      <c r="F190">
        <v>198.06666999999999</v>
      </c>
      <c r="G190">
        <v>199.6</v>
      </c>
      <c r="H190">
        <v>0.99231789999999997</v>
      </c>
      <c r="I190">
        <v>7.6820660000000004E-3</v>
      </c>
      <c r="J190">
        <v>0.50192789999999998</v>
      </c>
      <c r="K190">
        <f xml:space="preserve"> -55.696 * _2026_04_17_16_25_21_23_high[[#This Row],[coeff]] + 79.57</f>
        <v>24.301862241599999</v>
      </c>
      <c r="L190">
        <f xml:space="preserve"> -55.696 * _2026_04_17_16_25_21_23_high[[#This Row],[coeff]] + 79.57</f>
        <v>24.301862241599999</v>
      </c>
    </row>
    <row r="191" spans="1:12" x14ac:dyDescent="0.3">
      <c r="A191">
        <v>189</v>
      </c>
      <c r="B191">
        <v>4772</v>
      </c>
      <c r="C191" t="b">
        <v>1</v>
      </c>
      <c r="D191">
        <v>8037</v>
      </c>
      <c r="E191">
        <v>8087</v>
      </c>
      <c r="F191">
        <v>198.06666999999999</v>
      </c>
      <c r="G191">
        <v>198.8</v>
      </c>
      <c r="H191">
        <v>0.99631119999999995</v>
      </c>
      <c r="I191">
        <v>3.6888200000000002E-3</v>
      </c>
      <c r="J191">
        <v>0.50092393000000002</v>
      </c>
      <c r="K191">
        <f xml:space="preserve"> -55.696 * _2026_04_17_16_25_21_23_high[[#This Row],[coeff]] + 79.57</f>
        <v>24.079451404799997</v>
      </c>
      <c r="L191">
        <f xml:space="preserve"> -55.696 * _2026_04_17_16_25_21_23_high[[#This Row],[coeff]] + 79.57</f>
        <v>24.079451404799997</v>
      </c>
    </row>
    <row r="192" spans="1:12" x14ac:dyDescent="0.3">
      <c r="A192">
        <v>190</v>
      </c>
      <c r="B192">
        <v>4788</v>
      </c>
      <c r="C192" t="b">
        <v>1</v>
      </c>
      <c r="D192">
        <v>8042</v>
      </c>
      <c r="E192">
        <v>8087</v>
      </c>
      <c r="F192">
        <v>198.4</v>
      </c>
      <c r="G192">
        <v>198.4</v>
      </c>
      <c r="H192">
        <v>1</v>
      </c>
      <c r="I192">
        <v>0</v>
      </c>
      <c r="J192">
        <v>0.5</v>
      </c>
      <c r="K192">
        <f xml:space="preserve"> -55.696 * _2026_04_17_16_25_21_23_high[[#This Row],[coeff]] + 79.57</f>
        <v>23.873999999999995</v>
      </c>
      <c r="L192">
        <f xml:space="preserve"> -55.696 * _2026_04_17_16_25_21_23_high[[#This Row],[coeff]] + 79.57</f>
        <v>23.873999999999995</v>
      </c>
    </row>
    <row r="193" spans="1:12" x14ac:dyDescent="0.3">
      <c r="A193">
        <v>191</v>
      </c>
      <c r="B193">
        <v>4820</v>
      </c>
      <c r="C193" t="b">
        <v>1</v>
      </c>
      <c r="D193">
        <v>8042</v>
      </c>
      <c r="E193">
        <v>8093</v>
      </c>
      <c r="F193">
        <v>199.2</v>
      </c>
      <c r="G193">
        <v>197.6</v>
      </c>
      <c r="H193">
        <v>1.0080971999999999</v>
      </c>
      <c r="I193">
        <v>-8.0971199999999993E-3</v>
      </c>
      <c r="J193">
        <v>0.49798389999999998</v>
      </c>
      <c r="K193">
        <f xml:space="preserve"> -55.696 * _2026_04_17_16_25_21_23_high[[#This Row],[coeff]] + 79.57</f>
        <v>23.423018348799999</v>
      </c>
      <c r="L193">
        <f xml:space="preserve"> -55.696 * _2026_04_17_16_25_21_23_high[[#This Row],[coeff]] + 79.57</f>
        <v>23.423018348799999</v>
      </c>
    </row>
    <row r="194" spans="1:12" x14ac:dyDescent="0.3">
      <c r="A194">
        <v>192</v>
      </c>
      <c r="B194">
        <v>4836</v>
      </c>
      <c r="C194" t="b">
        <v>1</v>
      </c>
      <c r="D194">
        <v>8037</v>
      </c>
      <c r="E194">
        <v>8111</v>
      </c>
      <c r="F194">
        <v>200</v>
      </c>
      <c r="G194">
        <v>196.8</v>
      </c>
      <c r="H194">
        <v>1.0162601</v>
      </c>
      <c r="I194">
        <v>-1.6260146999999999E-2</v>
      </c>
      <c r="J194">
        <v>0.49596778000000002</v>
      </c>
      <c r="K194">
        <f xml:space="preserve"> -55.696 * _2026_04_17_16_25_21_23_high[[#This Row],[coeff]] + 79.57</f>
        <v>22.968377470399993</v>
      </c>
      <c r="L194">
        <f xml:space="preserve"> -55.696 * _2026_04_17_16_25_21_23_high[[#This Row],[coeff]] + 79.57</f>
        <v>22.968377470399993</v>
      </c>
    </row>
    <row r="195" spans="1:12" x14ac:dyDescent="0.3">
      <c r="A195">
        <v>193</v>
      </c>
      <c r="B195">
        <v>4852</v>
      </c>
      <c r="C195" t="b">
        <v>1</v>
      </c>
      <c r="D195">
        <v>8042</v>
      </c>
      <c r="E195">
        <v>8099</v>
      </c>
      <c r="F195">
        <v>200.33332999999999</v>
      </c>
      <c r="G195">
        <v>196</v>
      </c>
      <c r="H195">
        <v>1.0221088</v>
      </c>
      <c r="I195">
        <v>-2.2108816999999999E-2</v>
      </c>
      <c r="J195">
        <v>0.49453323999999999</v>
      </c>
      <c r="K195">
        <f xml:space="preserve"> -55.696 * _2026_04_17_16_25_21_23_high[[#This Row],[coeff]] + 79.57</f>
        <v>22.642628275199996</v>
      </c>
      <c r="L195">
        <f xml:space="preserve"> -55.696 * _2026_04_17_16_25_21_23_high[[#This Row],[coeff]] + 79.57</f>
        <v>22.642628275199996</v>
      </c>
    </row>
    <row r="196" spans="1:12" x14ac:dyDescent="0.3">
      <c r="A196">
        <v>194</v>
      </c>
      <c r="B196">
        <v>4883</v>
      </c>
      <c r="C196" t="b">
        <v>1</v>
      </c>
      <c r="D196">
        <v>8023</v>
      </c>
      <c r="E196">
        <v>8123</v>
      </c>
      <c r="F196">
        <v>200.33332999999999</v>
      </c>
      <c r="G196">
        <v>195.6</v>
      </c>
      <c r="H196">
        <v>1.0241990000000001</v>
      </c>
      <c r="I196">
        <v>-2.4198988000000001E-2</v>
      </c>
      <c r="J196">
        <v>0.49402255</v>
      </c>
      <c r="K196">
        <f xml:space="preserve"> -55.696 * _2026_04_17_16_25_21_23_high[[#This Row],[coeff]] + 79.57</f>
        <v>22.526212495999992</v>
      </c>
      <c r="L196">
        <f xml:space="preserve"> -55.696 * _2026_04_17_16_25_21_23_high[[#This Row],[coeff]] + 79.57</f>
        <v>22.526212495999992</v>
      </c>
    </row>
    <row r="197" spans="1:12" x14ac:dyDescent="0.3">
      <c r="A197">
        <v>195</v>
      </c>
      <c r="B197">
        <v>4915</v>
      </c>
      <c r="C197" t="b">
        <v>1</v>
      </c>
      <c r="D197">
        <v>8042</v>
      </c>
      <c r="E197">
        <v>8123</v>
      </c>
      <c r="F197">
        <v>200.33332999999999</v>
      </c>
      <c r="G197">
        <v>195.6</v>
      </c>
      <c r="H197">
        <v>1.0241990000000001</v>
      </c>
      <c r="I197">
        <v>-2.4198988000000001E-2</v>
      </c>
      <c r="J197">
        <v>0.49402255</v>
      </c>
      <c r="K197">
        <f xml:space="preserve"> -55.696 * _2026_04_17_16_25_21_23_high[[#This Row],[coeff]] + 79.57</f>
        <v>22.526212495999992</v>
      </c>
      <c r="L197">
        <f xml:space="preserve"> -55.696 * _2026_04_17_16_25_21_23_high[[#This Row],[coeff]] + 79.57</f>
        <v>22.526212495999992</v>
      </c>
    </row>
    <row r="198" spans="1:12" x14ac:dyDescent="0.3">
      <c r="A198">
        <v>196</v>
      </c>
      <c r="B198">
        <v>4947</v>
      </c>
      <c r="C198" t="b">
        <v>1</v>
      </c>
      <c r="D198">
        <v>8048</v>
      </c>
      <c r="E198">
        <v>8117</v>
      </c>
      <c r="F198">
        <v>199.93333000000001</v>
      </c>
      <c r="G198">
        <v>195.6</v>
      </c>
      <c r="H198">
        <v>1.022154</v>
      </c>
      <c r="I198">
        <v>-2.2154030000000002E-2</v>
      </c>
      <c r="J198">
        <v>0.49452217999999998</v>
      </c>
      <c r="K198">
        <f xml:space="preserve"> -55.696 * _2026_04_17_16_25_21_23_high[[#This Row],[coeff]] + 79.57</f>
        <v>22.640110815999996</v>
      </c>
      <c r="L198">
        <f xml:space="preserve"> -55.696 * _2026_04_17_16_25_21_23_high[[#This Row],[coeff]] + 79.57</f>
        <v>22.640110815999996</v>
      </c>
    </row>
    <row r="199" spans="1:12" x14ac:dyDescent="0.3">
      <c r="A199">
        <v>197</v>
      </c>
      <c r="B199">
        <v>4978</v>
      </c>
      <c r="C199" t="b">
        <v>1</v>
      </c>
      <c r="D199">
        <v>8030</v>
      </c>
      <c r="E199">
        <v>8111</v>
      </c>
      <c r="F199">
        <v>199.93333000000001</v>
      </c>
      <c r="G199">
        <v>195.2</v>
      </c>
      <c r="H199">
        <v>1.0242486</v>
      </c>
      <c r="I199">
        <v>-2.4248656E-2</v>
      </c>
      <c r="J199">
        <v>0.49401044999999999</v>
      </c>
      <c r="K199">
        <f xml:space="preserve"> -55.696 * _2026_04_17_16_25_21_23_high[[#This Row],[coeff]] + 79.57</f>
        <v>22.523449974399995</v>
      </c>
      <c r="L199">
        <f xml:space="preserve"> -55.696 * _2026_04_17_16_25_21_23_high[[#This Row],[coeff]] + 79.57</f>
        <v>22.523449974399995</v>
      </c>
    </row>
    <row r="200" spans="1:12" x14ac:dyDescent="0.3">
      <c r="A200">
        <v>198</v>
      </c>
      <c r="B200">
        <v>5010</v>
      </c>
      <c r="C200" t="b">
        <v>1</v>
      </c>
      <c r="D200">
        <v>8030</v>
      </c>
      <c r="E200">
        <v>8093</v>
      </c>
      <c r="F200">
        <v>199.46665999999999</v>
      </c>
      <c r="G200">
        <v>194.8</v>
      </c>
      <c r="H200">
        <v>1.0239562</v>
      </c>
      <c r="I200">
        <v>-2.3956142E-2</v>
      </c>
      <c r="J200">
        <v>0.49408184999999999</v>
      </c>
      <c r="K200">
        <f xml:space="preserve"> -55.696 * _2026_04_17_16_25_21_23_high[[#This Row],[coeff]] + 79.57</f>
        <v>22.539735484799998</v>
      </c>
      <c r="L200">
        <f xml:space="preserve"> -55.696 * _2026_04_17_16_25_21_23_high[[#This Row],[coeff]] + 79.57</f>
        <v>22.539735484799998</v>
      </c>
    </row>
    <row r="201" spans="1:12" x14ac:dyDescent="0.3">
      <c r="A201">
        <v>199</v>
      </c>
      <c r="B201">
        <v>5042</v>
      </c>
      <c r="C201" t="b">
        <v>1</v>
      </c>
      <c r="D201">
        <v>8048</v>
      </c>
      <c r="E201">
        <v>8117</v>
      </c>
      <c r="F201">
        <v>199.8</v>
      </c>
      <c r="G201">
        <v>194.4</v>
      </c>
      <c r="H201">
        <v>1.0277778</v>
      </c>
      <c r="I201">
        <v>-2.7777825999999999E-2</v>
      </c>
      <c r="J201">
        <v>0.49315065000000002</v>
      </c>
      <c r="K201">
        <f xml:space="preserve"> -55.696 * _2026_04_17_16_25_21_23_high[[#This Row],[coeff]] + 79.57</f>
        <v>22.326887651199996</v>
      </c>
      <c r="L201">
        <f xml:space="preserve"> -55.696 * _2026_04_17_16_25_21_23_high[[#This Row],[coeff]] + 79.57</f>
        <v>22.326887651199996</v>
      </c>
    </row>
    <row r="202" spans="1:12" x14ac:dyDescent="0.3">
      <c r="A202">
        <v>200</v>
      </c>
      <c r="B202">
        <v>5073</v>
      </c>
      <c r="C202" t="b">
        <v>1</v>
      </c>
      <c r="D202">
        <v>8023</v>
      </c>
      <c r="E202">
        <v>8111</v>
      </c>
      <c r="F202">
        <v>199.33332999999999</v>
      </c>
      <c r="G202">
        <v>193.2</v>
      </c>
      <c r="H202">
        <v>1.0317460000000001</v>
      </c>
      <c r="I202">
        <v>-3.1746021999999999E-2</v>
      </c>
      <c r="J202">
        <v>0.4921875</v>
      </c>
      <c r="K202">
        <f xml:space="preserve"> -55.696 * _2026_04_17_16_25_21_23_high[[#This Row],[coeff]] + 79.57</f>
        <v>22.105874783999994</v>
      </c>
      <c r="L202">
        <f xml:space="preserve"> -55.696 * _2026_04_17_16_25_21_23_high[[#This Row],[coeff]] + 79.57</f>
        <v>22.105874783999994</v>
      </c>
    </row>
    <row r="203" spans="1:12" x14ac:dyDescent="0.3">
      <c r="A203">
        <v>201</v>
      </c>
      <c r="B203">
        <v>5105</v>
      </c>
      <c r="C203" t="b">
        <v>1</v>
      </c>
      <c r="D203">
        <v>8048</v>
      </c>
      <c r="E203">
        <v>8099</v>
      </c>
      <c r="F203">
        <v>199.33332999999999</v>
      </c>
      <c r="G203">
        <v>192.8</v>
      </c>
      <c r="H203">
        <v>1.0338866</v>
      </c>
      <c r="I203">
        <v>-3.388654E-2</v>
      </c>
      <c r="J203">
        <v>0.49166949999999998</v>
      </c>
      <c r="K203">
        <f xml:space="preserve"> -55.696 * _2026_04_17_16_25_21_23_high[[#This Row],[coeff]] + 79.57</f>
        <v>21.986651926399993</v>
      </c>
      <c r="L203">
        <f xml:space="preserve"> -55.696 * _2026_04_17_16_25_21_23_high[[#This Row],[coeff]] + 79.57</f>
        <v>21.986651926399993</v>
      </c>
    </row>
    <row r="204" spans="1:12" x14ac:dyDescent="0.3">
      <c r="A204">
        <v>202</v>
      </c>
      <c r="B204">
        <v>5137</v>
      </c>
      <c r="C204" t="b">
        <v>1</v>
      </c>
      <c r="D204">
        <v>8048</v>
      </c>
      <c r="E204">
        <v>8129</v>
      </c>
      <c r="F204">
        <v>200.06666999999999</v>
      </c>
      <c r="G204">
        <v>192.4</v>
      </c>
      <c r="H204">
        <v>1.0398476000000001</v>
      </c>
      <c r="I204">
        <v>-3.9847568E-2</v>
      </c>
      <c r="J204">
        <v>0.49023267999999998</v>
      </c>
      <c r="K204">
        <f xml:space="preserve"> -55.696 * _2026_04_17_16_25_21_23_high[[#This Row],[coeff]] + 79.57</f>
        <v>21.654648070399993</v>
      </c>
      <c r="L204">
        <f xml:space="preserve"> -55.696 * _2026_04_17_16_25_21_23_high[[#This Row],[coeff]] + 79.57</f>
        <v>21.654648070399993</v>
      </c>
    </row>
    <row r="205" spans="1:12" x14ac:dyDescent="0.3">
      <c r="A205">
        <v>203</v>
      </c>
      <c r="B205">
        <v>5152</v>
      </c>
      <c r="C205" t="b">
        <v>1</v>
      </c>
      <c r="D205">
        <v>8023</v>
      </c>
      <c r="E205">
        <v>8140</v>
      </c>
      <c r="F205">
        <v>200.06666999999999</v>
      </c>
      <c r="G205">
        <v>192.8</v>
      </c>
      <c r="H205">
        <v>1.0376901999999999</v>
      </c>
      <c r="I205">
        <v>-3.769016E-2</v>
      </c>
      <c r="J205">
        <v>0.49075173999999999</v>
      </c>
      <c r="K205">
        <f xml:space="preserve"> -55.696 * _2026_04_17_16_25_21_23_high[[#This Row],[coeff]] + 79.57</f>
        <v>21.7748066208</v>
      </c>
      <c r="L205">
        <f xml:space="preserve"> -55.696 * _2026_04_17_16_25_21_23_high[[#This Row],[coeff]] + 79.57</f>
        <v>21.7748066208</v>
      </c>
    </row>
    <row r="206" spans="1:12" x14ac:dyDescent="0.3">
      <c r="A206">
        <v>204</v>
      </c>
      <c r="B206">
        <v>5184</v>
      </c>
      <c r="C206" t="b">
        <v>1</v>
      </c>
      <c r="D206">
        <v>8017</v>
      </c>
      <c r="E206">
        <v>8134</v>
      </c>
      <c r="F206">
        <v>199.13333</v>
      </c>
      <c r="G206">
        <v>194.4</v>
      </c>
      <c r="H206">
        <v>1.0243485000000001</v>
      </c>
      <c r="I206">
        <v>-2.4348443000000001E-2</v>
      </c>
      <c r="J206">
        <v>0.49398609999999998</v>
      </c>
      <c r="K206">
        <f xml:space="preserve"> -55.696 * _2026_04_17_16_25_21_23_high[[#This Row],[coeff]] + 79.57</f>
        <v>22.517885943999993</v>
      </c>
      <c r="L206">
        <f xml:space="preserve"> -55.696 * _2026_04_17_16_25_21_23_high[[#This Row],[coeff]] + 79.57</f>
        <v>22.517885943999993</v>
      </c>
    </row>
    <row r="207" spans="1:12" x14ac:dyDescent="0.3">
      <c r="A207">
        <v>205</v>
      </c>
      <c r="B207">
        <v>5216</v>
      </c>
      <c r="C207" t="b">
        <v>1</v>
      </c>
      <c r="D207">
        <v>8037</v>
      </c>
      <c r="E207">
        <v>8111</v>
      </c>
      <c r="F207">
        <v>198.8</v>
      </c>
      <c r="G207">
        <v>196</v>
      </c>
      <c r="H207">
        <v>1.0142857000000001</v>
      </c>
      <c r="I207">
        <v>-1.428573E-2</v>
      </c>
      <c r="J207">
        <v>0.4964539</v>
      </c>
      <c r="K207">
        <f xml:space="preserve"> -55.696 * _2026_04_17_16_25_21_23_high[[#This Row],[coeff]] + 79.57</f>
        <v>23.078343652799994</v>
      </c>
      <c r="L207">
        <f xml:space="preserve"> -55.696 * _2026_04_17_16_25_21_23_high[[#This Row],[coeff]] + 79.57</f>
        <v>23.078343652799994</v>
      </c>
    </row>
    <row r="208" spans="1:12" x14ac:dyDescent="0.3">
      <c r="A208">
        <v>206</v>
      </c>
      <c r="B208">
        <v>5248</v>
      </c>
      <c r="C208" t="b">
        <v>1</v>
      </c>
      <c r="D208">
        <v>8030</v>
      </c>
      <c r="E208">
        <v>8146</v>
      </c>
      <c r="F208">
        <v>198</v>
      </c>
      <c r="G208">
        <v>198.73334</v>
      </c>
      <c r="H208">
        <v>0.99630993999999995</v>
      </c>
      <c r="I208">
        <v>3.6900572000000001E-3</v>
      </c>
      <c r="J208">
        <v>0.50092420000000004</v>
      </c>
      <c r="K208">
        <f xml:space="preserve"> -55.696 * _2026_04_17_16_25_21_23_high[[#This Row],[coeff]] + 79.57</f>
        <v>24.079521581759998</v>
      </c>
      <c r="L208">
        <f xml:space="preserve"> -55.696 * _2026_04_17_16_25_21_23_high[[#This Row],[coeff]] + 79.57</f>
        <v>24.079521581759998</v>
      </c>
    </row>
    <row r="209" spans="1:12" x14ac:dyDescent="0.3">
      <c r="A209">
        <v>207</v>
      </c>
      <c r="B209">
        <v>5264</v>
      </c>
      <c r="C209" t="b">
        <v>1</v>
      </c>
      <c r="D209">
        <v>8042</v>
      </c>
      <c r="E209">
        <v>8134</v>
      </c>
      <c r="F209">
        <v>197.2</v>
      </c>
      <c r="G209">
        <v>201.46665999999999</v>
      </c>
      <c r="H209">
        <v>0.97882199999999997</v>
      </c>
      <c r="I209">
        <v>2.1178009000000001E-2</v>
      </c>
      <c r="J209">
        <v>0.5053512</v>
      </c>
      <c r="K209">
        <f xml:space="preserve"> -55.696 * _2026_04_17_16_25_21_23_high[[#This Row],[coeff]] + 79.57</f>
        <v>25.053529888</v>
      </c>
      <c r="L209">
        <f xml:space="preserve"> -55.696 * _2026_04_17_16_25_21_23_high[[#This Row],[coeff]] + 79.57</f>
        <v>25.053529888</v>
      </c>
    </row>
    <row r="210" spans="1:12" x14ac:dyDescent="0.3">
      <c r="A210">
        <v>208</v>
      </c>
      <c r="B210">
        <v>5295</v>
      </c>
      <c r="C210" t="b">
        <v>1</v>
      </c>
      <c r="D210">
        <v>8042</v>
      </c>
      <c r="E210">
        <v>8105</v>
      </c>
      <c r="F210">
        <v>196.86667</v>
      </c>
      <c r="G210">
        <v>204.2</v>
      </c>
      <c r="H210">
        <v>0.96408755000000002</v>
      </c>
      <c r="I210">
        <v>3.5912479999999997E-2</v>
      </c>
      <c r="J210">
        <v>0.50914230000000005</v>
      </c>
      <c r="K210">
        <f xml:space="preserve"> -55.696 * _2026_04_17_16_25_21_23_high[[#This Row],[coeff]] + 79.57</f>
        <v>25.874179815199994</v>
      </c>
      <c r="L210">
        <f xml:space="preserve"> -55.696 * _2026_04_17_16_25_21_23_high[[#This Row],[coeff]] + 79.57</f>
        <v>25.874179815199994</v>
      </c>
    </row>
    <row r="211" spans="1:12" x14ac:dyDescent="0.3">
      <c r="A211">
        <v>209</v>
      </c>
      <c r="B211">
        <v>5311</v>
      </c>
      <c r="C211" t="b">
        <v>1</v>
      </c>
      <c r="D211">
        <v>8054</v>
      </c>
      <c r="E211">
        <v>8134</v>
      </c>
      <c r="F211">
        <v>196.86667</v>
      </c>
      <c r="G211">
        <v>206.53334000000001</v>
      </c>
      <c r="H211">
        <v>0.95319560000000003</v>
      </c>
      <c r="I211">
        <v>4.6804413000000003E-2</v>
      </c>
      <c r="J211">
        <v>0.51198149999999998</v>
      </c>
      <c r="K211">
        <f xml:space="preserve"> -55.696 * _2026_04_17_16_25_21_23_high[[#This Row],[coeff]] + 79.57</f>
        <v>26.480817862399995</v>
      </c>
      <c r="L211">
        <f xml:space="preserve"> -55.696 * _2026_04_17_16_25_21_23_high[[#This Row],[coeff]] + 79.57</f>
        <v>26.480817862399995</v>
      </c>
    </row>
    <row r="212" spans="1:12" x14ac:dyDescent="0.3">
      <c r="A212">
        <v>210</v>
      </c>
      <c r="B212">
        <v>5343</v>
      </c>
      <c r="C212" t="b">
        <v>1</v>
      </c>
      <c r="D212">
        <v>8042</v>
      </c>
      <c r="E212">
        <v>8105</v>
      </c>
      <c r="F212">
        <v>196.86667</v>
      </c>
      <c r="G212">
        <v>208.06666999999999</v>
      </c>
      <c r="H212">
        <v>0.94617110000000004</v>
      </c>
      <c r="I212">
        <v>5.3828887999999998E-2</v>
      </c>
      <c r="J212">
        <v>0.51382939999999999</v>
      </c>
      <c r="K212">
        <f xml:space="preserve"> -55.696 * _2026_04_17_16_25_21_23_high[[#This Row],[coeff]] + 79.57</f>
        <v>26.87205441439999</v>
      </c>
      <c r="L212">
        <f xml:space="preserve"> -55.696 * _2026_04_17_16_25_21_23_high[[#This Row],[coeff]] + 79.57</f>
        <v>26.87205441439999</v>
      </c>
    </row>
    <row r="213" spans="1:12" x14ac:dyDescent="0.3">
      <c r="A213">
        <v>211</v>
      </c>
      <c r="B213">
        <v>5375</v>
      </c>
      <c r="C213" t="b">
        <v>1</v>
      </c>
      <c r="D213">
        <v>8048</v>
      </c>
      <c r="E213">
        <v>8111</v>
      </c>
      <c r="F213">
        <v>196.86667</v>
      </c>
      <c r="G213">
        <v>207.66667000000001</v>
      </c>
      <c r="H213">
        <v>0.94799359999999999</v>
      </c>
      <c r="I213">
        <v>5.2006434999999997E-2</v>
      </c>
      <c r="J213">
        <v>0.51334875999999996</v>
      </c>
      <c r="K213">
        <f xml:space="preserve"> -55.696 * _2026_04_17_16_25_21_23_high[[#This Row],[coeff]] + 79.57</f>
        <v>26.770548454399993</v>
      </c>
      <c r="L213">
        <f xml:space="preserve"> -55.696 * _2026_04_17_16_25_21_23_high[[#This Row],[coeff]] + 79.57</f>
        <v>26.770548454399993</v>
      </c>
    </row>
    <row r="214" spans="1:12" x14ac:dyDescent="0.3">
      <c r="A214">
        <v>212</v>
      </c>
      <c r="B214">
        <v>5406</v>
      </c>
      <c r="C214" t="b">
        <v>1</v>
      </c>
      <c r="D214">
        <v>8048</v>
      </c>
      <c r="E214">
        <v>8117</v>
      </c>
      <c r="F214">
        <v>197.26666</v>
      </c>
      <c r="G214">
        <v>207.26666</v>
      </c>
      <c r="H214">
        <v>0.95175295999999998</v>
      </c>
      <c r="I214">
        <v>4.8247023999999999E-2</v>
      </c>
      <c r="J214">
        <v>0.51235989999999998</v>
      </c>
      <c r="K214">
        <f xml:space="preserve"> -55.696 * _2026_04_17_16_25_21_23_high[[#This Row],[coeff]] + 79.57</f>
        <v>26.561167139839995</v>
      </c>
      <c r="L214">
        <f xml:space="preserve"> -55.696 * _2026_04_17_16_25_21_23_high[[#This Row],[coeff]] + 79.57</f>
        <v>26.561167139839995</v>
      </c>
    </row>
    <row r="215" spans="1:12" x14ac:dyDescent="0.3">
      <c r="A215">
        <v>213</v>
      </c>
      <c r="B215">
        <v>5438</v>
      </c>
      <c r="C215" t="b">
        <v>1</v>
      </c>
      <c r="D215">
        <v>8037</v>
      </c>
      <c r="E215">
        <v>8093</v>
      </c>
      <c r="F215">
        <v>198.46665999999999</v>
      </c>
      <c r="G215">
        <v>206.86667</v>
      </c>
      <c r="H215">
        <v>0.95939410000000003</v>
      </c>
      <c r="I215">
        <v>4.0605910000000002E-2</v>
      </c>
      <c r="J215">
        <v>0.51036185000000001</v>
      </c>
      <c r="K215">
        <f xml:space="preserve"> -55.696 * _2026_04_17_16_25_21_23_high[[#This Row],[coeff]] + 79.57</f>
        <v>26.135586206399992</v>
      </c>
      <c r="L215">
        <f xml:space="preserve"> -55.696 * _2026_04_17_16_25_21_23_high[[#This Row],[coeff]] + 79.57</f>
        <v>26.135586206399992</v>
      </c>
    </row>
    <row r="216" spans="1:12" x14ac:dyDescent="0.3">
      <c r="A216">
        <v>214</v>
      </c>
      <c r="B216">
        <v>5470</v>
      </c>
      <c r="C216" t="b">
        <v>1</v>
      </c>
      <c r="D216">
        <v>8048</v>
      </c>
      <c r="E216">
        <v>8129</v>
      </c>
      <c r="F216">
        <v>198.86667</v>
      </c>
      <c r="G216">
        <v>206.46665999999999</v>
      </c>
      <c r="H216">
        <v>0.9631902</v>
      </c>
      <c r="I216">
        <v>3.6809771999999998E-2</v>
      </c>
      <c r="J216">
        <v>0.50937504</v>
      </c>
      <c r="K216">
        <f xml:space="preserve"> -55.696 * _2026_04_17_16_25_21_23_high[[#This Row],[coeff]] + 79.57</f>
        <v>25.924158620799993</v>
      </c>
      <c r="L216">
        <f xml:space="preserve"> -55.696 * _2026_04_17_16_25_21_23_high[[#This Row],[coeff]] + 79.57</f>
        <v>25.924158620799993</v>
      </c>
    </row>
    <row r="217" spans="1:12" x14ac:dyDescent="0.3">
      <c r="A217">
        <v>215</v>
      </c>
      <c r="B217">
        <v>5501</v>
      </c>
      <c r="C217" t="b">
        <v>1</v>
      </c>
      <c r="D217">
        <v>8054</v>
      </c>
      <c r="E217">
        <v>8081</v>
      </c>
      <c r="F217">
        <v>200.06666999999999</v>
      </c>
      <c r="G217">
        <v>206.46665999999999</v>
      </c>
      <c r="H217">
        <v>0.96900229999999998</v>
      </c>
      <c r="I217">
        <v>3.0997712E-2</v>
      </c>
      <c r="J217">
        <v>0.50787145</v>
      </c>
      <c r="K217">
        <f xml:space="preserve"> -55.696 * _2026_04_17_16_25_21_23_high[[#This Row],[coeff]] + 79.57</f>
        <v>25.600447899199999</v>
      </c>
      <c r="L217">
        <f xml:space="preserve"> -55.696 * _2026_04_17_16_25_21_23_high[[#This Row],[coeff]] + 79.57</f>
        <v>25.600447899199999</v>
      </c>
    </row>
    <row r="218" spans="1:12" x14ac:dyDescent="0.3">
      <c r="A218">
        <v>216</v>
      </c>
      <c r="B218">
        <v>5533</v>
      </c>
      <c r="C218" t="b">
        <v>1</v>
      </c>
      <c r="D218">
        <v>8023</v>
      </c>
      <c r="E218">
        <v>8117</v>
      </c>
      <c r="F218">
        <v>201.26666</v>
      </c>
      <c r="G218">
        <v>206.86667</v>
      </c>
      <c r="H218">
        <v>0.97292940000000006</v>
      </c>
      <c r="I218">
        <v>2.7070606000000001E-2</v>
      </c>
      <c r="J218">
        <v>0.50686050000000005</v>
      </c>
      <c r="K218">
        <f xml:space="preserve"> -55.696 * _2026_04_17_16_25_21_23_high[[#This Row],[coeff]] + 79.57</f>
        <v>25.381724137599996</v>
      </c>
      <c r="L218">
        <f xml:space="preserve"> -55.696 * _2026_04_17_16_25_21_23_high[[#This Row],[coeff]] + 79.57</f>
        <v>25.381724137599996</v>
      </c>
    </row>
    <row r="219" spans="1:12" x14ac:dyDescent="0.3">
      <c r="A219">
        <v>217</v>
      </c>
      <c r="B219">
        <v>5564</v>
      </c>
      <c r="C219" t="b">
        <v>1</v>
      </c>
      <c r="D219">
        <v>8048</v>
      </c>
      <c r="E219">
        <v>8111</v>
      </c>
      <c r="F219">
        <v>201.26666</v>
      </c>
      <c r="G219">
        <v>206.86667</v>
      </c>
      <c r="H219">
        <v>0.97292940000000006</v>
      </c>
      <c r="I219">
        <v>2.7070606000000001E-2</v>
      </c>
      <c r="J219">
        <v>0.50686050000000005</v>
      </c>
      <c r="K219">
        <f xml:space="preserve"> -55.696 * _2026_04_17_16_25_21_23_high[[#This Row],[coeff]] + 79.57</f>
        <v>25.381724137599996</v>
      </c>
      <c r="L219">
        <f xml:space="preserve"> -55.696 * _2026_04_17_16_25_21_23_high[[#This Row],[coeff]] + 79.57</f>
        <v>25.381724137599996</v>
      </c>
    </row>
    <row r="220" spans="1:12" x14ac:dyDescent="0.3">
      <c r="A220">
        <v>218</v>
      </c>
      <c r="B220">
        <v>5580</v>
      </c>
      <c r="C220" t="b">
        <v>1</v>
      </c>
      <c r="D220">
        <v>8037</v>
      </c>
      <c r="E220">
        <v>8099</v>
      </c>
      <c r="F220">
        <v>201.26666</v>
      </c>
      <c r="G220">
        <v>206.46665999999999</v>
      </c>
      <c r="H220">
        <v>0.97481435999999999</v>
      </c>
      <c r="I220">
        <v>2.518565E-2</v>
      </c>
      <c r="J220">
        <v>0.50637670000000001</v>
      </c>
      <c r="K220">
        <f xml:space="preserve"> -55.696 * _2026_04_17_16_25_21_23_high[[#This Row],[coeff]] + 79.57</f>
        <v>25.276739405439997</v>
      </c>
      <c r="L220">
        <f xml:space="preserve"> -55.696 * _2026_04_17_16_25_21_23_high[[#This Row],[coeff]] + 79.57</f>
        <v>25.276739405439997</v>
      </c>
    </row>
    <row r="221" spans="1:12" x14ac:dyDescent="0.3">
      <c r="A221">
        <v>219</v>
      </c>
      <c r="B221">
        <v>5596</v>
      </c>
      <c r="C221" t="b">
        <v>1</v>
      </c>
      <c r="D221">
        <v>8037</v>
      </c>
      <c r="E221">
        <v>8111</v>
      </c>
      <c r="F221">
        <v>202.2</v>
      </c>
      <c r="G221">
        <v>205.26666</v>
      </c>
      <c r="H221">
        <v>0.98506009999999999</v>
      </c>
      <c r="I221">
        <v>1.4939911E-2</v>
      </c>
      <c r="J221">
        <v>0.50376310000000002</v>
      </c>
      <c r="K221">
        <f xml:space="preserve"> -55.696 * _2026_04_17_16_25_21_23_high[[#This Row],[coeff]] + 79.57</f>
        <v>24.706092670399997</v>
      </c>
      <c r="L221">
        <f xml:space="preserve"> -55.696 * _2026_04_17_16_25_21_23_high[[#This Row],[coeff]] + 79.57</f>
        <v>24.706092670399997</v>
      </c>
    </row>
    <row r="222" spans="1:12" x14ac:dyDescent="0.3">
      <c r="A222">
        <v>220</v>
      </c>
      <c r="B222">
        <v>5627</v>
      </c>
      <c r="C222" t="b">
        <v>1</v>
      </c>
      <c r="D222">
        <v>8048</v>
      </c>
      <c r="E222">
        <v>8123</v>
      </c>
      <c r="F222">
        <v>202.2</v>
      </c>
      <c r="G222">
        <v>204.06666999999999</v>
      </c>
      <c r="H222">
        <v>0.99085265</v>
      </c>
      <c r="I222">
        <v>9.1473479999999996E-3</v>
      </c>
      <c r="J222">
        <v>0.50229734000000004</v>
      </c>
      <c r="K222">
        <f xml:space="preserve"> -55.696 * _2026_04_17_16_25_21_23_high[[#This Row],[coeff]] + 79.57</f>
        <v>24.383470805599998</v>
      </c>
      <c r="L222">
        <f xml:space="preserve"> -55.696 * _2026_04_17_16_25_21_23_high[[#This Row],[coeff]] + 79.57</f>
        <v>24.383470805599998</v>
      </c>
    </row>
    <row r="223" spans="1:12" x14ac:dyDescent="0.3">
      <c r="A223">
        <v>221</v>
      </c>
      <c r="B223">
        <v>5643</v>
      </c>
      <c r="C223" t="b">
        <v>1</v>
      </c>
      <c r="D223">
        <v>8030</v>
      </c>
      <c r="E223">
        <v>8111</v>
      </c>
      <c r="F223">
        <v>202.66667000000001</v>
      </c>
      <c r="G223">
        <v>202.53334000000001</v>
      </c>
      <c r="H223">
        <v>1.0006583</v>
      </c>
      <c r="I223">
        <v>-6.5831775999999995E-4</v>
      </c>
      <c r="J223">
        <v>0.49983546000000001</v>
      </c>
      <c r="K223">
        <f xml:space="preserve"> -55.696 * _2026_04_17_16_25_21_23_high[[#This Row],[coeff]] + 79.57</f>
        <v>23.837335323199994</v>
      </c>
      <c r="L223">
        <f xml:space="preserve"> -55.696 * _2026_04_17_16_25_21_23_high[[#This Row],[coeff]] + 79.57</f>
        <v>23.837335323199994</v>
      </c>
    </row>
    <row r="224" spans="1:12" x14ac:dyDescent="0.3">
      <c r="A224">
        <v>222</v>
      </c>
      <c r="B224">
        <v>5659</v>
      </c>
      <c r="C224" t="b">
        <v>1</v>
      </c>
      <c r="D224">
        <v>8042</v>
      </c>
      <c r="E224">
        <v>8105</v>
      </c>
      <c r="F224">
        <v>203.13333</v>
      </c>
      <c r="G224">
        <v>201</v>
      </c>
      <c r="H224">
        <v>1.0106135999999999</v>
      </c>
      <c r="I224">
        <v>-1.0613589E-2</v>
      </c>
      <c r="J224">
        <v>0.49736061999999998</v>
      </c>
      <c r="K224">
        <f xml:space="preserve"> -55.696 * _2026_04_17_16_25_21_23_high[[#This Row],[coeff]] + 79.57</f>
        <v>23.282864934400003</v>
      </c>
      <c r="L224">
        <f xml:space="preserve"> -55.696 * _2026_04_17_16_25_21_23_high[[#This Row],[coeff]] + 79.57</f>
        <v>23.282864934400003</v>
      </c>
    </row>
    <row r="225" spans="1:12" x14ac:dyDescent="0.3">
      <c r="A225">
        <v>223</v>
      </c>
      <c r="B225">
        <v>5675</v>
      </c>
      <c r="C225" t="b">
        <v>1</v>
      </c>
      <c r="D225">
        <v>8060</v>
      </c>
      <c r="E225">
        <v>8099</v>
      </c>
      <c r="F225">
        <v>203.46665999999999</v>
      </c>
      <c r="G225">
        <v>199.46665999999999</v>
      </c>
      <c r="H225">
        <v>1.0200534999999999</v>
      </c>
      <c r="I225">
        <v>-2.0053476000000001E-2</v>
      </c>
      <c r="J225">
        <v>0.49503639999999999</v>
      </c>
      <c r="K225">
        <f xml:space="preserve"> -55.696 * _2026_04_17_16_25_21_23_high[[#This Row],[coeff]] + 79.57</f>
        <v>22.757100264000002</v>
      </c>
      <c r="L225">
        <f xml:space="preserve"> -55.696 * _2026_04_17_16_25_21_23_high[[#This Row],[coeff]] + 79.57</f>
        <v>22.757100264000002</v>
      </c>
    </row>
    <row r="226" spans="1:12" x14ac:dyDescent="0.3">
      <c r="A226">
        <v>224</v>
      </c>
      <c r="B226">
        <v>5691</v>
      </c>
      <c r="C226" t="b">
        <v>1</v>
      </c>
      <c r="D226">
        <v>8037</v>
      </c>
      <c r="E226">
        <v>8111</v>
      </c>
      <c r="F226">
        <v>203.46665999999999</v>
      </c>
      <c r="G226">
        <v>197.93333000000001</v>
      </c>
      <c r="H226">
        <v>1.0279555</v>
      </c>
      <c r="I226">
        <v>-2.7955499000000002E-2</v>
      </c>
      <c r="J226">
        <v>0.49310746999999999</v>
      </c>
      <c r="K226">
        <f xml:space="preserve"> -55.696 * _2026_04_17_16_25_21_23_high[[#This Row],[coeff]] + 79.57</f>
        <v>22.316990471999993</v>
      </c>
      <c r="L226">
        <f xml:space="preserve"> -55.696 * _2026_04_17_16_25_21_23_high[[#This Row],[coeff]] + 79.57</f>
        <v>22.316990471999993</v>
      </c>
    </row>
    <row r="227" spans="1:12" x14ac:dyDescent="0.3">
      <c r="A227">
        <v>225</v>
      </c>
      <c r="B227">
        <v>5707</v>
      </c>
      <c r="C227" t="b">
        <v>1</v>
      </c>
      <c r="D227">
        <v>8030</v>
      </c>
      <c r="E227">
        <v>8105</v>
      </c>
      <c r="F227">
        <v>203.13333</v>
      </c>
      <c r="G227">
        <v>196</v>
      </c>
      <c r="H227">
        <v>1.0363945999999999</v>
      </c>
      <c r="I227">
        <v>-3.6394547999999999E-2</v>
      </c>
      <c r="J227">
        <v>0.49106398000000001</v>
      </c>
      <c r="K227">
        <f xml:space="preserve"> -55.696 * _2026_04_17_16_25_21_23_high[[#This Row],[coeff]] + 79.57</f>
        <v>21.846966358399996</v>
      </c>
      <c r="L227">
        <f xml:space="preserve"> -55.696 * _2026_04_17_16_25_21_23_high[[#This Row],[coeff]] + 79.57</f>
        <v>21.846966358399996</v>
      </c>
    </row>
    <row r="228" spans="1:12" x14ac:dyDescent="0.3">
      <c r="A228">
        <v>226</v>
      </c>
      <c r="B228">
        <v>5739</v>
      </c>
      <c r="C228" t="b">
        <v>1</v>
      </c>
      <c r="D228">
        <v>8017</v>
      </c>
      <c r="E228">
        <v>8140</v>
      </c>
      <c r="F228">
        <v>202.8</v>
      </c>
      <c r="G228">
        <v>195.6</v>
      </c>
      <c r="H228">
        <v>1.0368097999999999</v>
      </c>
      <c r="I228">
        <v>-3.6809799999999997E-2</v>
      </c>
      <c r="J228">
        <v>0.49096384999999998</v>
      </c>
      <c r="K228">
        <f xml:space="preserve"> -55.696 * _2026_04_17_16_25_21_23_high[[#This Row],[coeff]] + 79.57</f>
        <v>21.823841379200005</v>
      </c>
      <c r="L228">
        <f xml:space="preserve"> -55.696 * _2026_04_17_16_25_21_23_high[[#This Row],[coeff]] + 79.57</f>
        <v>21.823841379200005</v>
      </c>
    </row>
    <row r="229" spans="1:12" x14ac:dyDescent="0.3">
      <c r="A229">
        <v>227</v>
      </c>
      <c r="B229">
        <v>5755</v>
      </c>
      <c r="C229" t="b">
        <v>1</v>
      </c>
      <c r="D229">
        <v>8048</v>
      </c>
      <c r="E229">
        <v>8105</v>
      </c>
      <c r="F229">
        <v>202.06666999999999</v>
      </c>
      <c r="G229">
        <v>195.2</v>
      </c>
      <c r="H229">
        <v>1.0351775999999999</v>
      </c>
      <c r="I229">
        <v>-3.5177607E-2</v>
      </c>
      <c r="J229">
        <v>0.49135760000000001</v>
      </c>
      <c r="K229">
        <f xml:space="preserve"> -55.696 * _2026_04_17_16_25_21_23_high[[#This Row],[coeff]] + 79.57</f>
        <v>21.9147483904</v>
      </c>
      <c r="L229">
        <f xml:space="preserve"> -55.696 * _2026_04_17_16_25_21_23_high[[#This Row],[coeff]] + 79.57</f>
        <v>21.9147483904</v>
      </c>
    </row>
    <row r="230" spans="1:12" x14ac:dyDescent="0.3">
      <c r="A230">
        <v>228</v>
      </c>
      <c r="B230">
        <v>5786</v>
      </c>
      <c r="C230" t="b">
        <v>1</v>
      </c>
      <c r="D230">
        <v>8054</v>
      </c>
      <c r="E230">
        <v>8099</v>
      </c>
      <c r="F230">
        <v>201.33332999999999</v>
      </c>
      <c r="G230">
        <v>194.8</v>
      </c>
      <c r="H230">
        <v>1.0335386</v>
      </c>
      <c r="I230">
        <v>-3.353863E-2</v>
      </c>
      <c r="J230">
        <v>0.49175363999999999</v>
      </c>
      <c r="K230">
        <f xml:space="preserve"> -55.696 * _2026_04_17_16_25_21_23_high[[#This Row],[coeff]] + 79.57</f>
        <v>22.006034134399997</v>
      </c>
      <c r="L230">
        <f xml:space="preserve"> -55.696 * _2026_04_17_16_25_21_23_high[[#This Row],[coeff]] + 79.57</f>
        <v>22.006034134399997</v>
      </c>
    </row>
    <row r="231" spans="1:12" x14ac:dyDescent="0.3">
      <c r="A231">
        <v>229</v>
      </c>
      <c r="B231">
        <v>5818</v>
      </c>
      <c r="C231" t="b">
        <v>1</v>
      </c>
      <c r="D231">
        <v>8030</v>
      </c>
      <c r="E231">
        <v>8099</v>
      </c>
      <c r="F231">
        <v>200.13333</v>
      </c>
      <c r="G231">
        <v>194.4</v>
      </c>
      <c r="H231">
        <v>1.0294924999999999</v>
      </c>
      <c r="I231">
        <v>-2.9492477E-2</v>
      </c>
      <c r="J231">
        <v>0.49273401</v>
      </c>
      <c r="K231">
        <f xml:space="preserve"> -55.696 * _2026_04_17_16_25_21_23_high[[#This Row],[coeff]] + 79.57</f>
        <v>22.231385719999999</v>
      </c>
      <c r="L231">
        <f xml:space="preserve"> -55.696 * _2026_04_17_16_25_21_23_high[[#This Row],[coeff]] + 79.57</f>
        <v>22.231385719999999</v>
      </c>
    </row>
    <row r="232" spans="1:12" x14ac:dyDescent="0.3">
      <c r="A232">
        <v>230</v>
      </c>
      <c r="B232">
        <v>5851</v>
      </c>
      <c r="C232" t="b">
        <v>1</v>
      </c>
      <c r="D232">
        <v>8048</v>
      </c>
      <c r="E232">
        <v>8099</v>
      </c>
      <c r="F232">
        <v>200.13333</v>
      </c>
      <c r="G232">
        <v>193.6</v>
      </c>
      <c r="H232">
        <v>1.0337464999999999</v>
      </c>
      <c r="I232">
        <v>-3.3746513999999998E-2</v>
      </c>
      <c r="J232">
        <v>0.49170335999999998</v>
      </c>
      <c r="K232">
        <f xml:space="preserve"> -55.696 * _2026_04_17_16_25_21_23_high[[#This Row],[coeff]] + 79.57</f>
        <v>21.994454936000004</v>
      </c>
      <c r="L232">
        <f xml:space="preserve"> -55.696 * _2026_04_17_16_25_21_23_high[[#This Row],[coeff]] + 79.57</f>
        <v>21.994454936000004</v>
      </c>
    </row>
    <row r="233" spans="1:12" x14ac:dyDescent="0.3">
      <c r="A233">
        <v>231</v>
      </c>
      <c r="B233">
        <v>5890</v>
      </c>
      <c r="C233" t="b">
        <v>1</v>
      </c>
      <c r="D233">
        <v>8042</v>
      </c>
      <c r="E233">
        <v>8129</v>
      </c>
      <c r="F233">
        <v>200.13333</v>
      </c>
      <c r="G233">
        <v>192.4</v>
      </c>
      <c r="H233">
        <v>1.0401940000000001</v>
      </c>
      <c r="I233">
        <v>-4.0194064000000002E-2</v>
      </c>
      <c r="J233">
        <v>0.49014943999999999</v>
      </c>
      <c r="K233">
        <f xml:space="preserve"> -55.696 * _2026_04_17_16_25_21_23_high[[#This Row],[coeff]] + 79.57</f>
        <v>21.635354975999995</v>
      </c>
      <c r="L233">
        <f xml:space="preserve"> -55.696 * _2026_04_17_16_25_21_23_high[[#This Row],[coeff]] + 79.57</f>
        <v>21.635354975999995</v>
      </c>
    </row>
    <row r="234" spans="1:12" x14ac:dyDescent="0.3">
      <c r="A234">
        <v>232</v>
      </c>
      <c r="B234">
        <v>5922</v>
      </c>
      <c r="C234" t="b">
        <v>1</v>
      </c>
      <c r="D234">
        <v>8042</v>
      </c>
      <c r="E234">
        <v>8093</v>
      </c>
      <c r="F234">
        <v>199.73334</v>
      </c>
      <c r="G234">
        <v>191.6</v>
      </c>
      <c r="H234">
        <v>1.0424496000000001</v>
      </c>
      <c r="I234">
        <v>-4.2449533999999997E-2</v>
      </c>
      <c r="J234">
        <v>0.48960817000000001</v>
      </c>
      <c r="K234">
        <f xml:space="preserve"> -55.696 * _2026_04_17_16_25_21_23_high[[#This Row],[coeff]] + 79.57</f>
        <v>21.50972707839999</v>
      </c>
      <c r="L234">
        <f xml:space="preserve"> -55.696 * _2026_04_17_16_25_21_23_high[[#This Row],[coeff]] + 79.57</f>
        <v>21.50972707839999</v>
      </c>
    </row>
    <row r="235" spans="1:12" x14ac:dyDescent="0.3">
      <c r="A235">
        <v>233</v>
      </c>
      <c r="B235">
        <v>5954</v>
      </c>
      <c r="C235" t="b">
        <v>1</v>
      </c>
      <c r="D235">
        <v>8042</v>
      </c>
      <c r="E235">
        <v>8105</v>
      </c>
      <c r="F235">
        <v>199.33332999999999</v>
      </c>
      <c r="G235">
        <v>190.8</v>
      </c>
      <c r="H235">
        <v>1.0447238999999999</v>
      </c>
      <c r="I235">
        <v>-4.4723923999999998E-2</v>
      </c>
      <c r="J235">
        <v>0.48906359999999999</v>
      </c>
      <c r="K235">
        <f xml:space="preserve"> -55.696 * _2026_04_17_16_25_21_23_high[[#This Row],[coeff]] + 79.57</f>
        <v>21.383057665599999</v>
      </c>
      <c r="L235">
        <f xml:space="preserve"> -55.696 * _2026_04_17_16_25_21_23_high[[#This Row],[coeff]] + 79.57</f>
        <v>21.383057665599999</v>
      </c>
    </row>
    <row r="236" spans="1:12" x14ac:dyDescent="0.3">
      <c r="A236">
        <v>234</v>
      </c>
      <c r="B236">
        <v>5986</v>
      </c>
      <c r="C236" t="b">
        <v>1</v>
      </c>
      <c r="D236">
        <v>8037</v>
      </c>
      <c r="E236">
        <v>8105</v>
      </c>
      <c r="F236">
        <v>199.66667000000001</v>
      </c>
      <c r="G236">
        <v>190.4</v>
      </c>
      <c r="H236">
        <v>1.0486696</v>
      </c>
      <c r="I236">
        <v>-4.8669530000000003E-2</v>
      </c>
      <c r="J236">
        <v>0.48812169999999999</v>
      </c>
      <c r="K236">
        <f xml:space="preserve"> -55.696 * _2026_04_17_16_25_21_23_high[[#This Row],[coeff]] + 79.57</f>
        <v>21.163297958399994</v>
      </c>
      <c r="L236">
        <f xml:space="preserve"> -55.696 * _2026_04_17_16_25_21_23_high[[#This Row],[coeff]] + 79.57</f>
        <v>21.163297958399994</v>
      </c>
    </row>
    <row r="237" spans="1:12" x14ac:dyDescent="0.3">
      <c r="A237">
        <v>235</v>
      </c>
      <c r="B237">
        <v>6019</v>
      </c>
      <c r="C237" t="b">
        <v>1</v>
      </c>
      <c r="D237">
        <v>8042</v>
      </c>
      <c r="E237">
        <v>8099</v>
      </c>
      <c r="F237">
        <v>200</v>
      </c>
      <c r="G237">
        <v>190</v>
      </c>
      <c r="H237">
        <v>1.0526316</v>
      </c>
      <c r="I237">
        <v>-5.2631579999999997E-2</v>
      </c>
      <c r="J237">
        <v>0.48717949999999999</v>
      </c>
      <c r="K237">
        <f xml:space="preserve"> -55.696 * _2026_04_17_16_25_21_23_high[[#This Row],[coeff]] + 79.57</f>
        <v>20.942630406399992</v>
      </c>
      <c r="L237">
        <f xml:space="preserve"> -55.696 * _2026_04_17_16_25_21_23_high[[#This Row],[coeff]] + 79.57</f>
        <v>20.942630406399992</v>
      </c>
    </row>
    <row r="238" spans="1:12" x14ac:dyDescent="0.3">
      <c r="A238">
        <v>236</v>
      </c>
      <c r="B238">
        <v>6049</v>
      </c>
      <c r="C238" t="b">
        <v>1</v>
      </c>
      <c r="D238">
        <v>8054</v>
      </c>
      <c r="E238">
        <v>8105</v>
      </c>
      <c r="F238">
        <v>200.33332999999999</v>
      </c>
      <c r="G238">
        <v>189.6</v>
      </c>
      <c r="H238">
        <v>1.0566103</v>
      </c>
      <c r="I238">
        <v>-5.6610345999999999E-2</v>
      </c>
      <c r="J238">
        <v>0.48623696</v>
      </c>
      <c r="K238">
        <f xml:space="preserve"> -55.696 * _2026_04_17_16_25_21_23_high[[#This Row],[coeff]] + 79.57</f>
        <v>20.721032731199998</v>
      </c>
      <c r="L238">
        <f xml:space="preserve"> -55.696 * _2026_04_17_16_25_21_23_high[[#This Row],[coeff]] + 79.57</f>
        <v>20.721032731199998</v>
      </c>
    </row>
    <row r="239" spans="1:12" x14ac:dyDescent="0.3">
      <c r="A239">
        <v>237</v>
      </c>
      <c r="B239">
        <v>6081</v>
      </c>
      <c r="C239" t="b">
        <v>1</v>
      </c>
      <c r="D239">
        <v>8023</v>
      </c>
      <c r="E239">
        <v>8111</v>
      </c>
      <c r="F239">
        <v>200.66667000000001</v>
      </c>
      <c r="G239">
        <v>189.2</v>
      </c>
      <c r="H239">
        <v>1.0606061</v>
      </c>
      <c r="I239">
        <v>-6.0606103000000001E-2</v>
      </c>
      <c r="J239">
        <v>0.48529410000000001</v>
      </c>
      <c r="K239">
        <f xml:space="preserve"> -55.696 * _2026_04_17_16_25_21_23_high[[#This Row],[coeff]] + 79.57</f>
        <v>20.498482654399993</v>
      </c>
      <c r="L239">
        <f xml:space="preserve"> -55.696 * _2026_04_17_16_25_21_23_high[[#This Row],[coeff]] + 79.57</f>
        <v>20.498482654399993</v>
      </c>
    </row>
    <row r="240" spans="1:12" x14ac:dyDescent="0.3">
      <c r="A240">
        <v>238</v>
      </c>
      <c r="B240">
        <v>6112</v>
      </c>
      <c r="C240" t="b">
        <v>1</v>
      </c>
      <c r="D240">
        <v>8048</v>
      </c>
      <c r="E240">
        <v>8129</v>
      </c>
      <c r="F240">
        <v>200.66667000000001</v>
      </c>
      <c r="G240">
        <v>188.8</v>
      </c>
      <c r="H240">
        <v>1.0628531000000001</v>
      </c>
      <c r="I240">
        <v>-6.2853119999999998E-2</v>
      </c>
      <c r="J240">
        <v>0.48476550000000002</v>
      </c>
      <c r="K240">
        <f xml:space="preserve"> -55.696 * _2026_04_17_16_25_21_23_high[[#This Row],[coeff]] + 79.57</f>
        <v>20.373333742399993</v>
      </c>
      <c r="L240">
        <f xml:space="preserve"> -55.696 * _2026_04_17_16_25_21_23_high[[#This Row],[coeff]] + 79.57</f>
        <v>20.373333742399993</v>
      </c>
    </row>
    <row r="241" spans="1:12" x14ac:dyDescent="0.3">
      <c r="A241">
        <v>239</v>
      </c>
      <c r="B241">
        <v>6128</v>
      </c>
      <c r="C241" t="b">
        <v>1</v>
      </c>
      <c r="D241">
        <v>8037</v>
      </c>
      <c r="E241">
        <v>8093</v>
      </c>
      <c r="F241">
        <v>200.66667000000001</v>
      </c>
      <c r="G241">
        <v>188.4</v>
      </c>
      <c r="H241">
        <v>1.0651097</v>
      </c>
      <c r="I241">
        <v>-6.5109760000000003E-2</v>
      </c>
      <c r="J241">
        <v>0.48423579999999999</v>
      </c>
      <c r="K241">
        <f xml:space="preserve"> -55.696 * _2026_04_17_16_25_21_23_high[[#This Row],[coeff]] + 79.57</f>
        <v>20.247650148799991</v>
      </c>
      <c r="L241">
        <f xml:space="preserve"> -55.696 * _2026_04_17_16_25_21_23_high[[#This Row],[coeff]] + 79.57</f>
        <v>20.247650148799991</v>
      </c>
    </row>
    <row r="242" spans="1:12" x14ac:dyDescent="0.3">
      <c r="A242">
        <v>240</v>
      </c>
      <c r="B242">
        <v>6159</v>
      </c>
      <c r="C242" t="b">
        <v>1</v>
      </c>
      <c r="D242">
        <v>8037</v>
      </c>
      <c r="E242">
        <v>8105</v>
      </c>
      <c r="F242">
        <v>200.66667000000001</v>
      </c>
      <c r="G242">
        <v>188.4</v>
      </c>
      <c r="H242">
        <v>1.0651097</v>
      </c>
      <c r="I242">
        <v>-6.5109760000000003E-2</v>
      </c>
      <c r="J242">
        <v>0.48423579999999999</v>
      </c>
      <c r="K242">
        <f xml:space="preserve"> -55.696 * _2026_04_17_16_25_21_23_high[[#This Row],[coeff]] + 79.57</f>
        <v>20.247650148799991</v>
      </c>
      <c r="L242">
        <f xml:space="preserve"> -55.696 * _2026_04_17_16_25_21_23_high[[#This Row],[coeff]] + 79.57</f>
        <v>20.247650148799991</v>
      </c>
    </row>
    <row r="243" spans="1:12" x14ac:dyDescent="0.3">
      <c r="A243">
        <v>241</v>
      </c>
      <c r="B243">
        <v>6191</v>
      </c>
      <c r="C243" t="b">
        <v>1</v>
      </c>
      <c r="D243">
        <v>8054</v>
      </c>
      <c r="E243">
        <v>8105</v>
      </c>
      <c r="F243">
        <v>200.66667000000001</v>
      </c>
      <c r="G243">
        <v>188.4</v>
      </c>
      <c r="H243">
        <v>1.0651097</v>
      </c>
      <c r="I243">
        <v>-6.5109760000000003E-2</v>
      </c>
      <c r="J243">
        <v>0.48423579999999999</v>
      </c>
      <c r="K243">
        <f xml:space="preserve"> -55.696 * _2026_04_17_16_25_21_23_high[[#This Row],[coeff]] + 79.57</f>
        <v>20.247650148799991</v>
      </c>
      <c r="L243">
        <f xml:space="preserve"> -55.696 * _2026_04_17_16_25_21_23_high[[#This Row],[coeff]] + 79.57</f>
        <v>20.247650148799991</v>
      </c>
    </row>
    <row r="244" spans="1:12" x14ac:dyDescent="0.3">
      <c r="A244">
        <v>242</v>
      </c>
      <c r="B244">
        <v>6222</v>
      </c>
      <c r="C244" t="b">
        <v>1</v>
      </c>
      <c r="D244">
        <v>8037</v>
      </c>
      <c r="E244">
        <v>8117</v>
      </c>
      <c r="F244">
        <v>200.66667000000001</v>
      </c>
      <c r="G244">
        <v>188.4</v>
      </c>
      <c r="H244">
        <v>1.0651097</v>
      </c>
      <c r="I244">
        <v>-6.5109760000000003E-2</v>
      </c>
      <c r="J244">
        <v>0.48423579999999999</v>
      </c>
      <c r="K244">
        <f xml:space="preserve"> -55.696 * _2026_04_17_16_25_21_23_high[[#This Row],[coeff]] + 79.57</f>
        <v>20.247650148799991</v>
      </c>
      <c r="L244">
        <f xml:space="preserve"> -55.696 * _2026_04_17_16_25_21_23_high[[#This Row],[coeff]] + 79.57</f>
        <v>20.247650148799991</v>
      </c>
    </row>
    <row r="245" spans="1:12" x14ac:dyDescent="0.3">
      <c r="A245">
        <v>243</v>
      </c>
      <c r="B245">
        <v>6255</v>
      </c>
      <c r="C245" t="b">
        <v>1</v>
      </c>
      <c r="D245">
        <v>8030</v>
      </c>
      <c r="E245">
        <v>8111</v>
      </c>
      <c r="F245">
        <v>200.66667000000001</v>
      </c>
      <c r="G245">
        <v>188.4</v>
      </c>
      <c r="H245">
        <v>1.0651097</v>
      </c>
      <c r="I245">
        <v>-6.5109760000000003E-2</v>
      </c>
      <c r="J245">
        <v>0.48423579999999999</v>
      </c>
      <c r="K245">
        <f xml:space="preserve"> -55.696 * _2026_04_17_16_25_21_23_high[[#This Row],[coeff]] + 79.57</f>
        <v>20.247650148799991</v>
      </c>
      <c r="L245">
        <f xml:space="preserve"> -55.696 * _2026_04_17_16_25_21_23_high[[#This Row],[coeff]] + 79.57</f>
        <v>20.247650148799991</v>
      </c>
    </row>
    <row r="246" spans="1:12" x14ac:dyDescent="0.3">
      <c r="A246">
        <v>244</v>
      </c>
      <c r="B246">
        <v>6270</v>
      </c>
      <c r="C246" t="b">
        <v>1</v>
      </c>
      <c r="D246">
        <v>8037</v>
      </c>
      <c r="E246">
        <v>8099</v>
      </c>
      <c r="F246">
        <v>201.13333</v>
      </c>
      <c r="G246">
        <v>188.4</v>
      </c>
      <c r="H246">
        <v>1.0675867000000001</v>
      </c>
      <c r="I246">
        <v>-6.7586720000000003E-2</v>
      </c>
      <c r="J246">
        <v>0.48365565999999999</v>
      </c>
      <c r="K246">
        <f xml:space="preserve"> -55.696 * _2026_04_17_16_25_21_23_high[[#This Row],[coeff]] + 79.57</f>
        <v>20.10969115679999</v>
      </c>
      <c r="L246">
        <f xml:space="preserve"> -55.696 * _2026_04_17_16_25_21_23_high[[#This Row],[coeff]] + 79.57</f>
        <v>20.10969115679999</v>
      </c>
    </row>
    <row r="247" spans="1:12" x14ac:dyDescent="0.3">
      <c r="A247">
        <v>245</v>
      </c>
      <c r="B247">
        <v>6302</v>
      </c>
      <c r="C247" t="b">
        <v>1</v>
      </c>
      <c r="D247">
        <v>8054</v>
      </c>
      <c r="E247">
        <v>8093</v>
      </c>
      <c r="F247">
        <v>200.4</v>
      </c>
      <c r="G247">
        <v>188.8</v>
      </c>
      <c r="H247">
        <v>1.0614406000000001</v>
      </c>
      <c r="I247">
        <v>-6.1440627999999997E-2</v>
      </c>
      <c r="J247">
        <v>0.48509762000000001</v>
      </c>
      <c r="K247">
        <f xml:space="preserve"> -55.696 * _2026_04_17_16_25_21_23_high[[#This Row],[coeff]] + 79.57</f>
        <v>20.452004342399995</v>
      </c>
      <c r="L247">
        <f xml:space="preserve"> -55.696 * _2026_04_17_16_25_21_23_high[[#This Row],[coeff]] + 79.57</f>
        <v>20.452004342399995</v>
      </c>
    </row>
    <row r="248" spans="1:12" x14ac:dyDescent="0.3">
      <c r="A248">
        <v>246</v>
      </c>
      <c r="B248">
        <v>6319</v>
      </c>
      <c r="C248" t="b">
        <v>1</v>
      </c>
      <c r="D248">
        <v>8042</v>
      </c>
      <c r="E248">
        <v>8111</v>
      </c>
      <c r="F248">
        <v>199.66667000000001</v>
      </c>
      <c r="G248">
        <v>189.6</v>
      </c>
      <c r="H248">
        <v>1.0530942999999999</v>
      </c>
      <c r="I248">
        <v>-5.3094227000000001E-2</v>
      </c>
      <c r="J248">
        <v>0.48706972999999998</v>
      </c>
      <c r="K248">
        <f xml:space="preserve"> -55.696 * _2026_04_17_16_25_21_23_high[[#This Row],[coeff]] + 79.57</f>
        <v>20.916859867199996</v>
      </c>
      <c r="L248">
        <f xml:space="preserve"> -55.696 * _2026_04_17_16_25_21_23_high[[#This Row],[coeff]] + 79.57</f>
        <v>20.916859867199996</v>
      </c>
    </row>
    <row r="249" spans="1:12" x14ac:dyDescent="0.3">
      <c r="A249">
        <v>247</v>
      </c>
      <c r="B249">
        <v>6350</v>
      </c>
      <c r="C249" t="b">
        <v>1</v>
      </c>
      <c r="D249">
        <v>8037</v>
      </c>
      <c r="E249">
        <v>8117</v>
      </c>
      <c r="F249">
        <v>199.33332999999999</v>
      </c>
      <c r="G249">
        <v>190.4</v>
      </c>
      <c r="H249">
        <v>1.0469187</v>
      </c>
      <c r="I249">
        <v>-4.6918776000000002E-2</v>
      </c>
      <c r="J249">
        <v>0.48853915999999997</v>
      </c>
      <c r="K249">
        <f xml:space="preserve"> -55.696 * _2026_04_17_16_25_21_23_high[[#This Row],[coeff]] + 79.57</f>
        <v>21.260816084799998</v>
      </c>
      <c r="L249">
        <f xml:space="preserve"> -55.696 * _2026_04_17_16_25_21_23_high[[#This Row],[coeff]] + 79.57</f>
        <v>21.260816084799998</v>
      </c>
    </row>
    <row r="250" spans="1:12" x14ac:dyDescent="0.3">
      <c r="A250">
        <v>248</v>
      </c>
      <c r="B250">
        <v>6382</v>
      </c>
      <c r="C250" t="b">
        <v>1</v>
      </c>
      <c r="D250">
        <v>8054</v>
      </c>
      <c r="E250">
        <v>8099</v>
      </c>
      <c r="F250">
        <v>199.33332999999999</v>
      </c>
      <c r="G250">
        <v>190.4</v>
      </c>
      <c r="H250">
        <v>1.0469187</v>
      </c>
      <c r="I250">
        <v>-4.6918776000000002E-2</v>
      </c>
      <c r="J250">
        <v>0.48853915999999997</v>
      </c>
      <c r="K250">
        <f xml:space="preserve"> -55.696 * _2026_04_17_16_25_21_23_high[[#This Row],[coeff]] + 79.57</f>
        <v>21.260816084799998</v>
      </c>
      <c r="L250">
        <f xml:space="preserve"> -55.696 * _2026_04_17_16_25_21_23_high[[#This Row],[coeff]] + 79.57</f>
        <v>21.260816084799998</v>
      </c>
    </row>
    <row r="251" spans="1:12" x14ac:dyDescent="0.3">
      <c r="A251">
        <v>249</v>
      </c>
      <c r="B251">
        <v>6413</v>
      </c>
      <c r="C251" t="b">
        <v>1</v>
      </c>
      <c r="D251">
        <v>8037</v>
      </c>
      <c r="E251">
        <v>8111</v>
      </c>
      <c r="F251">
        <v>199.33332999999999</v>
      </c>
      <c r="G251">
        <v>190.8</v>
      </c>
      <c r="H251">
        <v>1.0447238999999999</v>
      </c>
      <c r="I251">
        <v>-4.4723923999999998E-2</v>
      </c>
      <c r="J251">
        <v>0.48906359999999999</v>
      </c>
      <c r="K251">
        <f xml:space="preserve"> -55.696 * _2026_04_17_16_25_21_23_high[[#This Row],[coeff]] + 79.57</f>
        <v>21.383057665599999</v>
      </c>
      <c r="L251">
        <f xml:space="preserve"> -55.696 * _2026_04_17_16_25_21_23_high[[#This Row],[coeff]] + 79.57</f>
        <v>21.383057665599999</v>
      </c>
    </row>
    <row r="252" spans="1:12" x14ac:dyDescent="0.3">
      <c r="A252">
        <v>250</v>
      </c>
      <c r="B252">
        <v>6429</v>
      </c>
      <c r="C252" t="b">
        <v>1</v>
      </c>
      <c r="D252">
        <v>8037</v>
      </c>
      <c r="E252">
        <v>8105</v>
      </c>
      <c r="F252">
        <v>199</v>
      </c>
      <c r="G252">
        <v>191.2</v>
      </c>
      <c r="H252">
        <v>1.0407949999999999</v>
      </c>
      <c r="I252">
        <v>-4.0794995000000001E-2</v>
      </c>
      <c r="J252">
        <v>0.49000510000000003</v>
      </c>
      <c r="K252">
        <f xml:space="preserve"> -55.696 * _2026_04_17_16_25_21_23_high[[#This Row],[coeff]] + 79.57</f>
        <v>21.601881679999998</v>
      </c>
      <c r="L252">
        <f xml:space="preserve"> -55.696 * _2026_04_17_16_25_21_23_high[[#This Row],[coeff]] + 79.57</f>
        <v>21.601881679999998</v>
      </c>
    </row>
    <row r="253" spans="1:12" x14ac:dyDescent="0.3">
      <c r="A253">
        <v>251</v>
      </c>
      <c r="B253">
        <v>6445</v>
      </c>
      <c r="C253" t="b">
        <v>1</v>
      </c>
      <c r="D253">
        <v>8054</v>
      </c>
      <c r="E253">
        <v>8105</v>
      </c>
      <c r="F253">
        <v>198.66667000000001</v>
      </c>
      <c r="G253">
        <v>191.2</v>
      </c>
      <c r="H253">
        <v>1.0390516999999999</v>
      </c>
      <c r="I253">
        <v>-3.905165E-2</v>
      </c>
      <c r="J253">
        <v>0.49042406999999999</v>
      </c>
      <c r="K253">
        <f xml:space="preserve"> -55.696 * _2026_04_17_16_25_21_23_high[[#This Row],[coeff]] + 79.57</f>
        <v>21.698976516800002</v>
      </c>
      <c r="L253">
        <f xml:space="preserve"> -55.696 * _2026_04_17_16_25_21_23_high[[#This Row],[coeff]] + 79.57</f>
        <v>21.698976516800002</v>
      </c>
    </row>
    <row r="254" spans="1:12" x14ac:dyDescent="0.3">
      <c r="A254">
        <v>252</v>
      </c>
      <c r="B254">
        <v>6477</v>
      </c>
      <c r="C254" t="b">
        <v>1</v>
      </c>
      <c r="D254">
        <v>8042</v>
      </c>
      <c r="E254">
        <v>8099</v>
      </c>
      <c r="F254">
        <v>198.66667000000001</v>
      </c>
      <c r="G254">
        <v>191.2</v>
      </c>
      <c r="H254">
        <v>1.0390516999999999</v>
      </c>
      <c r="I254">
        <v>-3.905165E-2</v>
      </c>
      <c r="J254">
        <v>0.49042406999999999</v>
      </c>
      <c r="K254">
        <f xml:space="preserve"> -55.696 * _2026_04_17_16_25_21_23_high[[#This Row],[coeff]] + 79.57</f>
        <v>21.698976516800002</v>
      </c>
      <c r="L254">
        <f xml:space="preserve"> -55.696 * _2026_04_17_16_25_21_23_high[[#This Row],[coeff]] + 79.57</f>
        <v>21.698976516800002</v>
      </c>
    </row>
    <row r="255" spans="1:12" x14ac:dyDescent="0.3">
      <c r="A255">
        <v>253</v>
      </c>
      <c r="B255">
        <v>6509</v>
      </c>
      <c r="C255" t="b">
        <v>1</v>
      </c>
      <c r="D255">
        <v>8030</v>
      </c>
      <c r="E255">
        <v>8117</v>
      </c>
      <c r="F255">
        <v>198.33332999999999</v>
      </c>
      <c r="G255">
        <v>191.2</v>
      </c>
      <c r="H255">
        <v>1.0373082</v>
      </c>
      <c r="I255">
        <v>-3.7308220000000003E-2</v>
      </c>
      <c r="J255">
        <v>0.49084373999999997</v>
      </c>
      <c r="K255">
        <f xml:space="preserve"> -55.696 * _2026_04_17_16_25_21_23_high[[#This Row],[coeff]] + 79.57</f>
        <v>21.796082492799997</v>
      </c>
      <c r="L255">
        <f xml:space="preserve"> -55.696 * _2026_04_17_16_25_21_23_high[[#This Row],[coeff]] + 79.57</f>
        <v>21.796082492799997</v>
      </c>
    </row>
    <row r="256" spans="1:12" x14ac:dyDescent="0.3">
      <c r="A256">
        <v>254</v>
      </c>
      <c r="B256">
        <v>6541</v>
      </c>
      <c r="C256" t="b">
        <v>1</v>
      </c>
      <c r="D256">
        <v>8048</v>
      </c>
      <c r="E256">
        <v>8117</v>
      </c>
      <c r="F256">
        <v>198.33332999999999</v>
      </c>
      <c r="G256">
        <v>191.2</v>
      </c>
      <c r="H256">
        <v>1.0373082</v>
      </c>
      <c r="I256">
        <v>-3.7308220000000003E-2</v>
      </c>
      <c r="J256">
        <v>0.49084373999999997</v>
      </c>
      <c r="K256">
        <f xml:space="preserve"> -55.696 * _2026_04_17_16_25_21_23_high[[#This Row],[coeff]] + 79.57</f>
        <v>21.796082492799997</v>
      </c>
      <c r="L256">
        <f xml:space="preserve"> -55.696 * _2026_04_17_16_25_21_23_high[[#This Row],[coeff]] + 79.57</f>
        <v>21.796082492799997</v>
      </c>
    </row>
    <row r="257" spans="1:12" x14ac:dyDescent="0.3">
      <c r="A257">
        <v>255</v>
      </c>
      <c r="B257">
        <v>6572</v>
      </c>
      <c r="C257" t="b">
        <v>1</v>
      </c>
      <c r="D257">
        <v>8037</v>
      </c>
      <c r="E257">
        <v>8111</v>
      </c>
      <c r="F257">
        <v>198.66667000000001</v>
      </c>
      <c r="G257">
        <v>191.6</v>
      </c>
      <c r="H257">
        <v>1.0368824000000001</v>
      </c>
      <c r="I257">
        <v>-3.6882386000000003E-2</v>
      </c>
      <c r="J257">
        <v>0.49094638000000002</v>
      </c>
      <c r="K257">
        <f xml:space="preserve"> -55.696 * _2026_04_17_16_25_21_23_high[[#This Row],[coeff]] + 79.57</f>
        <v>21.819797849599993</v>
      </c>
      <c r="L257">
        <f xml:space="preserve"> -55.696 * _2026_04_17_16_25_21_23_high[[#This Row],[coeff]] + 79.57</f>
        <v>21.819797849599993</v>
      </c>
    </row>
    <row r="258" spans="1:12" x14ac:dyDescent="0.3">
      <c r="A258">
        <v>256</v>
      </c>
      <c r="B258">
        <v>6588</v>
      </c>
      <c r="C258" t="b">
        <v>1</v>
      </c>
      <c r="D258">
        <v>8042</v>
      </c>
      <c r="E258">
        <v>8105</v>
      </c>
      <c r="F258">
        <v>199</v>
      </c>
      <c r="G258">
        <v>192</v>
      </c>
      <c r="H258">
        <v>1.0364583999999999</v>
      </c>
      <c r="I258">
        <v>-3.6458332000000003E-2</v>
      </c>
      <c r="J258">
        <v>0.4910486</v>
      </c>
      <c r="K258">
        <f xml:space="preserve"> -55.696 * _2026_04_17_16_25_21_23_high[[#This Row],[coeff]] + 79.57</f>
        <v>21.843412953600001</v>
      </c>
      <c r="L258">
        <f xml:space="preserve"> -55.696 * _2026_04_17_16_25_21_23_high[[#This Row],[coeff]] + 79.57</f>
        <v>21.843412953600001</v>
      </c>
    </row>
    <row r="259" spans="1:12" x14ac:dyDescent="0.3">
      <c r="A259">
        <v>257</v>
      </c>
      <c r="B259">
        <v>6604</v>
      </c>
      <c r="C259" t="b">
        <v>1</v>
      </c>
      <c r="D259">
        <v>8060</v>
      </c>
      <c r="E259">
        <v>8093</v>
      </c>
      <c r="F259">
        <v>199.33332999999999</v>
      </c>
      <c r="G259">
        <v>192.4</v>
      </c>
      <c r="H259">
        <v>1.036036</v>
      </c>
      <c r="I259">
        <v>-3.6036039999999998E-2</v>
      </c>
      <c r="J259">
        <v>0.49115039999999999</v>
      </c>
      <c r="K259">
        <f xml:space="preserve"> -55.696 * _2026_04_17_16_25_21_23_high[[#This Row],[coeff]] + 79.57</f>
        <v>21.866938943999997</v>
      </c>
      <c r="L259">
        <f xml:space="preserve"> -55.696 * _2026_04_17_16_25_21_23_high[[#This Row],[coeff]] + 79.57</f>
        <v>21.866938943999997</v>
      </c>
    </row>
    <row r="260" spans="1:12" x14ac:dyDescent="0.3">
      <c r="A260">
        <v>258</v>
      </c>
      <c r="B260">
        <v>6620</v>
      </c>
      <c r="C260" t="b">
        <v>1</v>
      </c>
      <c r="D260">
        <v>8060</v>
      </c>
      <c r="E260">
        <v>8111</v>
      </c>
      <c r="F260">
        <v>200.06666999999999</v>
      </c>
      <c r="G260">
        <v>192.8</v>
      </c>
      <c r="H260">
        <v>1.0376901999999999</v>
      </c>
      <c r="I260">
        <v>-3.769016E-2</v>
      </c>
      <c r="J260">
        <v>0.49075173999999999</v>
      </c>
      <c r="K260">
        <f xml:space="preserve"> -55.696 * _2026_04_17_16_25_21_23_high[[#This Row],[coeff]] + 79.57</f>
        <v>21.7748066208</v>
      </c>
      <c r="L260">
        <f xml:space="preserve"> -55.696 * _2026_04_17_16_25_21_23_high[[#This Row],[coeff]] + 79.57</f>
        <v>21.7748066208</v>
      </c>
    </row>
    <row r="261" spans="1:12" x14ac:dyDescent="0.3">
      <c r="A261">
        <v>259</v>
      </c>
      <c r="B261">
        <v>6652</v>
      </c>
      <c r="C261" t="b">
        <v>1</v>
      </c>
      <c r="D261">
        <v>8037</v>
      </c>
      <c r="E261">
        <v>8099</v>
      </c>
      <c r="F261">
        <v>200.4</v>
      </c>
      <c r="G261">
        <v>192.8</v>
      </c>
      <c r="H261">
        <v>1.0394190000000001</v>
      </c>
      <c r="I261">
        <v>-3.9419040000000002E-2</v>
      </c>
      <c r="J261">
        <v>0.49033569999999999</v>
      </c>
      <c r="K261">
        <f xml:space="preserve"> -55.696 * _2026_04_17_16_25_21_23_high[[#This Row],[coeff]] + 79.57</f>
        <v>21.67851937599999</v>
      </c>
      <c r="L261">
        <f xml:space="preserve"> -55.696 * _2026_04_17_16_25_21_23_high[[#This Row],[coeff]] + 79.57</f>
        <v>21.67851937599999</v>
      </c>
    </row>
    <row r="262" spans="1:12" x14ac:dyDescent="0.3">
      <c r="A262">
        <v>260</v>
      </c>
      <c r="B262">
        <v>6683</v>
      </c>
      <c r="C262" t="b">
        <v>1</v>
      </c>
      <c r="D262">
        <v>8054</v>
      </c>
      <c r="E262">
        <v>8081</v>
      </c>
      <c r="F262">
        <v>201.53334000000001</v>
      </c>
      <c r="G262">
        <v>192.4</v>
      </c>
      <c r="H262">
        <v>1.0474706</v>
      </c>
      <c r="I262">
        <v>-4.7470617999999999E-2</v>
      </c>
      <c r="J262">
        <v>0.48840749999999999</v>
      </c>
      <c r="K262">
        <f xml:space="preserve"> -55.696 * _2026_04_17_16_25_21_23_high[[#This Row],[coeff]] + 79.57</f>
        <v>21.230077462399997</v>
      </c>
      <c r="L262">
        <f xml:space="preserve"> -55.696 * _2026_04_17_16_25_21_23_high[[#This Row],[coeff]] + 79.57</f>
        <v>21.230077462399997</v>
      </c>
    </row>
    <row r="263" spans="1:12" x14ac:dyDescent="0.3">
      <c r="A263">
        <v>261</v>
      </c>
      <c r="B263">
        <v>6715</v>
      </c>
      <c r="C263" t="b">
        <v>1</v>
      </c>
      <c r="D263">
        <v>8060</v>
      </c>
      <c r="E263">
        <v>8111</v>
      </c>
      <c r="F263">
        <v>203.06666999999999</v>
      </c>
      <c r="G263">
        <v>191.6</v>
      </c>
      <c r="H263">
        <v>1.0598468999999999</v>
      </c>
      <c r="I263">
        <v>-5.9846863E-2</v>
      </c>
      <c r="J263">
        <v>0.48547298</v>
      </c>
      <c r="K263">
        <f xml:space="preserve"> -55.696 * _2026_04_17_16_25_21_23_high[[#This Row],[coeff]] + 79.57</f>
        <v>20.5407670576</v>
      </c>
      <c r="L263">
        <f xml:space="preserve"> -55.696 * _2026_04_17_16_25_21_23_high[[#This Row],[coeff]] + 79.57</f>
        <v>20.5407670576</v>
      </c>
    </row>
    <row r="264" spans="1:12" x14ac:dyDescent="0.3">
      <c r="A264">
        <v>262</v>
      </c>
      <c r="B264">
        <v>6747</v>
      </c>
      <c r="C264" t="b">
        <v>1</v>
      </c>
      <c r="D264">
        <v>8071</v>
      </c>
      <c r="E264">
        <v>8099</v>
      </c>
      <c r="F264">
        <v>204.6</v>
      </c>
      <c r="G264">
        <v>190.8</v>
      </c>
      <c r="H264">
        <v>1.072327</v>
      </c>
      <c r="I264">
        <v>-7.2327059999999999E-2</v>
      </c>
      <c r="J264">
        <v>0.48254930000000001</v>
      </c>
      <c r="K264">
        <f xml:space="preserve"> -55.696 * _2026_04_17_16_25_21_23_high[[#This Row],[coeff]] + 79.57</f>
        <v>19.845675407999991</v>
      </c>
      <c r="L264">
        <f xml:space="preserve"> -55.696 * _2026_04_17_16_25_21_23_high[[#This Row],[coeff]] + 79.57</f>
        <v>19.845675407999991</v>
      </c>
    </row>
    <row r="265" spans="1:12" x14ac:dyDescent="0.3">
      <c r="A265">
        <v>263</v>
      </c>
      <c r="B265">
        <v>6779</v>
      </c>
      <c r="C265" t="b">
        <v>1</v>
      </c>
      <c r="D265">
        <v>8054</v>
      </c>
      <c r="E265">
        <v>8140</v>
      </c>
      <c r="F265">
        <v>205.4</v>
      </c>
      <c r="G265">
        <v>190.8</v>
      </c>
      <c r="H265">
        <v>1.0765198</v>
      </c>
      <c r="I265">
        <v>-7.6519870000000004E-2</v>
      </c>
      <c r="J265">
        <v>0.48157495</v>
      </c>
      <c r="K265">
        <f xml:space="preserve"> -55.696 * _2026_04_17_16_25_21_23_high[[#This Row],[coeff]] + 79.57</f>
        <v>19.612153219199996</v>
      </c>
      <c r="L265">
        <f xml:space="preserve"> -55.696 * _2026_04_17_16_25_21_23_high[[#This Row],[coeff]] + 79.57</f>
        <v>19.612153219199996</v>
      </c>
    </row>
    <row r="266" spans="1:12" x14ac:dyDescent="0.3">
      <c r="A266">
        <v>264</v>
      </c>
      <c r="B266">
        <v>6795</v>
      </c>
      <c r="C266" t="b">
        <v>1</v>
      </c>
      <c r="D266">
        <v>8030</v>
      </c>
      <c r="E266">
        <v>8105</v>
      </c>
      <c r="F266">
        <v>206.2</v>
      </c>
      <c r="G266">
        <v>190.4</v>
      </c>
      <c r="H266">
        <v>1.0829833</v>
      </c>
      <c r="I266">
        <v>-8.2983210000000002E-2</v>
      </c>
      <c r="J266">
        <v>0.48008070000000003</v>
      </c>
      <c r="K266">
        <f xml:space="preserve"> -55.696 * _2026_04_17_16_25_21_23_high[[#This Row],[coeff]] + 79.57</f>
        <v>19.252162123199994</v>
      </c>
      <c r="L266">
        <f xml:space="preserve"> -55.696 * _2026_04_17_16_25_21_23_high[[#This Row],[coeff]] + 79.57</f>
        <v>19.252162123199994</v>
      </c>
    </row>
    <row r="267" spans="1:12" x14ac:dyDescent="0.3">
      <c r="A267">
        <v>265</v>
      </c>
      <c r="B267">
        <v>6810</v>
      </c>
      <c r="C267" t="b">
        <v>1</v>
      </c>
      <c r="D267">
        <v>8042</v>
      </c>
      <c r="E267">
        <v>8111</v>
      </c>
      <c r="F267">
        <v>207.33332999999999</v>
      </c>
      <c r="G267">
        <v>190.4</v>
      </c>
      <c r="H267">
        <v>1.0889355999999999</v>
      </c>
      <c r="I267">
        <v>-8.8935583999999998E-2</v>
      </c>
      <c r="J267">
        <v>0.47871268</v>
      </c>
      <c r="K267">
        <f xml:space="preserve"> -55.696 * _2026_04_17_16_25_21_23_high[[#This Row],[coeff]] + 79.57</f>
        <v>18.920642822399998</v>
      </c>
      <c r="L267">
        <f xml:space="preserve"> -55.696 * _2026_04_17_16_25_21_23_high[[#This Row],[coeff]] + 79.57</f>
        <v>18.920642822399998</v>
      </c>
    </row>
    <row r="268" spans="1:12" x14ac:dyDescent="0.3">
      <c r="A268">
        <v>266</v>
      </c>
      <c r="B268">
        <v>6842</v>
      </c>
      <c r="C268" t="b">
        <v>1</v>
      </c>
      <c r="D268">
        <v>8048</v>
      </c>
      <c r="E268">
        <v>8105</v>
      </c>
      <c r="F268">
        <v>208.06666999999999</v>
      </c>
      <c r="G268">
        <v>190.4</v>
      </c>
      <c r="H268">
        <v>1.0927871</v>
      </c>
      <c r="I268">
        <v>-9.2787149999999999E-2</v>
      </c>
      <c r="J268">
        <v>0.47783165999999999</v>
      </c>
      <c r="K268">
        <f xml:space="preserve"> -55.696 * _2026_04_17_16_25_21_23_high[[#This Row],[coeff]] + 79.57</f>
        <v>18.706129678399996</v>
      </c>
      <c r="L268">
        <f xml:space="preserve"> -55.696 * _2026_04_17_16_25_21_23_high[[#This Row],[coeff]] + 79.57</f>
        <v>18.706129678399996</v>
      </c>
    </row>
    <row r="269" spans="1:12" x14ac:dyDescent="0.3">
      <c r="A269">
        <v>267</v>
      </c>
      <c r="B269">
        <v>6858</v>
      </c>
      <c r="C269" t="b">
        <v>1</v>
      </c>
      <c r="D269">
        <v>8023</v>
      </c>
      <c r="E269">
        <v>8093</v>
      </c>
      <c r="F269">
        <v>208.06666999999999</v>
      </c>
      <c r="G269">
        <v>190.4</v>
      </c>
      <c r="H269">
        <v>1.0927871</v>
      </c>
      <c r="I269">
        <v>-9.2787149999999999E-2</v>
      </c>
      <c r="J269">
        <v>0.47783165999999999</v>
      </c>
      <c r="K269">
        <f xml:space="preserve"> -55.696 * _2026_04_17_16_25_21_23_high[[#This Row],[coeff]] + 79.57</f>
        <v>18.706129678399996</v>
      </c>
      <c r="L269">
        <f xml:space="preserve"> -55.696 * _2026_04_17_16_25_21_23_high[[#This Row],[coeff]] + 79.57</f>
        <v>18.706129678399996</v>
      </c>
    </row>
    <row r="270" spans="1:12" x14ac:dyDescent="0.3">
      <c r="A270">
        <v>268</v>
      </c>
      <c r="B270">
        <v>6890</v>
      </c>
      <c r="C270" t="b">
        <v>1</v>
      </c>
      <c r="D270">
        <v>8042</v>
      </c>
      <c r="E270">
        <v>8081</v>
      </c>
      <c r="F270">
        <v>208.4</v>
      </c>
      <c r="G270">
        <v>190.4</v>
      </c>
      <c r="H270">
        <v>1.0945379</v>
      </c>
      <c r="I270">
        <v>-9.4537819999999995E-2</v>
      </c>
      <c r="J270">
        <v>0.47743229999999998</v>
      </c>
      <c r="K270">
        <f xml:space="preserve"> -55.696 * _2026_04_17_16_25_21_23_high[[#This Row],[coeff]] + 79.57</f>
        <v>18.608617121599998</v>
      </c>
      <c r="L270">
        <f xml:space="preserve"> -55.696 * _2026_04_17_16_25_21_23_high[[#This Row],[coeff]] + 79.57</f>
        <v>18.608617121599998</v>
      </c>
    </row>
    <row r="271" spans="1:12" x14ac:dyDescent="0.3">
      <c r="A271">
        <v>269</v>
      </c>
      <c r="B271">
        <v>6905</v>
      </c>
      <c r="C271" t="b">
        <v>1</v>
      </c>
      <c r="D271">
        <v>8054</v>
      </c>
      <c r="E271">
        <v>8075</v>
      </c>
      <c r="F271">
        <v>208.4</v>
      </c>
      <c r="G271">
        <v>189.6</v>
      </c>
      <c r="H271">
        <v>1.099156</v>
      </c>
      <c r="I271">
        <v>-9.9156049999999996E-2</v>
      </c>
      <c r="J271">
        <v>0.47638193000000001</v>
      </c>
      <c r="K271">
        <f xml:space="preserve"> -55.696 * _2026_04_17_16_25_21_23_high[[#This Row],[coeff]] + 79.57</f>
        <v>18.351407423999994</v>
      </c>
      <c r="L271">
        <f xml:space="preserve"> -55.696 * _2026_04_17_16_25_21_23_high[[#This Row],[coeff]] + 79.57</f>
        <v>18.351407423999994</v>
      </c>
    </row>
    <row r="272" spans="1:12" x14ac:dyDescent="0.3">
      <c r="A272">
        <v>270</v>
      </c>
      <c r="B272">
        <v>6921</v>
      </c>
      <c r="C272" t="b">
        <v>1</v>
      </c>
      <c r="D272">
        <v>8030</v>
      </c>
      <c r="E272">
        <v>8087</v>
      </c>
      <c r="F272">
        <v>208.4</v>
      </c>
      <c r="G272">
        <v>188</v>
      </c>
      <c r="H272">
        <v>1.1085106</v>
      </c>
      <c r="I272">
        <v>-0.108510606</v>
      </c>
      <c r="J272">
        <v>0.47426844000000001</v>
      </c>
      <c r="K272">
        <f xml:space="preserve"> -55.696 * _2026_04_17_16_25_21_23_high[[#This Row],[coeff]] + 79.57</f>
        <v>17.830393622399995</v>
      </c>
      <c r="L272">
        <f xml:space="preserve"> -55.696 * _2026_04_17_16_25_21_23_high[[#This Row],[coeff]] + 79.57</f>
        <v>17.830393622399995</v>
      </c>
    </row>
    <row r="273" spans="1:12" x14ac:dyDescent="0.3">
      <c r="A273">
        <v>271</v>
      </c>
      <c r="B273">
        <v>6937</v>
      </c>
      <c r="C273" t="b">
        <v>1</v>
      </c>
      <c r="D273">
        <v>8023</v>
      </c>
      <c r="E273">
        <v>8093</v>
      </c>
      <c r="F273">
        <v>207.6</v>
      </c>
      <c r="G273">
        <v>186.4</v>
      </c>
      <c r="H273">
        <v>1.113734</v>
      </c>
      <c r="I273">
        <v>-0.11373398</v>
      </c>
      <c r="J273">
        <v>0.47309643000000001</v>
      </c>
      <c r="K273">
        <f xml:space="preserve"> -55.696 * _2026_04_17_16_25_21_23_high[[#This Row],[coeff]] + 79.57</f>
        <v>17.539471135999996</v>
      </c>
      <c r="L273">
        <f xml:space="preserve"> -55.696 * _2026_04_17_16_25_21_23_high[[#This Row],[coeff]] + 79.57</f>
        <v>17.539471135999996</v>
      </c>
    </row>
    <row r="274" spans="1:12" x14ac:dyDescent="0.3">
      <c r="A274">
        <v>272</v>
      </c>
      <c r="B274">
        <v>6953</v>
      </c>
      <c r="C274" t="b">
        <v>1</v>
      </c>
      <c r="D274">
        <v>8048</v>
      </c>
      <c r="E274">
        <v>8099</v>
      </c>
      <c r="F274">
        <v>207.6</v>
      </c>
      <c r="G274">
        <v>184.8</v>
      </c>
      <c r="H274">
        <v>1.1233766000000001</v>
      </c>
      <c r="I274">
        <v>-0.12337664</v>
      </c>
      <c r="J274">
        <v>0.47094797999999999</v>
      </c>
      <c r="K274">
        <f xml:space="preserve"> -55.696 * _2026_04_17_16_25_21_23_high[[#This Row],[coeff]] + 79.57</f>
        <v>17.002416886399992</v>
      </c>
      <c r="L274">
        <f xml:space="preserve"> -55.696 * _2026_04_17_16_25_21_23_high[[#This Row],[coeff]] + 79.57</f>
        <v>17.002416886399992</v>
      </c>
    </row>
    <row r="275" spans="1:12" x14ac:dyDescent="0.3">
      <c r="A275">
        <v>273</v>
      </c>
      <c r="B275">
        <v>6986</v>
      </c>
      <c r="C275" t="b">
        <v>1</v>
      </c>
      <c r="D275">
        <v>8017</v>
      </c>
      <c r="E275">
        <v>8117</v>
      </c>
      <c r="F275">
        <v>206.4</v>
      </c>
      <c r="G275">
        <v>183.6</v>
      </c>
      <c r="H275">
        <v>1.1241829000000001</v>
      </c>
      <c r="I275">
        <v>-0.12418294000000001</v>
      </c>
      <c r="J275">
        <v>0.47076926000000002</v>
      </c>
      <c r="K275">
        <f xml:space="preserve"> -55.696 * _2026_04_17_16_25_21_23_high[[#This Row],[coeff]] + 79.57</f>
        <v>16.95750920159999</v>
      </c>
      <c r="L275">
        <f xml:space="preserve"> -55.696 * _2026_04_17_16_25_21_23_high[[#This Row],[coeff]] + 79.57</f>
        <v>16.95750920159999</v>
      </c>
    </row>
    <row r="276" spans="1:12" x14ac:dyDescent="0.3">
      <c r="A276">
        <v>274</v>
      </c>
      <c r="B276">
        <v>7017</v>
      </c>
      <c r="C276" t="b">
        <v>1</v>
      </c>
      <c r="D276">
        <v>8042</v>
      </c>
      <c r="E276">
        <v>8105</v>
      </c>
      <c r="F276">
        <v>205.6</v>
      </c>
      <c r="G276">
        <v>183.2</v>
      </c>
      <c r="H276">
        <v>1.1222707999999999</v>
      </c>
      <c r="I276">
        <v>-0.12227079</v>
      </c>
      <c r="J276">
        <v>0.47119343000000002</v>
      </c>
      <c r="K276">
        <f xml:space="preserve"> -55.696 * _2026_04_17_16_25_21_23_high[[#This Row],[coeff]] + 79.57</f>
        <v>17.064005523200002</v>
      </c>
      <c r="L276">
        <f xml:space="preserve"> -55.696 * _2026_04_17_16_25_21_23_high[[#This Row],[coeff]] + 79.57</f>
        <v>17.064005523200002</v>
      </c>
    </row>
    <row r="277" spans="1:12" x14ac:dyDescent="0.3">
      <c r="A277">
        <v>275</v>
      </c>
      <c r="B277">
        <v>7048</v>
      </c>
      <c r="C277" t="b">
        <v>1</v>
      </c>
      <c r="D277">
        <v>8037</v>
      </c>
      <c r="E277">
        <v>8117</v>
      </c>
      <c r="F277">
        <v>204.46665999999999</v>
      </c>
      <c r="G277">
        <v>183.6</v>
      </c>
      <c r="H277">
        <v>1.1136528000000001</v>
      </c>
      <c r="I277">
        <v>-0.113652796</v>
      </c>
      <c r="J277">
        <v>0.4731146</v>
      </c>
      <c r="K277">
        <f xml:space="preserve"> -55.696 * _2026_04_17_16_25_21_23_high[[#This Row],[coeff]] + 79.57</f>
        <v>17.54399365119999</v>
      </c>
      <c r="L277">
        <f xml:space="preserve"> -55.696 * _2026_04_17_16_25_21_23_high[[#This Row],[coeff]] + 79.57</f>
        <v>17.54399365119999</v>
      </c>
    </row>
    <row r="278" spans="1:12" x14ac:dyDescent="0.3">
      <c r="A278">
        <v>276</v>
      </c>
      <c r="B278">
        <v>7080</v>
      </c>
      <c r="C278" t="b">
        <v>1</v>
      </c>
      <c r="D278">
        <v>8042</v>
      </c>
      <c r="E278">
        <v>8099</v>
      </c>
      <c r="F278">
        <v>203.26666</v>
      </c>
      <c r="G278">
        <v>184</v>
      </c>
      <c r="H278">
        <v>1.1047100999999999</v>
      </c>
      <c r="I278">
        <v>-0.104710124</v>
      </c>
      <c r="J278">
        <v>0.47512480000000001</v>
      </c>
      <c r="K278">
        <f xml:space="preserve"> -55.696 * _2026_04_17_16_25_21_23_high[[#This Row],[coeff]] + 79.57</f>
        <v>18.042066270399999</v>
      </c>
      <c r="L278">
        <f xml:space="preserve"> -55.696 * _2026_04_17_16_25_21_23_high[[#This Row],[coeff]] + 79.57</f>
        <v>18.042066270399999</v>
      </c>
    </row>
    <row r="279" spans="1:12" x14ac:dyDescent="0.3">
      <c r="A279">
        <v>277</v>
      </c>
      <c r="B279">
        <v>7112</v>
      </c>
      <c r="C279" t="b">
        <v>1</v>
      </c>
      <c r="D279">
        <v>8030</v>
      </c>
      <c r="E279">
        <v>8093</v>
      </c>
      <c r="F279">
        <v>201.73334</v>
      </c>
      <c r="G279">
        <v>184.4</v>
      </c>
      <c r="H279">
        <v>1.0939987</v>
      </c>
      <c r="I279">
        <v>-9.3998609999999996E-2</v>
      </c>
      <c r="J279">
        <v>0.47755524999999999</v>
      </c>
      <c r="K279">
        <f xml:space="preserve"> -55.696 * _2026_04_17_16_25_21_23_high[[#This Row],[coeff]] + 79.57</f>
        <v>18.638648404799994</v>
      </c>
      <c r="L279">
        <f xml:space="preserve"> -55.696 * _2026_04_17_16_25_21_23_high[[#This Row],[coeff]] + 79.57</f>
        <v>18.638648404799994</v>
      </c>
    </row>
    <row r="280" spans="1:12" x14ac:dyDescent="0.3">
      <c r="A280">
        <v>278</v>
      </c>
      <c r="B280">
        <v>7128</v>
      </c>
      <c r="C280" t="b">
        <v>1</v>
      </c>
      <c r="D280">
        <v>8042</v>
      </c>
      <c r="E280">
        <v>8140</v>
      </c>
      <c r="F280">
        <v>200.93333000000001</v>
      </c>
      <c r="G280">
        <v>184.8</v>
      </c>
      <c r="H280">
        <v>1.0873016</v>
      </c>
      <c r="I280">
        <v>-8.7301575000000006E-2</v>
      </c>
      <c r="J280">
        <v>0.47908743999999998</v>
      </c>
      <c r="K280">
        <f xml:space="preserve"> -55.696 * _2026_04_17_16_25_21_23_high[[#This Row],[coeff]] + 79.57</f>
        <v>19.011650086399996</v>
      </c>
      <c r="L280">
        <f xml:space="preserve"> -55.696 * _2026_04_17_16_25_21_23_high[[#This Row],[coeff]] + 79.57</f>
        <v>19.011650086399996</v>
      </c>
    </row>
    <row r="281" spans="1:12" x14ac:dyDescent="0.3">
      <c r="A281">
        <v>279</v>
      </c>
      <c r="B281">
        <v>7144</v>
      </c>
      <c r="C281" t="b">
        <v>1</v>
      </c>
      <c r="D281">
        <v>8030</v>
      </c>
      <c r="E281">
        <v>8099</v>
      </c>
      <c r="F281">
        <v>199.8</v>
      </c>
      <c r="G281">
        <v>184.4</v>
      </c>
      <c r="H281">
        <v>1.0835140999999999</v>
      </c>
      <c r="I281">
        <v>-8.3514153999999993E-2</v>
      </c>
      <c r="J281">
        <v>0.47995832999999999</v>
      </c>
      <c r="K281">
        <f xml:space="preserve"> -55.696 * _2026_04_17_16_25_21_23_high[[#This Row],[coeff]] + 79.57</f>
        <v>19.222598686399998</v>
      </c>
      <c r="L281">
        <f xml:space="preserve"> -55.696 * _2026_04_17_16_25_21_23_high[[#This Row],[coeff]] + 79.57</f>
        <v>19.222598686399998</v>
      </c>
    </row>
    <row r="282" spans="1:12" x14ac:dyDescent="0.3">
      <c r="A282">
        <v>280</v>
      </c>
      <c r="B282">
        <v>7175</v>
      </c>
      <c r="C282" t="b">
        <v>1</v>
      </c>
      <c r="D282">
        <v>8042</v>
      </c>
      <c r="E282">
        <v>8087</v>
      </c>
      <c r="F282">
        <v>199</v>
      </c>
      <c r="G282">
        <v>183.6</v>
      </c>
      <c r="H282">
        <v>1.0838779000000001</v>
      </c>
      <c r="I282">
        <v>-8.3877960000000001E-2</v>
      </c>
      <c r="J282">
        <v>0.47987455000000001</v>
      </c>
      <c r="K282">
        <f xml:space="preserve"> -55.696 * _2026_04_17_16_25_21_23_high[[#This Row],[coeff]] + 79.57</f>
        <v>19.202336481599993</v>
      </c>
      <c r="L282">
        <f xml:space="preserve"> -55.696 * _2026_04_17_16_25_21_23_high[[#This Row],[coeff]] + 79.57</f>
        <v>19.202336481599993</v>
      </c>
    </row>
    <row r="283" spans="1:12" x14ac:dyDescent="0.3">
      <c r="A283">
        <v>281</v>
      </c>
      <c r="B283">
        <v>7191</v>
      </c>
      <c r="C283" t="b">
        <v>1</v>
      </c>
      <c r="D283">
        <v>8042</v>
      </c>
      <c r="E283">
        <v>8099</v>
      </c>
      <c r="F283">
        <v>198.6</v>
      </c>
      <c r="G283">
        <v>183.2</v>
      </c>
      <c r="H283">
        <v>1.0840611</v>
      </c>
      <c r="I283">
        <v>-8.4061179999999999E-2</v>
      </c>
      <c r="J283">
        <v>0.47983238</v>
      </c>
      <c r="K283">
        <f xml:space="preserve"> -55.696 * _2026_04_17_16_25_21_23_high[[#This Row],[coeff]] + 79.57</f>
        <v>19.192132974399996</v>
      </c>
      <c r="L283">
        <f xml:space="preserve"> -55.696 * _2026_04_17_16_25_21_23_high[[#This Row],[coeff]] + 79.57</f>
        <v>19.192132974399996</v>
      </c>
    </row>
    <row r="284" spans="1:12" x14ac:dyDescent="0.3">
      <c r="A284">
        <v>282</v>
      </c>
      <c r="B284">
        <v>7207</v>
      </c>
      <c r="C284" t="b">
        <v>1</v>
      </c>
      <c r="D284">
        <v>8042</v>
      </c>
      <c r="E284">
        <v>8111</v>
      </c>
      <c r="F284">
        <v>198.6</v>
      </c>
      <c r="G284">
        <v>182.8</v>
      </c>
      <c r="H284">
        <v>1.0864332999999999</v>
      </c>
      <c r="I284">
        <v>-8.6433280000000001E-2</v>
      </c>
      <c r="J284">
        <v>0.47928682</v>
      </c>
      <c r="K284">
        <f xml:space="preserve"> -55.696 * _2026_04_17_16_25_21_23_high[[#This Row],[coeff]] + 79.57</f>
        <v>19.060010923199997</v>
      </c>
      <c r="L284">
        <f xml:space="preserve"> -55.696 * _2026_04_17_16_25_21_23_high[[#This Row],[coeff]] + 79.57</f>
        <v>19.060010923199997</v>
      </c>
    </row>
    <row r="285" spans="1:12" x14ac:dyDescent="0.3">
      <c r="A285">
        <v>283</v>
      </c>
      <c r="B285">
        <v>7223</v>
      </c>
      <c r="C285" t="b">
        <v>1</v>
      </c>
      <c r="D285">
        <v>8023</v>
      </c>
      <c r="E285">
        <v>8093</v>
      </c>
      <c r="F285">
        <v>198.6</v>
      </c>
      <c r="G285">
        <v>182.4</v>
      </c>
      <c r="H285">
        <v>1.0888157999999999</v>
      </c>
      <c r="I285">
        <v>-8.8815859999999996E-2</v>
      </c>
      <c r="J285">
        <v>0.47874016000000003</v>
      </c>
      <c r="K285">
        <f xml:space="preserve"> -55.696 * _2026_04_17_16_25_21_23_high[[#This Row],[coeff]] + 79.57</f>
        <v>18.927315203200003</v>
      </c>
      <c r="L285">
        <f xml:space="preserve"> -55.696 * _2026_04_17_16_25_21_23_high[[#This Row],[coeff]] + 79.57</f>
        <v>18.927315203200003</v>
      </c>
    </row>
    <row r="286" spans="1:12" x14ac:dyDescent="0.3">
      <c r="A286">
        <v>284</v>
      </c>
      <c r="B286">
        <v>7239</v>
      </c>
      <c r="C286" t="b">
        <v>1</v>
      </c>
      <c r="D286">
        <v>8048</v>
      </c>
      <c r="E286">
        <v>8093</v>
      </c>
      <c r="F286">
        <v>198.6</v>
      </c>
      <c r="G286">
        <v>182.4</v>
      </c>
      <c r="H286">
        <v>1.0888157999999999</v>
      </c>
      <c r="I286">
        <v>-8.8815859999999996E-2</v>
      </c>
      <c r="J286">
        <v>0.47874016000000003</v>
      </c>
      <c r="K286">
        <f xml:space="preserve"> -55.696 * _2026_04_17_16_25_21_23_high[[#This Row],[coeff]] + 79.57</f>
        <v>18.927315203200003</v>
      </c>
      <c r="L286">
        <f xml:space="preserve"> -55.696 * _2026_04_17_16_25_21_23_high[[#This Row],[coeff]] + 79.57</f>
        <v>18.927315203200003</v>
      </c>
    </row>
    <row r="287" spans="1:12" x14ac:dyDescent="0.3">
      <c r="A287">
        <v>285</v>
      </c>
      <c r="B287">
        <v>7270</v>
      </c>
      <c r="C287" t="b">
        <v>1</v>
      </c>
      <c r="D287">
        <v>8054</v>
      </c>
      <c r="E287">
        <v>8105</v>
      </c>
      <c r="F287">
        <v>198.6</v>
      </c>
      <c r="G287">
        <v>183.2</v>
      </c>
      <c r="H287">
        <v>1.0840611</v>
      </c>
      <c r="I287">
        <v>-8.4061179999999999E-2</v>
      </c>
      <c r="J287">
        <v>0.47983238</v>
      </c>
      <c r="K287">
        <f xml:space="preserve"> -55.696 * _2026_04_17_16_25_21_23_high[[#This Row],[coeff]] + 79.57</f>
        <v>19.192132974399996</v>
      </c>
      <c r="L287">
        <f xml:space="preserve"> -55.696 * _2026_04_17_16_25_21_23_high[[#This Row],[coeff]] + 79.57</f>
        <v>19.192132974399996</v>
      </c>
    </row>
    <row r="288" spans="1:12" x14ac:dyDescent="0.3">
      <c r="A288">
        <v>286</v>
      </c>
      <c r="B288">
        <v>7302</v>
      </c>
      <c r="C288" t="b">
        <v>1</v>
      </c>
      <c r="D288">
        <v>8060</v>
      </c>
      <c r="E288">
        <v>8087</v>
      </c>
      <c r="F288">
        <v>199.8</v>
      </c>
      <c r="G288">
        <v>183.6</v>
      </c>
      <c r="H288">
        <v>1.0882353</v>
      </c>
      <c r="I288">
        <v>-8.8235274000000002E-2</v>
      </c>
      <c r="J288">
        <v>0.47887321999999999</v>
      </c>
      <c r="K288">
        <f xml:space="preserve"> -55.696 * _2026_04_17_16_25_21_23_high[[#This Row],[coeff]] + 79.57</f>
        <v>18.959646731199996</v>
      </c>
      <c r="L288">
        <f xml:space="preserve"> -55.696 * _2026_04_17_16_25_21_23_high[[#This Row],[coeff]] + 79.57</f>
        <v>18.959646731199996</v>
      </c>
    </row>
    <row r="289" spans="1:12" x14ac:dyDescent="0.3">
      <c r="A289">
        <v>287</v>
      </c>
      <c r="B289">
        <v>7318</v>
      </c>
      <c r="C289" t="b">
        <v>1</v>
      </c>
      <c r="D289">
        <v>8042</v>
      </c>
      <c r="E289">
        <v>8105</v>
      </c>
      <c r="F289">
        <v>200.2</v>
      </c>
      <c r="G289">
        <v>184</v>
      </c>
      <c r="H289">
        <v>1.0880434999999999</v>
      </c>
      <c r="I289">
        <v>-8.8043460000000004E-2</v>
      </c>
      <c r="J289">
        <v>0.47891719999999999</v>
      </c>
      <c r="K289">
        <f xml:space="preserve"> -55.696 * _2026_04_17_16_25_21_23_high[[#This Row],[coeff]] + 79.57</f>
        <v>18.970329223999997</v>
      </c>
      <c r="L289">
        <f xml:space="preserve"> -55.696 * _2026_04_17_16_25_21_23_high[[#This Row],[coeff]] + 79.57</f>
        <v>18.970329223999997</v>
      </c>
    </row>
    <row r="290" spans="1:12" x14ac:dyDescent="0.3">
      <c r="A290">
        <v>288</v>
      </c>
      <c r="B290">
        <v>7350</v>
      </c>
      <c r="C290" t="b">
        <v>1</v>
      </c>
      <c r="D290">
        <v>8048</v>
      </c>
      <c r="E290">
        <v>8105</v>
      </c>
      <c r="F290">
        <v>201.4</v>
      </c>
      <c r="G290">
        <v>184.8</v>
      </c>
      <c r="H290">
        <v>1.0898268</v>
      </c>
      <c r="I290">
        <v>-8.9826790000000004E-2</v>
      </c>
      <c r="J290">
        <v>0.47850852999999999</v>
      </c>
      <c r="K290">
        <f xml:space="preserve"> -55.696 * _2026_04_17_16_25_21_23_high[[#This Row],[coeff]] + 79.57</f>
        <v>18.871006547199997</v>
      </c>
      <c r="L290">
        <f xml:space="preserve"> -55.696 * _2026_04_17_16_25_21_23_high[[#This Row],[coeff]] + 79.57</f>
        <v>18.871006547199997</v>
      </c>
    </row>
    <row r="291" spans="1:12" x14ac:dyDescent="0.3">
      <c r="A291">
        <v>289</v>
      </c>
      <c r="B291">
        <v>7382</v>
      </c>
      <c r="C291" t="b">
        <v>1</v>
      </c>
      <c r="D291">
        <v>8037</v>
      </c>
      <c r="E291">
        <v>8087</v>
      </c>
      <c r="F291">
        <v>202.6</v>
      </c>
      <c r="G291">
        <v>185.2</v>
      </c>
      <c r="H291">
        <v>1.0939525000000001</v>
      </c>
      <c r="I291">
        <v>-9.3952540000000001E-2</v>
      </c>
      <c r="J291">
        <v>0.47756577</v>
      </c>
      <c r="K291">
        <f xml:space="preserve"> -55.696 * _2026_04_17_16_25_21_23_high[[#This Row],[coeff]] + 79.57</f>
        <v>18.641221559999991</v>
      </c>
      <c r="L291">
        <f xml:space="preserve"> -55.696 * _2026_04_17_16_25_21_23_high[[#This Row],[coeff]] + 79.57</f>
        <v>18.641221559999991</v>
      </c>
    </row>
    <row r="292" spans="1:12" x14ac:dyDescent="0.3">
      <c r="A292">
        <v>290</v>
      </c>
      <c r="B292">
        <v>7413</v>
      </c>
      <c r="C292" t="b">
        <v>1</v>
      </c>
      <c r="D292">
        <v>8023</v>
      </c>
      <c r="E292">
        <v>8105</v>
      </c>
      <c r="F292">
        <v>202.93333000000001</v>
      </c>
      <c r="G292">
        <v>185.2</v>
      </c>
      <c r="H292">
        <v>1.0957524000000001</v>
      </c>
      <c r="I292">
        <v>-9.5752366000000005E-2</v>
      </c>
      <c r="J292">
        <v>0.47715563</v>
      </c>
      <c r="K292">
        <f xml:space="preserve"> -55.696 * _2026_04_17_16_25_21_23_high[[#This Row],[coeff]] + 79.57</f>
        <v>18.54097432959999</v>
      </c>
      <c r="L292">
        <f xml:space="preserve"> -55.696 * _2026_04_17_16_25_21_23_high[[#This Row],[coeff]] + 79.57</f>
        <v>18.54097432959999</v>
      </c>
    </row>
    <row r="293" spans="1:12" x14ac:dyDescent="0.3">
      <c r="A293">
        <v>291</v>
      </c>
      <c r="B293">
        <v>7444</v>
      </c>
      <c r="C293" t="b">
        <v>1</v>
      </c>
      <c r="D293">
        <v>8048</v>
      </c>
      <c r="E293">
        <v>8093</v>
      </c>
      <c r="F293">
        <v>202.93333000000001</v>
      </c>
      <c r="G293">
        <v>185.2</v>
      </c>
      <c r="H293">
        <v>1.0957524000000001</v>
      </c>
      <c r="I293">
        <v>-9.5752366000000005E-2</v>
      </c>
      <c r="J293">
        <v>0.47715563</v>
      </c>
      <c r="K293">
        <f xml:space="preserve"> -55.696 * _2026_04_17_16_25_21_23_high[[#This Row],[coeff]] + 79.57</f>
        <v>18.54097432959999</v>
      </c>
      <c r="L293">
        <f xml:space="preserve"> -55.696 * _2026_04_17_16_25_21_23_high[[#This Row],[coeff]] + 79.57</f>
        <v>18.54097432959999</v>
      </c>
    </row>
    <row r="294" spans="1:12" x14ac:dyDescent="0.3">
      <c r="A294">
        <v>292</v>
      </c>
      <c r="B294">
        <v>7460</v>
      </c>
      <c r="C294" t="b">
        <v>1</v>
      </c>
      <c r="D294">
        <v>8037</v>
      </c>
      <c r="E294">
        <v>8105</v>
      </c>
      <c r="F294">
        <v>202.93333000000001</v>
      </c>
      <c r="G294">
        <v>185.2</v>
      </c>
      <c r="H294">
        <v>1.0957524000000001</v>
      </c>
      <c r="I294">
        <v>-9.5752366000000005E-2</v>
      </c>
      <c r="J294">
        <v>0.47715563</v>
      </c>
      <c r="K294">
        <f xml:space="preserve"> -55.696 * _2026_04_17_16_25_21_23_high[[#This Row],[coeff]] + 79.57</f>
        <v>18.54097432959999</v>
      </c>
      <c r="L294">
        <f xml:space="preserve"> -55.696 * _2026_04_17_16_25_21_23_high[[#This Row],[coeff]] + 79.57</f>
        <v>18.54097432959999</v>
      </c>
    </row>
    <row r="295" spans="1:12" x14ac:dyDescent="0.3">
      <c r="A295">
        <v>293</v>
      </c>
      <c r="B295">
        <v>7476</v>
      </c>
      <c r="C295" t="b">
        <v>1</v>
      </c>
      <c r="D295">
        <v>8048</v>
      </c>
      <c r="E295">
        <v>8111</v>
      </c>
      <c r="F295">
        <v>202.6</v>
      </c>
      <c r="G295">
        <v>185.2</v>
      </c>
      <c r="H295">
        <v>1.0939525000000001</v>
      </c>
      <c r="I295">
        <v>-9.3952540000000001E-2</v>
      </c>
      <c r="J295">
        <v>0.47756577</v>
      </c>
      <c r="K295">
        <f xml:space="preserve"> -55.696 * _2026_04_17_16_25_21_23_high[[#This Row],[coeff]] + 79.57</f>
        <v>18.641221559999991</v>
      </c>
      <c r="L295">
        <f xml:space="preserve"> -55.696 * _2026_04_17_16_25_21_23_high[[#This Row],[coeff]] + 79.57</f>
        <v>18.641221559999991</v>
      </c>
    </row>
    <row r="296" spans="1:12" x14ac:dyDescent="0.3">
      <c r="A296">
        <v>294</v>
      </c>
      <c r="B296">
        <v>7492</v>
      </c>
      <c r="C296" t="b">
        <v>1</v>
      </c>
      <c r="D296">
        <v>8054</v>
      </c>
      <c r="E296">
        <v>8111</v>
      </c>
      <c r="F296">
        <v>203.33332999999999</v>
      </c>
      <c r="G296">
        <v>185.6</v>
      </c>
      <c r="H296">
        <v>1.0955459000000001</v>
      </c>
      <c r="I296">
        <v>-9.5545909999999998E-2</v>
      </c>
      <c r="J296">
        <v>0.47720259999999998</v>
      </c>
      <c r="K296">
        <f xml:space="preserve"> -55.696 * _2026_04_17_16_25_21_23_high[[#This Row],[coeff]] + 79.57</f>
        <v>18.55247555359999</v>
      </c>
      <c r="L296">
        <f xml:space="preserve"> -55.696 * _2026_04_17_16_25_21_23_high[[#This Row],[coeff]] + 79.57</f>
        <v>18.55247555359999</v>
      </c>
    </row>
    <row r="297" spans="1:12" x14ac:dyDescent="0.3">
      <c r="A297">
        <v>295</v>
      </c>
      <c r="B297">
        <v>7524</v>
      </c>
      <c r="C297" t="b">
        <v>1</v>
      </c>
      <c r="D297">
        <v>8037</v>
      </c>
      <c r="E297">
        <v>8093</v>
      </c>
      <c r="F297">
        <v>203.73334</v>
      </c>
      <c r="G297">
        <v>186</v>
      </c>
      <c r="H297">
        <v>1.0953405000000001</v>
      </c>
      <c r="I297">
        <v>-9.5340519999999998E-2</v>
      </c>
      <c r="J297">
        <v>0.47724938</v>
      </c>
      <c r="K297">
        <f xml:space="preserve"> -55.696 * _2026_04_17_16_25_21_23_high[[#This Row],[coeff]] + 79.57</f>
        <v>18.563915511999994</v>
      </c>
      <c r="L297">
        <f xml:space="preserve"> -55.696 * _2026_04_17_16_25_21_23_high[[#This Row],[coeff]] + 79.57</f>
        <v>18.563915511999994</v>
      </c>
    </row>
    <row r="298" spans="1:12" x14ac:dyDescent="0.3">
      <c r="A298">
        <v>296</v>
      </c>
      <c r="B298">
        <v>7556</v>
      </c>
      <c r="C298" t="b">
        <v>1</v>
      </c>
      <c r="D298">
        <v>8042</v>
      </c>
      <c r="E298">
        <v>8105</v>
      </c>
      <c r="F298">
        <v>203.73334</v>
      </c>
      <c r="G298">
        <v>186.4</v>
      </c>
      <c r="H298">
        <v>1.0929899999999999</v>
      </c>
      <c r="I298">
        <v>-9.2990039999999996E-2</v>
      </c>
      <c r="J298">
        <v>0.47778535</v>
      </c>
      <c r="K298">
        <f xml:space="preserve"> -55.696 * _2026_04_17_16_25_21_23_high[[#This Row],[coeff]] + 79.57</f>
        <v>18.694828960000002</v>
      </c>
      <c r="L298">
        <f xml:space="preserve"> -55.696 * _2026_04_17_16_25_21_23_high[[#This Row],[coeff]] + 79.57</f>
        <v>18.694828960000002</v>
      </c>
    </row>
    <row r="299" spans="1:12" x14ac:dyDescent="0.3">
      <c r="A299">
        <v>297</v>
      </c>
      <c r="B299">
        <v>7588</v>
      </c>
      <c r="C299" t="b">
        <v>1</v>
      </c>
      <c r="D299">
        <v>8054</v>
      </c>
      <c r="E299">
        <v>8111</v>
      </c>
      <c r="F299">
        <v>204.13333</v>
      </c>
      <c r="G299">
        <v>187.2</v>
      </c>
      <c r="H299">
        <v>1.0904559</v>
      </c>
      <c r="I299">
        <v>-9.0455845000000007E-2</v>
      </c>
      <c r="J299">
        <v>0.47836459999999997</v>
      </c>
      <c r="K299">
        <f xml:space="preserve"> -55.696 * _2026_04_17_16_25_21_23_high[[#This Row],[coeff]] + 79.57</f>
        <v>18.835968193599996</v>
      </c>
      <c r="L299">
        <f xml:space="preserve"> -55.696 * _2026_04_17_16_25_21_23_high[[#This Row],[coeff]] + 79.57</f>
        <v>18.835968193599996</v>
      </c>
    </row>
    <row r="300" spans="1:12" x14ac:dyDescent="0.3">
      <c r="A300">
        <v>298</v>
      </c>
      <c r="B300">
        <v>7619</v>
      </c>
      <c r="C300" t="b">
        <v>1</v>
      </c>
      <c r="D300">
        <v>8048</v>
      </c>
      <c r="E300">
        <v>8105</v>
      </c>
      <c r="F300">
        <v>204.53334000000001</v>
      </c>
      <c r="G300">
        <v>187.6</v>
      </c>
      <c r="H300">
        <v>1.090263</v>
      </c>
      <c r="I300">
        <v>-9.0262969999999998E-2</v>
      </c>
      <c r="J300">
        <v>0.47840870000000002</v>
      </c>
      <c r="K300">
        <f xml:space="preserve"> -55.696 * _2026_04_17_16_25_21_23_high[[#This Row],[coeff]] + 79.57</f>
        <v>18.846711952</v>
      </c>
      <c r="L300">
        <f xml:space="preserve"> -55.696 * _2026_04_17_16_25_21_23_high[[#This Row],[coeff]] + 79.57</f>
        <v>18.846711952</v>
      </c>
    </row>
    <row r="301" spans="1:12" x14ac:dyDescent="0.3">
      <c r="A301">
        <v>299</v>
      </c>
      <c r="B301">
        <v>7651</v>
      </c>
      <c r="C301" t="b">
        <v>1</v>
      </c>
      <c r="D301">
        <v>8037</v>
      </c>
      <c r="E301">
        <v>8117</v>
      </c>
      <c r="F301">
        <v>204.53334000000001</v>
      </c>
      <c r="G301">
        <v>188.4</v>
      </c>
      <c r="H301">
        <v>1.0856334999999999</v>
      </c>
      <c r="I301">
        <v>-8.5633479999999998E-2</v>
      </c>
      <c r="J301">
        <v>0.47947060000000002</v>
      </c>
      <c r="K301">
        <f xml:space="preserve"> -55.696 * _2026_04_17_16_25_21_23_high[[#This Row],[coeff]] + 79.57</f>
        <v>19.104556584000001</v>
      </c>
      <c r="L301">
        <f xml:space="preserve"> -55.696 * _2026_04_17_16_25_21_23_high[[#This Row],[coeff]] + 79.57</f>
        <v>19.104556584000001</v>
      </c>
    </row>
    <row r="302" spans="1:12" x14ac:dyDescent="0.3">
      <c r="A302">
        <v>300</v>
      </c>
      <c r="B302">
        <v>7683</v>
      </c>
      <c r="C302" t="b">
        <v>1</v>
      </c>
      <c r="D302">
        <v>8037</v>
      </c>
      <c r="E302">
        <v>8111</v>
      </c>
      <c r="F302">
        <v>204.53334000000001</v>
      </c>
      <c r="G302">
        <v>189.2</v>
      </c>
      <c r="H302">
        <v>1.081043</v>
      </c>
      <c r="I302">
        <v>-8.1043039999999997E-2</v>
      </c>
      <c r="J302">
        <v>0.48052826999999998</v>
      </c>
      <c r="K302">
        <f xml:space="preserve"> -55.696 * _2026_04_17_16_25_21_23_high[[#This Row],[coeff]] + 79.57</f>
        <v>19.360229071999996</v>
      </c>
      <c r="L302">
        <f xml:space="preserve"> -55.696 * _2026_04_17_16_25_21_23_high[[#This Row],[coeff]] + 79.57</f>
        <v>19.360229071999996</v>
      </c>
    </row>
    <row r="303" spans="1:12" x14ac:dyDescent="0.3">
      <c r="A303">
        <v>301</v>
      </c>
      <c r="B303">
        <v>7714</v>
      </c>
      <c r="C303" t="b">
        <v>1</v>
      </c>
      <c r="D303">
        <v>8042</v>
      </c>
      <c r="E303">
        <v>8134</v>
      </c>
      <c r="F303">
        <v>204.13333</v>
      </c>
      <c r="G303">
        <v>190.4</v>
      </c>
      <c r="H303">
        <v>1.0721289000000001</v>
      </c>
      <c r="I303">
        <v>-7.2128880000000006E-2</v>
      </c>
      <c r="J303">
        <v>0.48259547000000003</v>
      </c>
      <c r="K303">
        <f xml:space="preserve"> -55.696 * _2026_04_17_16_25_21_23_high[[#This Row],[coeff]] + 79.57</f>
        <v>19.856708785599992</v>
      </c>
      <c r="L303">
        <f xml:space="preserve"> -55.696 * _2026_04_17_16_25_21_23_high[[#This Row],[coeff]] + 79.57</f>
        <v>19.856708785599992</v>
      </c>
    </row>
    <row r="304" spans="1:12" x14ac:dyDescent="0.3">
      <c r="A304">
        <v>302</v>
      </c>
      <c r="B304">
        <v>7746</v>
      </c>
      <c r="C304" t="b">
        <v>1</v>
      </c>
      <c r="D304">
        <v>8048</v>
      </c>
      <c r="E304">
        <v>8129</v>
      </c>
      <c r="F304">
        <v>203.73334</v>
      </c>
      <c r="G304">
        <v>192</v>
      </c>
      <c r="H304">
        <v>1.0611111</v>
      </c>
      <c r="I304">
        <v>-6.1111133999999998E-2</v>
      </c>
      <c r="J304">
        <v>0.48517519999999997</v>
      </c>
      <c r="K304">
        <f xml:space="preserve"> -55.696 * _2026_04_17_16_25_21_23_high[[#This Row],[coeff]] + 79.57</f>
        <v>20.470356174399996</v>
      </c>
      <c r="L304">
        <f xml:space="preserve"> -55.696 * _2026_04_17_16_25_21_23_high[[#This Row],[coeff]] + 79.57</f>
        <v>20.470356174399996</v>
      </c>
    </row>
    <row r="305" spans="1:12" x14ac:dyDescent="0.3">
      <c r="A305">
        <v>303</v>
      </c>
      <c r="B305">
        <v>7778</v>
      </c>
      <c r="C305" t="b">
        <v>1</v>
      </c>
      <c r="D305">
        <v>8037</v>
      </c>
      <c r="E305">
        <v>8111</v>
      </c>
      <c r="F305">
        <v>203</v>
      </c>
      <c r="G305">
        <v>192.8</v>
      </c>
      <c r="H305">
        <v>1.0529046</v>
      </c>
      <c r="I305">
        <v>-5.2904545999999997E-2</v>
      </c>
      <c r="J305">
        <v>0.48711473</v>
      </c>
      <c r="K305">
        <f xml:space="preserve"> -55.696 * _2026_04_17_16_25_21_23_high[[#This Row],[coeff]] + 79.57</f>
        <v>20.927425398399997</v>
      </c>
      <c r="L305">
        <f xml:space="preserve"> -55.696 * _2026_04_17_16_25_21_23_high[[#This Row],[coeff]] + 79.57</f>
        <v>20.927425398399997</v>
      </c>
    </row>
    <row r="306" spans="1:12" x14ac:dyDescent="0.3">
      <c r="A306">
        <v>304</v>
      </c>
      <c r="B306">
        <v>7810</v>
      </c>
      <c r="C306" t="b">
        <v>1</v>
      </c>
      <c r="D306">
        <v>8042</v>
      </c>
      <c r="E306">
        <v>8105</v>
      </c>
      <c r="F306">
        <v>202.6</v>
      </c>
      <c r="G306">
        <v>193.2</v>
      </c>
      <c r="H306">
        <v>1.0486542999999999</v>
      </c>
      <c r="I306">
        <v>-4.8654290000000003E-2</v>
      </c>
      <c r="J306">
        <v>0.48812531999999997</v>
      </c>
      <c r="K306">
        <f xml:space="preserve"> -55.696 * _2026_04_17_16_25_21_23_high[[#This Row],[coeff]] + 79.57</f>
        <v>21.164150107200001</v>
      </c>
      <c r="L306">
        <f xml:space="preserve"> -55.696 * _2026_04_17_16_25_21_23_high[[#This Row],[coeff]] + 79.57</f>
        <v>21.164150107200001</v>
      </c>
    </row>
    <row r="307" spans="1:12" x14ac:dyDescent="0.3">
      <c r="A307">
        <v>305</v>
      </c>
      <c r="B307">
        <v>7842</v>
      </c>
      <c r="C307" t="b">
        <v>1</v>
      </c>
      <c r="D307">
        <v>8042</v>
      </c>
      <c r="E307">
        <v>8105</v>
      </c>
      <c r="F307">
        <v>202.6</v>
      </c>
      <c r="G307">
        <v>193.6</v>
      </c>
      <c r="H307">
        <v>1.0464876000000001</v>
      </c>
      <c r="I307">
        <v>-4.6487603000000002E-2</v>
      </c>
      <c r="J307">
        <v>0.48864210000000002</v>
      </c>
      <c r="K307">
        <f xml:space="preserve"> -55.696 * _2026_04_17_16_25_21_23_high[[#This Row],[coeff]] + 79.57</f>
        <v>21.284826630399991</v>
      </c>
      <c r="L307">
        <f xml:space="preserve"> -55.696 * _2026_04_17_16_25_21_23_high[[#This Row],[coeff]] + 79.57</f>
        <v>21.284826630399991</v>
      </c>
    </row>
    <row r="308" spans="1:12" x14ac:dyDescent="0.3">
      <c r="A308">
        <v>306</v>
      </c>
      <c r="B308">
        <v>7873</v>
      </c>
      <c r="C308" t="b">
        <v>1</v>
      </c>
      <c r="D308">
        <v>8023</v>
      </c>
      <c r="E308">
        <v>8134</v>
      </c>
      <c r="F308">
        <v>202.6</v>
      </c>
      <c r="G308">
        <v>194</v>
      </c>
      <c r="H308">
        <v>1.0443298999999999</v>
      </c>
      <c r="I308">
        <v>-4.4329929999999997E-2</v>
      </c>
      <c r="J308">
        <v>0.48915783000000002</v>
      </c>
      <c r="K308">
        <f xml:space="preserve"> -55.696 * _2026_04_17_16_25_21_23_high[[#This Row],[coeff]] + 79.57</f>
        <v>21.405001889600001</v>
      </c>
      <c r="L308">
        <f xml:space="preserve"> -55.696 * _2026_04_17_16_25_21_23_high[[#This Row],[coeff]] + 79.57</f>
        <v>21.405001889600001</v>
      </c>
    </row>
    <row r="309" spans="1:12" x14ac:dyDescent="0.3">
      <c r="A309">
        <v>307</v>
      </c>
      <c r="B309">
        <v>7905</v>
      </c>
      <c r="C309" t="b">
        <v>1</v>
      </c>
      <c r="D309">
        <v>8017</v>
      </c>
      <c r="E309">
        <v>8099</v>
      </c>
      <c r="F309">
        <v>202.6</v>
      </c>
      <c r="G309">
        <v>194</v>
      </c>
      <c r="H309">
        <v>1.0443298999999999</v>
      </c>
      <c r="I309">
        <v>-4.4329929999999997E-2</v>
      </c>
      <c r="J309">
        <v>0.48915783000000002</v>
      </c>
      <c r="K309">
        <f xml:space="preserve"> -55.696 * _2026_04_17_16_25_21_23_high[[#This Row],[coeff]] + 79.57</f>
        <v>21.405001889600001</v>
      </c>
      <c r="L309">
        <f xml:space="preserve"> -55.696 * _2026_04_17_16_25_21_23_high[[#This Row],[coeff]] + 79.57</f>
        <v>21.405001889600001</v>
      </c>
    </row>
    <row r="310" spans="1:12" x14ac:dyDescent="0.3">
      <c r="A310">
        <v>308</v>
      </c>
      <c r="B310">
        <v>7938</v>
      </c>
      <c r="C310" t="b">
        <v>1</v>
      </c>
      <c r="D310">
        <v>8042</v>
      </c>
      <c r="E310">
        <v>8111</v>
      </c>
      <c r="F310">
        <v>202.93333000000001</v>
      </c>
      <c r="G310">
        <v>194</v>
      </c>
      <c r="H310">
        <v>1.0460482</v>
      </c>
      <c r="I310">
        <v>-4.6048116E-2</v>
      </c>
      <c r="J310">
        <v>0.48874703000000003</v>
      </c>
      <c r="K310">
        <f xml:space="preserve"> -55.696 * _2026_04_17_16_25_21_23_high[[#This Row],[coeff]] + 79.57</f>
        <v>21.309299452799998</v>
      </c>
      <c r="L310">
        <f xml:space="preserve"> -55.696 * _2026_04_17_16_25_21_23_high[[#This Row],[coeff]] + 79.57</f>
        <v>21.309299452799998</v>
      </c>
    </row>
    <row r="311" spans="1:12" x14ac:dyDescent="0.3">
      <c r="A311">
        <v>309</v>
      </c>
      <c r="B311">
        <v>7969</v>
      </c>
      <c r="C311" t="b">
        <v>1</v>
      </c>
      <c r="D311">
        <v>8030</v>
      </c>
      <c r="E311">
        <v>8123</v>
      </c>
      <c r="F311">
        <v>201.73334</v>
      </c>
      <c r="G311">
        <v>194.4</v>
      </c>
      <c r="H311">
        <v>1.037723</v>
      </c>
      <c r="I311">
        <v>-3.772296E-2</v>
      </c>
      <c r="J311">
        <v>0.49074384999999998</v>
      </c>
      <c r="K311">
        <f xml:space="preserve"> -55.696 * _2026_04_17_16_25_21_23_high[[#This Row],[coeff]] + 79.57</f>
        <v>21.772979792000001</v>
      </c>
      <c r="L311">
        <f xml:space="preserve"> -55.696 * _2026_04_17_16_25_21_23_high[[#This Row],[coeff]] + 79.57</f>
        <v>21.772979792000001</v>
      </c>
    </row>
    <row r="312" spans="1:12" x14ac:dyDescent="0.3">
      <c r="A312">
        <v>310</v>
      </c>
      <c r="B312">
        <v>8001</v>
      </c>
      <c r="C312" t="b">
        <v>1</v>
      </c>
      <c r="D312">
        <v>8030</v>
      </c>
      <c r="E312">
        <v>8117</v>
      </c>
      <c r="F312">
        <v>200.53334000000001</v>
      </c>
      <c r="G312">
        <v>195.2</v>
      </c>
      <c r="H312">
        <v>1.0273224000000001</v>
      </c>
      <c r="I312">
        <v>-2.7322455999999998E-2</v>
      </c>
      <c r="J312">
        <v>0.49326145999999998</v>
      </c>
      <c r="K312">
        <f xml:space="preserve"> -55.696 * _2026_04_17_16_25_21_23_high[[#This Row],[coeff]] + 79.57</f>
        <v>22.352251609599989</v>
      </c>
      <c r="L312">
        <f xml:space="preserve"> -55.696 * _2026_04_17_16_25_21_23_high[[#This Row],[coeff]] + 79.57</f>
        <v>22.352251609599989</v>
      </c>
    </row>
    <row r="313" spans="1:12" x14ac:dyDescent="0.3">
      <c r="A313">
        <v>311</v>
      </c>
      <c r="B313">
        <v>8032</v>
      </c>
      <c r="C313" t="b">
        <v>1</v>
      </c>
      <c r="D313">
        <v>8023</v>
      </c>
      <c r="E313">
        <v>8111</v>
      </c>
      <c r="F313">
        <v>199.73334</v>
      </c>
      <c r="G313">
        <v>195.6</v>
      </c>
      <c r="H313">
        <v>1.0211315000000001</v>
      </c>
      <c r="I313">
        <v>-2.1131548999999999E-2</v>
      </c>
      <c r="J313">
        <v>0.49477233999999998</v>
      </c>
      <c r="K313">
        <f xml:space="preserve"> -55.696 * _2026_04_17_16_25_21_23_high[[#This Row],[coeff]] + 79.57</f>
        <v>22.697059975999991</v>
      </c>
      <c r="L313">
        <f xml:space="preserve"> -55.696 * _2026_04_17_16_25_21_23_high[[#This Row],[coeff]] + 79.57</f>
        <v>22.697059975999991</v>
      </c>
    </row>
    <row r="314" spans="1:12" x14ac:dyDescent="0.3">
      <c r="A314">
        <v>312</v>
      </c>
      <c r="B314">
        <v>8064</v>
      </c>
      <c r="C314" t="b">
        <v>1</v>
      </c>
      <c r="D314">
        <v>8023</v>
      </c>
      <c r="E314">
        <v>8099</v>
      </c>
      <c r="F314">
        <v>198.53334000000001</v>
      </c>
      <c r="G314">
        <v>195.6</v>
      </c>
      <c r="H314">
        <v>1.0149965999999999</v>
      </c>
      <c r="I314">
        <v>-1.4996597E-2</v>
      </c>
      <c r="J314">
        <v>0.49627873</v>
      </c>
      <c r="K314">
        <f xml:space="preserve"> -55.696 * _2026_04_17_16_25_21_23_high[[#This Row],[coeff]] + 79.57</f>
        <v>23.038749366399998</v>
      </c>
      <c r="L314">
        <f xml:space="preserve"> -55.696 * _2026_04_17_16_25_21_23_high[[#This Row],[coeff]] + 79.57</f>
        <v>23.038749366399998</v>
      </c>
    </row>
    <row r="315" spans="1:12" x14ac:dyDescent="0.3">
      <c r="A315">
        <v>313</v>
      </c>
      <c r="B315">
        <v>8080</v>
      </c>
      <c r="C315" t="b">
        <v>1</v>
      </c>
      <c r="D315">
        <v>8017</v>
      </c>
      <c r="E315">
        <v>8105</v>
      </c>
      <c r="F315">
        <v>196.86667</v>
      </c>
      <c r="G315">
        <v>196</v>
      </c>
      <c r="H315">
        <v>1.0044218</v>
      </c>
      <c r="I315">
        <v>-4.4217789999999998E-3</v>
      </c>
      <c r="J315">
        <v>0.49889699999999998</v>
      </c>
      <c r="K315">
        <f xml:space="preserve"> -55.696 * _2026_04_17_16_25_21_23_high[[#This Row],[coeff]] + 79.57</f>
        <v>23.627723427199996</v>
      </c>
      <c r="L315">
        <f xml:space="preserve"> -55.696 * _2026_04_17_16_25_21_23_high[[#This Row],[coeff]] + 79.57</f>
        <v>23.627723427199996</v>
      </c>
    </row>
    <row r="316" spans="1:12" x14ac:dyDescent="0.3">
      <c r="A316">
        <v>314</v>
      </c>
      <c r="B316">
        <v>8095</v>
      </c>
      <c r="C316" t="b">
        <v>1</v>
      </c>
      <c r="D316">
        <v>8042</v>
      </c>
      <c r="E316">
        <v>8111</v>
      </c>
      <c r="F316">
        <v>195.6</v>
      </c>
      <c r="G316">
        <v>196.4</v>
      </c>
      <c r="H316">
        <v>0.99592674000000003</v>
      </c>
      <c r="I316">
        <v>4.0732575999999996E-3</v>
      </c>
      <c r="J316">
        <v>0.50102040000000003</v>
      </c>
      <c r="K316">
        <f xml:space="preserve"> -55.696 * _2026_04_17_16_25_21_23_high[[#This Row],[coeff]] + 79.57</f>
        <v>24.100864288959997</v>
      </c>
      <c r="L316">
        <f xml:space="preserve"> -55.696 * _2026_04_17_16_25_21_23_high[[#This Row],[coeff]] + 79.57</f>
        <v>24.100864288959997</v>
      </c>
    </row>
    <row r="317" spans="1:12" x14ac:dyDescent="0.3">
      <c r="A317">
        <v>315</v>
      </c>
      <c r="B317">
        <v>8127</v>
      </c>
      <c r="C317" t="b">
        <v>1</v>
      </c>
      <c r="D317">
        <v>8042</v>
      </c>
      <c r="E317">
        <v>8099</v>
      </c>
      <c r="F317">
        <v>194.33332999999999</v>
      </c>
      <c r="G317">
        <v>196</v>
      </c>
      <c r="H317">
        <v>0.99149655999999997</v>
      </c>
      <c r="I317">
        <v>8.5034280000000004E-3</v>
      </c>
      <c r="J317">
        <v>0.502135</v>
      </c>
      <c r="K317">
        <f xml:space="preserve"> -55.696 * _2026_04_17_16_25_21_23_high[[#This Row],[coeff]] + 79.57</f>
        <v>24.347607594239996</v>
      </c>
      <c r="L317">
        <f xml:space="preserve"> -55.696 * _2026_04_17_16_25_21_23_high[[#This Row],[coeff]] + 79.57</f>
        <v>24.347607594239996</v>
      </c>
    </row>
    <row r="318" spans="1:12" x14ac:dyDescent="0.3">
      <c r="A318">
        <v>316</v>
      </c>
      <c r="B318">
        <v>8159</v>
      </c>
      <c r="C318" t="b">
        <v>1</v>
      </c>
      <c r="D318">
        <v>8042</v>
      </c>
      <c r="E318">
        <v>8129</v>
      </c>
      <c r="F318">
        <v>194.33332999999999</v>
      </c>
      <c r="G318">
        <v>195.6</v>
      </c>
      <c r="H318">
        <v>0.99352412999999995</v>
      </c>
      <c r="I318">
        <v>6.4758580000000001E-3</v>
      </c>
      <c r="J318">
        <v>0.50162419999999996</v>
      </c>
      <c r="K318">
        <f xml:space="preserve"> -55.696 * _2026_04_17_16_25_21_23_high[[#This Row],[coeff]] + 79.57</f>
        <v>24.234680055519995</v>
      </c>
      <c r="L318">
        <f xml:space="preserve"> -55.696 * _2026_04_17_16_25_21_23_high[[#This Row],[coeff]] + 79.57</f>
        <v>24.234680055519995</v>
      </c>
    </row>
    <row r="319" spans="1:12" x14ac:dyDescent="0.3">
      <c r="A319">
        <v>317</v>
      </c>
      <c r="B319">
        <v>8191</v>
      </c>
      <c r="C319" t="b">
        <v>1</v>
      </c>
      <c r="D319">
        <v>8042</v>
      </c>
      <c r="E319">
        <v>8099</v>
      </c>
      <c r="F319">
        <v>194.33332999999999</v>
      </c>
      <c r="G319">
        <v>194.8</v>
      </c>
      <c r="H319">
        <v>0.9976043</v>
      </c>
      <c r="I319">
        <v>2.3956609999999999E-3</v>
      </c>
      <c r="J319">
        <v>0.50059960000000003</v>
      </c>
      <c r="K319">
        <f xml:space="preserve"> -55.696 * _2026_04_17_16_25_21_23_high[[#This Row],[coeff]] + 79.57</f>
        <v>24.007430907199996</v>
      </c>
      <c r="L319">
        <f xml:space="preserve"> -55.696 * _2026_04_17_16_25_21_23_high[[#This Row],[coeff]] + 79.57</f>
        <v>24.007430907199996</v>
      </c>
    </row>
    <row r="320" spans="1:12" x14ac:dyDescent="0.3">
      <c r="A320">
        <v>318</v>
      </c>
      <c r="B320">
        <v>8222</v>
      </c>
      <c r="C320" t="b">
        <v>1</v>
      </c>
      <c r="D320">
        <v>8042</v>
      </c>
      <c r="E320">
        <v>8075</v>
      </c>
      <c r="F320">
        <v>194.66667000000001</v>
      </c>
      <c r="G320">
        <v>193.6</v>
      </c>
      <c r="H320">
        <v>1.0055095999999999</v>
      </c>
      <c r="I320">
        <v>-5.5096364000000002E-3</v>
      </c>
      <c r="J320">
        <v>0.49862637999999998</v>
      </c>
      <c r="K320">
        <f xml:space="preserve"> -55.696 * _2026_04_17_16_25_21_23_high[[#This Row],[coeff]] + 79.57</f>
        <v>23.5671373184</v>
      </c>
      <c r="L320">
        <f xml:space="preserve"> -55.696 * _2026_04_17_16_25_21_23_high[[#This Row],[coeff]] + 79.57</f>
        <v>23.5671373184</v>
      </c>
    </row>
    <row r="321" spans="1:12" x14ac:dyDescent="0.3">
      <c r="A321">
        <v>319</v>
      </c>
      <c r="B321">
        <v>8238</v>
      </c>
      <c r="C321" t="b">
        <v>1</v>
      </c>
      <c r="D321">
        <v>8054</v>
      </c>
      <c r="E321">
        <v>8081</v>
      </c>
      <c r="F321">
        <v>194.66667000000001</v>
      </c>
      <c r="G321">
        <v>192.8</v>
      </c>
      <c r="H321">
        <v>1.0096818999999999</v>
      </c>
      <c r="I321">
        <v>-9.6818919999999992E-3</v>
      </c>
      <c r="J321">
        <v>0.49759120000000001</v>
      </c>
      <c r="K321">
        <f xml:space="preserve"> -55.696 * _2026_04_17_16_25_21_23_high[[#This Row],[coeff]] + 79.57</f>
        <v>23.334756897600002</v>
      </c>
      <c r="L321">
        <f xml:space="preserve"> -55.696 * _2026_04_17_16_25_21_23_high[[#This Row],[coeff]] + 79.57</f>
        <v>23.334756897600002</v>
      </c>
    </row>
    <row r="322" spans="1:12" x14ac:dyDescent="0.3">
      <c r="A322">
        <v>320</v>
      </c>
      <c r="B322">
        <v>8254</v>
      </c>
      <c r="C322" t="b">
        <v>1</v>
      </c>
      <c r="D322">
        <v>8048</v>
      </c>
      <c r="E322">
        <v>8105</v>
      </c>
      <c r="F322">
        <v>194.66667000000001</v>
      </c>
      <c r="G322">
        <v>192</v>
      </c>
      <c r="H322">
        <v>1.013889</v>
      </c>
      <c r="I322">
        <v>-1.3888915E-2</v>
      </c>
      <c r="J322">
        <v>0.49655169999999998</v>
      </c>
      <c r="K322">
        <f xml:space="preserve"> -55.696 * _2026_04_17_16_25_21_23_high[[#This Row],[coeff]] + 79.57</f>
        <v>23.10043825599999</v>
      </c>
      <c r="L322">
        <f xml:space="preserve"> -55.696 * _2026_04_17_16_25_21_23_high[[#This Row],[coeff]] + 79.57</f>
        <v>23.10043825599999</v>
      </c>
    </row>
    <row r="323" spans="1:12" x14ac:dyDescent="0.3">
      <c r="A323">
        <v>321</v>
      </c>
      <c r="B323">
        <v>8270</v>
      </c>
      <c r="C323" t="b">
        <v>1</v>
      </c>
      <c r="D323">
        <v>8048</v>
      </c>
      <c r="E323">
        <v>8123</v>
      </c>
      <c r="F323">
        <v>195.06666999999999</v>
      </c>
      <c r="G323">
        <v>191.2</v>
      </c>
      <c r="H323">
        <v>1.0202230999999999</v>
      </c>
      <c r="I323">
        <v>-2.0223162999999999E-2</v>
      </c>
      <c r="J323">
        <v>0.49499482</v>
      </c>
      <c r="K323">
        <f xml:space="preserve"> -55.696 * _2026_04_17_16_25_21_23_high[[#This Row],[coeff]] + 79.57</f>
        <v>22.747654222400001</v>
      </c>
      <c r="L323">
        <f xml:space="preserve"> -55.696 * _2026_04_17_16_25_21_23_high[[#This Row],[coeff]] + 79.57</f>
        <v>22.747654222400001</v>
      </c>
    </row>
    <row r="324" spans="1:12" x14ac:dyDescent="0.3">
      <c r="A324">
        <v>322</v>
      </c>
      <c r="B324">
        <v>8286</v>
      </c>
      <c r="C324" t="b">
        <v>1</v>
      </c>
      <c r="D324">
        <v>8037</v>
      </c>
      <c r="E324">
        <v>8105</v>
      </c>
      <c r="F324">
        <v>195.8</v>
      </c>
      <c r="G324">
        <v>191.2</v>
      </c>
      <c r="H324">
        <v>1.0240586</v>
      </c>
      <c r="I324">
        <v>-2.4058610000000001E-2</v>
      </c>
      <c r="J324">
        <v>0.49405684999999999</v>
      </c>
      <c r="K324">
        <f xml:space="preserve"> -55.696 * _2026_04_17_16_25_21_23_high[[#This Row],[coeff]] + 79.57</f>
        <v>22.534032214399993</v>
      </c>
      <c r="L324">
        <f xml:space="preserve"> -55.696 * _2026_04_17_16_25_21_23_high[[#This Row],[coeff]] + 79.57</f>
        <v>22.534032214399993</v>
      </c>
    </row>
    <row r="325" spans="1:12" x14ac:dyDescent="0.3">
      <c r="A325">
        <v>323</v>
      </c>
      <c r="B325">
        <v>8318</v>
      </c>
      <c r="C325" t="b">
        <v>1</v>
      </c>
      <c r="D325">
        <v>8023</v>
      </c>
      <c r="E325">
        <v>8081</v>
      </c>
      <c r="F325">
        <v>196.2</v>
      </c>
      <c r="G325">
        <v>191.2</v>
      </c>
      <c r="H325">
        <v>1.0261506</v>
      </c>
      <c r="I325">
        <v>-2.6150629000000002E-2</v>
      </c>
      <c r="J325">
        <v>0.49354671999999999</v>
      </c>
      <c r="K325">
        <f xml:space="preserve"> -55.696 * _2026_04_17_16_25_21_23_high[[#This Row],[coeff]] + 79.57</f>
        <v>22.417516182399993</v>
      </c>
      <c r="L325">
        <f xml:space="preserve"> -55.696 * _2026_04_17_16_25_21_23_high[[#This Row],[coeff]] + 79.57</f>
        <v>22.417516182399993</v>
      </c>
    </row>
    <row r="326" spans="1:12" x14ac:dyDescent="0.3">
      <c r="A326">
        <v>324</v>
      </c>
      <c r="B326">
        <v>8349</v>
      </c>
      <c r="C326" t="b">
        <v>1</v>
      </c>
      <c r="D326">
        <v>8054</v>
      </c>
      <c r="E326">
        <v>8111</v>
      </c>
      <c r="F326">
        <v>197.4</v>
      </c>
      <c r="G326">
        <v>190.8</v>
      </c>
      <c r="H326">
        <v>1.0345911999999999</v>
      </c>
      <c r="I326">
        <v>-3.4591146000000003E-2</v>
      </c>
      <c r="J326">
        <v>0.49149922000000001</v>
      </c>
      <c r="K326">
        <f xml:space="preserve"> -55.696 * _2026_04_17_16_25_21_23_high[[#This Row],[coeff]] + 79.57</f>
        <v>21.947408524799997</v>
      </c>
      <c r="L326">
        <f xml:space="preserve"> -55.696 * _2026_04_17_16_25_21_23_high[[#This Row],[coeff]] + 79.57</f>
        <v>21.947408524799997</v>
      </c>
    </row>
    <row r="327" spans="1:12" x14ac:dyDescent="0.3">
      <c r="A327">
        <v>325</v>
      </c>
      <c r="B327">
        <v>8381</v>
      </c>
      <c r="C327" t="b">
        <v>1</v>
      </c>
      <c r="D327">
        <v>8054</v>
      </c>
      <c r="E327">
        <v>8111</v>
      </c>
      <c r="F327">
        <v>198.6</v>
      </c>
      <c r="G327">
        <v>190.4</v>
      </c>
      <c r="H327">
        <v>1.0430672999999999</v>
      </c>
      <c r="I327">
        <v>-4.3067290000000001E-2</v>
      </c>
      <c r="J327">
        <v>0.48946013999999999</v>
      </c>
      <c r="K327">
        <f xml:space="preserve"> -55.696 * _2026_04_17_16_25_21_23_high[[#This Row],[coeff]] + 79.57</f>
        <v>21.475323659200001</v>
      </c>
      <c r="L327">
        <f xml:space="preserve"> -55.696 * _2026_04_17_16_25_21_23_high[[#This Row],[coeff]] + 79.57</f>
        <v>21.475323659200001</v>
      </c>
    </row>
    <row r="328" spans="1:12" x14ac:dyDescent="0.3">
      <c r="A328">
        <v>326</v>
      </c>
      <c r="B328">
        <v>8397</v>
      </c>
      <c r="C328" t="b">
        <v>1</v>
      </c>
      <c r="D328">
        <v>8037</v>
      </c>
      <c r="E328">
        <v>8093</v>
      </c>
      <c r="F328">
        <v>199.06666999999999</v>
      </c>
      <c r="G328">
        <v>190</v>
      </c>
      <c r="H328">
        <v>1.0477192</v>
      </c>
      <c r="I328">
        <v>-4.7719292000000003E-2</v>
      </c>
      <c r="J328">
        <v>0.48834822</v>
      </c>
      <c r="K328">
        <f xml:space="preserve"> -55.696 * _2026_04_17_16_25_21_23_high[[#This Row],[coeff]] + 79.57</f>
        <v>21.216231436799994</v>
      </c>
      <c r="L328">
        <f xml:space="preserve"> -55.696 * _2026_04_17_16_25_21_23_high[[#This Row],[coeff]] + 79.57</f>
        <v>21.216231436799994</v>
      </c>
    </row>
    <row r="329" spans="1:12" x14ac:dyDescent="0.3">
      <c r="A329">
        <v>327</v>
      </c>
      <c r="B329">
        <v>8429</v>
      </c>
      <c r="C329" t="b">
        <v>1</v>
      </c>
      <c r="D329">
        <v>8048</v>
      </c>
      <c r="E329">
        <v>8105</v>
      </c>
      <c r="F329">
        <v>200.26666</v>
      </c>
      <c r="G329">
        <v>189.6</v>
      </c>
      <c r="H329">
        <v>1.0562587000000001</v>
      </c>
      <c r="I329">
        <v>-5.6258733999999998E-2</v>
      </c>
      <c r="J329">
        <v>0.48632009999999998</v>
      </c>
      <c r="K329">
        <f xml:space="preserve"> -55.696 * _2026_04_17_16_25_21_23_high[[#This Row],[coeff]] + 79.57</f>
        <v>20.740615444799992</v>
      </c>
      <c r="L329">
        <f xml:space="preserve"> -55.696 * _2026_04_17_16_25_21_23_high[[#This Row],[coeff]] + 79.57</f>
        <v>20.740615444799992</v>
      </c>
    </row>
    <row r="330" spans="1:12" x14ac:dyDescent="0.3">
      <c r="A330">
        <v>328</v>
      </c>
      <c r="B330">
        <v>8460</v>
      </c>
      <c r="C330" t="b">
        <v>1</v>
      </c>
      <c r="D330">
        <v>8023</v>
      </c>
      <c r="E330">
        <v>8111</v>
      </c>
      <c r="F330">
        <v>201.93333000000001</v>
      </c>
      <c r="G330">
        <v>189.6</v>
      </c>
      <c r="H330">
        <v>1.0650492</v>
      </c>
      <c r="I330">
        <v>-6.5049194000000005E-2</v>
      </c>
      <c r="J330">
        <v>0.48424998000000002</v>
      </c>
      <c r="K330">
        <f xml:space="preserve"> -55.696 * _2026_04_17_16_25_21_23_high[[#This Row],[coeff]] + 79.57</f>
        <v>20.251019756799991</v>
      </c>
      <c r="L330">
        <f xml:space="preserve"> -55.696 * _2026_04_17_16_25_21_23_high[[#This Row],[coeff]] + 79.57</f>
        <v>20.251019756799991</v>
      </c>
    </row>
    <row r="331" spans="1:12" x14ac:dyDescent="0.3">
      <c r="A331">
        <v>329</v>
      </c>
      <c r="B331">
        <v>8493</v>
      </c>
      <c r="C331" t="b">
        <v>1</v>
      </c>
      <c r="D331">
        <v>8048</v>
      </c>
      <c r="E331">
        <v>8099</v>
      </c>
      <c r="F331">
        <v>203.6</v>
      </c>
      <c r="G331">
        <v>189.2</v>
      </c>
      <c r="H331">
        <v>1.0761099999999999</v>
      </c>
      <c r="I331">
        <v>-7.6109979999999994E-2</v>
      </c>
      <c r="J331">
        <v>0.48167008</v>
      </c>
      <c r="K331">
        <f xml:space="preserve"> -55.696 * _2026_04_17_16_25_21_23_high[[#This Row],[coeff]] + 79.57</f>
        <v>19.63497744</v>
      </c>
      <c r="L331">
        <f xml:space="preserve"> -55.696 * _2026_04_17_16_25_21_23_high[[#This Row],[coeff]] + 79.57</f>
        <v>19.63497744</v>
      </c>
    </row>
    <row r="332" spans="1:12" x14ac:dyDescent="0.3">
      <c r="A332">
        <v>330</v>
      </c>
      <c r="B332">
        <v>8524</v>
      </c>
      <c r="C332" t="b">
        <v>1</v>
      </c>
      <c r="D332">
        <v>8048</v>
      </c>
      <c r="E332">
        <v>8105</v>
      </c>
      <c r="F332">
        <v>205.26666</v>
      </c>
      <c r="G332">
        <v>189.2</v>
      </c>
      <c r="H332">
        <v>1.084919</v>
      </c>
      <c r="I332">
        <v>-8.4918950000000007E-2</v>
      </c>
      <c r="J332">
        <v>0.47963494000000001</v>
      </c>
      <c r="K332">
        <f xml:space="preserve"> -55.696 * _2026_04_17_16_25_21_23_high[[#This Row],[coeff]] + 79.57</f>
        <v>19.144351375999996</v>
      </c>
      <c r="L332">
        <f xml:space="preserve"> -55.696 * _2026_04_17_16_25_21_23_high[[#This Row],[coeff]] + 79.57</f>
        <v>19.144351375999996</v>
      </c>
    </row>
    <row r="333" spans="1:12" x14ac:dyDescent="0.3">
      <c r="A333">
        <v>331</v>
      </c>
      <c r="B333">
        <v>8556</v>
      </c>
      <c r="C333" t="b">
        <v>1</v>
      </c>
      <c r="D333">
        <v>8042</v>
      </c>
      <c r="E333">
        <v>8105</v>
      </c>
      <c r="F333">
        <v>205.66667000000001</v>
      </c>
      <c r="G333">
        <v>189.2</v>
      </c>
      <c r="H333">
        <v>1.0870332</v>
      </c>
      <c r="I333">
        <v>-8.7033170000000007E-2</v>
      </c>
      <c r="J333">
        <v>0.47914907000000001</v>
      </c>
      <c r="K333">
        <f xml:space="preserve"> -55.696 * _2026_04_17_16_25_21_23_high[[#This Row],[coeff]] + 79.57</f>
        <v>19.026598892799996</v>
      </c>
      <c r="L333">
        <f xml:space="preserve"> -55.696 * _2026_04_17_16_25_21_23_high[[#This Row],[coeff]] + 79.57</f>
        <v>19.026598892799996</v>
      </c>
    </row>
    <row r="334" spans="1:12" x14ac:dyDescent="0.3">
      <c r="A334">
        <v>332</v>
      </c>
      <c r="B334">
        <v>8571</v>
      </c>
      <c r="C334" t="b">
        <v>1</v>
      </c>
      <c r="D334">
        <v>8037</v>
      </c>
      <c r="E334">
        <v>8111</v>
      </c>
      <c r="F334">
        <v>205.66667000000001</v>
      </c>
      <c r="G334">
        <v>189.2</v>
      </c>
      <c r="H334">
        <v>1.0870332</v>
      </c>
      <c r="I334">
        <v>-8.7033170000000007E-2</v>
      </c>
      <c r="J334">
        <v>0.47914907000000001</v>
      </c>
      <c r="K334">
        <f xml:space="preserve"> -55.696 * _2026_04_17_16_25_21_23_high[[#This Row],[coeff]] + 79.57</f>
        <v>19.026598892799996</v>
      </c>
      <c r="L334">
        <f xml:space="preserve"> -55.696 * _2026_04_17_16_25_21_23_high[[#This Row],[coeff]] + 79.57</f>
        <v>19.026598892799996</v>
      </c>
    </row>
    <row r="335" spans="1:12" x14ac:dyDescent="0.3">
      <c r="A335">
        <v>333</v>
      </c>
      <c r="B335">
        <v>8587</v>
      </c>
      <c r="C335" t="b">
        <v>1</v>
      </c>
      <c r="D335">
        <v>8042</v>
      </c>
      <c r="E335">
        <v>8111</v>
      </c>
      <c r="F335">
        <v>205.66667000000001</v>
      </c>
      <c r="G335">
        <v>189.6</v>
      </c>
      <c r="H335">
        <v>1.0847397999999999</v>
      </c>
      <c r="I335">
        <v>-8.4739800000000004E-2</v>
      </c>
      <c r="J335">
        <v>0.4796762</v>
      </c>
      <c r="K335">
        <f xml:space="preserve"> -55.696 * _2026_04_17_16_25_21_23_high[[#This Row],[coeff]] + 79.57</f>
        <v>19.154332099199998</v>
      </c>
      <c r="L335">
        <f xml:space="preserve"> -55.696 * _2026_04_17_16_25_21_23_high[[#This Row],[coeff]] + 79.57</f>
        <v>19.154332099199998</v>
      </c>
    </row>
    <row r="336" spans="1:12" x14ac:dyDescent="0.3">
      <c r="A336">
        <v>334</v>
      </c>
      <c r="B336">
        <v>8619</v>
      </c>
      <c r="C336" t="b">
        <v>1</v>
      </c>
      <c r="D336">
        <v>8048</v>
      </c>
      <c r="E336">
        <v>8111</v>
      </c>
      <c r="F336">
        <v>205.66667000000001</v>
      </c>
      <c r="G336">
        <v>190.4</v>
      </c>
      <c r="H336">
        <v>1.0801821</v>
      </c>
      <c r="I336">
        <v>-8.0182135000000002E-2</v>
      </c>
      <c r="J336">
        <v>0.48072716999999998</v>
      </c>
      <c r="K336">
        <f xml:space="preserve"> -55.696 * _2026_04_17_16_25_21_23_high[[#This Row],[coeff]] + 79.57</f>
        <v>19.408177758399994</v>
      </c>
      <c r="L336">
        <f xml:space="preserve"> -55.696 * _2026_04_17_16_25_21_23_high[[#This Row],[coeff]] + 79.57</f>
        <v>19.408177758399994</v>
      </c>
    </row>
    <row r="337" spans="1:12" x14ac:dyDescent="0.3">
      <c r="A337">
        <v>335</v>
      </c>
      <c r="B337">
        <v>8651</v>
      </c>
      <c r="C337" t="b">
        <v>1</v>
      </c>
      <c r="D337">
        <v>8037</v>
      </c>
      <c r="E337">
        <v>8123</v>
      </c>
      <c r="F337">
        <v>205.66667000000001</v>
      </c>
      <c r="G337">
        <v>191.2</v>
      </c>
      <c r="H337">
        <v>1.0756625</v>
      </c>
      <c r="I337">
        <v>-7.5662519999999997E-2</v>
      </c>
      <c r="J337">
        <v>0.48177387999999999</v>
      </c>
      <c r="K337">
        <f xml:space="preserve"> -55.696 * _2026_04_17_16_25_21_23_high[[#This Row],[coeff]] + 79.57</f>
        <v>19.659901399999995</v>
      </c>
      <c r="L337">
        <f xml:space="preserve"> -55.696 * _2026_04_17_16_25_21_23_high[[#This Row],[coeff]] + 79.57</f>
        <v>19.659901399999995</v>
      </c>
    </row>
    <row r="338" spans="1:12" x14ac:dyDescent="0.3">
      <c r="A338">
        <v>336</v>
      </c>
      <c r="B338">
        <v>8683</v>
      </c>
      <c r="C338" t="b">
        <v>1</v>
      </c>
      <c r="D338">
        <v>8048</v>
      </c>
      <c r="E338">
        <v>8129</v>
      </c>
      <c r="F338">
        <v>205.26666</v>
      </c>
      <c r="G338">
        <v>192</v>
      </c>
      <c r="H338">
        <v>1.0690972000000001</v>
      </c>
      <c r="I338">
        <v>-6.9097199999999998E-2</v>
      </c>
      <c r="J338">
        <v>0.48330255999999999</v>
      </c>
      <c r="K338">
        <f xml:space="preserve"> -55.696 * _2026_04_17_16_25_21_23_high[[#This Row],[coeff]] + 79.57</f>
        <v>20.025562348799994</v>
      </c>
      <c r="L338">
        <f xml:space="preserve"> -55.696 * _2026_04_17_16_25_21_23_high[[#This Row],[coeff]] + 79.57</f>
        <v>20.025562348799994</v>
      </c>
    </row>
    <row r="339" spans="1:12" x14ac:dyDescent="0.3">
      <c r="A339">
        <v>337</v>
      </c>
      <c r="B339">
        <v>8699</v>
      </c>
      <c r="C339" t="b">
        <v>1</v>
      </c>
      <c r="D339">
        <v>8060</v>
      </c>
      <c r="E339">
        <v>8105</v>
      </c>
      <c r="F339">
        <v>205.26666</v>
      </c>
      <c r="G339">
        <v>192.4</v>
      </c>
      <c r="H339">
        <v>1.0668746</v>
      </c>
      <c r="I339">
        <v>-6.6874580000000003E-2</v>
      </c>
      <c r="J339">
        <v>0.48382229999999998</v>
      </c>
      <c r="K339">
        <f xml:space="preserve"> -55.696 * _2026_04_17_16_25_21_23_high[[#This Row],[coeff]] + 79.57</f>
        <v>20.149352278399995</v>
      </c>
      <c r="L339">
        <f xml:space="preserve"> -55.696 * _2026_04_17_16_25_21_23_high[[#This Row],[coeff]] + 79.57</f>
        <v>20.149352278399995</v>
      </c>
    </row>
    <row r="340" spans="1:12" x14ac:dyDescent="0.3">
      <c r="A340">
        <v>338</v>
      </c>
      <c r="B340">
        <v>8730</v>
      </c>
      <c r="C340" t="b">
        <v>1</v>
      </c>
      <c r="D340">
        <v>8030</v>
      </c>
      <c r="E340">
        <v>8123</v>
      </c>
      <c r="F340">
        <v>205.26666</v>
      </c>
      <c r="G340">
        <v>193.6</v>
      </c>
      <c r="H340">
        <v>1.0602616</v>
      </c>
      <c r="I340">
        <v>-6.0261651999999999E-2</v>
      </c>
      <c r="J340">
        <v>0.48537525999999998</v>
      </c>
      <c r="K340">
        <f xml:space="preserve"> -55.696 * _2026_04_17_16_25_21_23_high[[#This Row],[coeff]] + 79.57</f>
        <v>20.517669926399996</v>
      </c>
      <c r="L340">
        <f xml:space="preserve"> -55.696 * _2026_04_17_16_25_21_23_high[[#This Row],[coeff]] + 79.57</f>
        <v>20.517669926399996</v>
      </c>
    </row>
    <row r="341" spans="1:12" x14ac:dyDescent="0.3">
      <c r="A341">
        <v>339</v>
      </c>
      <c r="B341">
        <v>8746</v>
      </c>
      <c r="C341" t="b">
        <v>1</v>
      </c>
      <c r="D341">
        <v>8023</v>
      </c>
      <c r="E341">
        <v>8099</v>
      </c>
      <c r="F341">
        <v>204.53334000000001</v>
      </c>
      <c r="G341">
        <v>194.8</v>
      </c>
      <c r="H341">
        <v>1.0499657</v>
      </c>
      <c r="I341">
        <v>-4.9965795E-2</v>
      </c>
      <c r="J341">
        <v>0.48781302999999998</v>
      </c>
      <c r="K341">
        <f xml:space="preserve"> -55.696 * _2026_04_17_16_25_21_23_high[[#This Row],[coeff]] + 79.57</f>
        <v>21.091110372799996</v>
      </c>
      <c r="L341">
        <f xml:space="preserve"> -55.696 * _2026_04_17_16_25_21_23_high[[#This Row],[coeff]] + 79.57</f>
        <v>21.091110372799996</v>
      </c>
    </row>
    <row r="342" spans="1:12" x14ac:dyDescent="0.3">
      <c r="A342">
        <v>340</v>
      </c>
      <c r="B342">
        <v>8778</v>
      </c>
      <c r="C342" t="b">
        <v>1</v>
      </c>
      <c r="D342">
        <v>8037</v>
      </c>
      <c r="E342">
        <v>8099</v>
      </c>
      <c r="F342">
        <v>203.8</v>
      </c>
      <c r="G342">
        <v>194.4</v>
      </c>
      <c r="H342">
        <v>1.0483538999999999</v>
      </c>
      <c r="I342">
        <v>-4.8353960000000001E-2</v>
      </c>
      <c r="J342">
        <v>0.48819685000000002</v>
      </c>
      <c r="K342">
        <f xml:space="preserve"> -55.696 * _2026_04_17_16_25_21_23_high[[#This Row],[coeff]] + 79.57</f>
        <v>21.180881185600001</v>
      </c>
      <c r="L342">
        <f xml:space="preserve"> -55.696 * _2026_04_17_16_25_21_23_high[[#This Row],[coeff]] + 79.57</f>
        <v>21.180881185600001</v>
      </c>
    </row>
    <row r="343" spans="1:12" x14ac:dyDescent="0.3">
      <c r="A343">
        <v>341</v>
      </c>
      <c r="B343">
        <v>8794</v>
      </c>
      <c r="C343" t="b">
        <v>1</v>
      </c>
      <c r="D343">
        <v>8054</v>
      </c>
      <c r="E343">
        <v>8134</v>
      </c>
      <c r="F343">
        <v>203.8</v>
      </c>
      <c r="G343">
        <v>194.4</v>
      </c>
      <c r="H343">
        <v>1.0483538999999999</v>
      </c>
      <c r="I343">
        <v>-4.8353960000000001E-2</v>
      </c>
      <c r="J343">
        <v>0.48819685000000002</v>
      </c>
      <c r="K343">
        <f xml:space="preserve"> -55.696 * _2026_04_17_16_25_21_23_high[[#This Row],[coeff]] + 79.57</f>
        <v>21.180881185600001</v>
      </c>
      <c r="L343">
        <f xml:space="preserve"> -55.696 * _2026_04_17_16_25_21_23_high[[#This Row],[coeff]] + 79.57</f>
        <v>21.180881185600001</v>
      </c>
    </row>
    <row r="344" spans="1:12" x14ac:dyDescent="0.3">
      <c r="A344">
        <v>342</v>
      </c>
      <c r="B344">
        <v>8810</v>
      </c>
      <c r="C344" t="b">
        <v>1</v>
      </c>
      <c r="D344">
        <v>8030</v>
      </c>
      <c r="E344">
        <v>8099</v>
      </c>
      <c r="F344">
        <v>202.6</v>
      </c>
      <c r="G344">
        <v>194</v>
      </c>
      <c r="H344">
        <v>1.0443298999999999</v>
      </c>
      <c r="I344">
        <v>-4.4329929999999997E-2</v>
      </c>
      <c r="J344">
        <v>0.48915783000000002</v>
      </c>
      <c r="K344">
        <f xml:space="preserve"> -55.696 * _2026_04_17_16_25_21_23_high[[#This Row],[coeff]] + 79.57</f>
        <v>21.405001889600001</v>
      </c>
      <c r="L344">
        <f xml:space="preserve"> -55.696 * _2026_04_17_16_25_21_23_high[[#This Row],[coeff]] + 79.57</f>
        <v>21.405001889600001</v>
      </c>
    </row>
    <row r="345" spans="1:12" x14ac:dyDescent="0.3">
      <c r="A345">
        <v>343</v>
      </c>
      <c r="B345">
        <v>8826</v>
      </c>
      <c r="C345" t="b">
        <v>1</v>
      </c>
      <c r="D345">
        <v>8023</v>
      </c>
      <c r="E345">
        <v>8111</v>
      </c>
      <c r="F345">
        <v>201.4</v>
      </c>
      <c r="G345">
        <v>193.2</v>
      </c>
      <c r="H345">
        <v>1.042443</v>
      </c>
      <c r="I345">
        <v>-4.2443050000000003E-2</v>
      </c>
      <c r="J345">
        <v>0.48960975000000001</v>
      </c>
      <c r="K345">
        <f xml:space="preserve"> -55.696 * _2026_04_17_16_25_21_23_high[[#This Row],[coeff]] + 79.57</f>
        <v>21.510094671999994</v>
      </c>
      <c r="L345">
        <f xml:space="preserve"> -55.696 * _2026_04_17_16_25_21_23_high[[#This Row],[coeff]] + 79.57</f>
        <v>21.510094671999994</v>
      </c>
    </row>
    <row r="346" spans="1:12" x14ac:dyDescent="0.3">
      <c r="A346">
        <v>344</v>
      </c>
      <c r="B346">
        <v>8842</v>
      </c>
      <c r="C346" t="b">
        <v>1</v>
      </c>
      <c r="D346">
        <v>8048</v>
      </c>
      <c r="E346">
        <v>8105</v>
      </c>
      <c r="F346">
        <v>200.66667000000001</v>
      </c>
      <c r="G346">
        <v>193.2</v>
      </c>
      <c r="H346">
        <v>1.0386474000000001</v>
      </c>
      <c r="I346">
        <v>-3.8647386999999998E-2</v>
      </c>
      <c r="J346">
        <v>0.49052129999999999</v>
      </c>
      <c r="K346">
        <f xml:space="preserve"> -55.696 * _2026_04_17_16_25_21_23_high[[#This Row],[coeff]] + 79.57</f>
        <v>21.721494409599991</v>
      </c>
      <c r="L346">
        <f xml:space="preserve"> -55.696 * _2026_04_17_16_25_21_23_high[[#This Row],[coeff]] + 79.57</f>
        <v>21.721494409599991</v>
      </c>
    </row>
    <row r="347" spans="1:12" x14ac:dyDescent="0.3">
      <c r="A347">
        <v>345</v>
      </c>
      <c r="B347">
        <v>8857</v>
      </c>
      <c r="C347" t="b">
        <v>1</v>
      </c>
      <c r="D347">
        <v>8060</v>
      </c>
      <c r="E347">
        <v>8093</v>
      </c>
      <c r="F347">
        <v>200.66667000000001</v>
      </c>
      <c r="G347">
        <v>193.2</v>
      </c>
      <c r="H347">
        <v>1.0386474000000001</v>
      </c>
      <c r="I347">
        <v>-3.8647386999999998E-2</v>
      </c>
      <c r="J347">
        <v>0.49052129999999999</v>
      </c>
      <c r="K347">
        <f xml:space="preserve"> -55.696 * _2026_04_17_16_25_21_23_high[[#This Row],[coeff]] + 79.57</f>
        <v>21.721494409599991</v>
      </c>
      <c r="L347">
        <f xml:space="preserve"> -55.696 * _2026_04_17_16_25_21_23_high[[#This Row],[coeff]] + 79.57</f>
        <v>21.721494409599991</v>
      </c>
    </row>
    <row r="348" spans="1:12" x14ac:dyDescent="0.3">
      <c r="A348">
        <v>346</v>
      </c>
      <c r="B348">
        <v>8873</v>
      </c>
      <c r="C348" t="b">
        <v>1</v>
      </c>
      <c r="D348">
        <v>8017</v>
      </c>
      <c r="E348">
        <v>8105</v>
      </c>
      <c r="F348">
        <v>199.46665999999999</v>
      </c>
      <c r="G348">
        <v>193.2</v>
      </c>
      <c r="H348">
        <v>1.0324361</v>
      </c>
      <c r="I348">
        <v>-3.2436144E-2</v>
      </c>
      <c r="J348">
        <v>0.49202036999999998</v>
      </c>
      <c r="K348">
        <f xml:space="preserve"> -55.696 * _2026_04_17_16_25_21_23_high[[#This Row],[coeff]] + 79.57</f>
        <v>22.067438974399998</v>
      </c>
      <c r="L348">
        <f xml:space="preserve"> -55.696 * _2026_04_17_16_25_21_23_high[[#This Row],[coeff]] + 79.57</f>
        <v>22.067438974399998</v>
      </c>
    </row>
    <row r="349" spans="1:12" x14ac:dyDescent="0.3">
      <c r="A349">
        <v>347</v>
      </c>
      <c r="B349">
        <v>8889</v>
      </c>
      <c r="C349" t="b">
        <v>1</v>
      </c>
      <c r="D349">
        <v>8037</v>
      </c>
      <c r="E349">
        <v>8081</v>
      </c>
      <c r="F349">
        <v>199.13333</v>
      </c>
      <c r="G349">
        <v>193.2</v>
      </c>
      <c r="H349">
        <v>1.0307108</v>
      </c>
      <c r="I349">
        <v>-3.071084E-2</v>
      </c>
      <c r="J349">
        <v>0.4924384</v>
      </c>
      <c r="K349">
        <f xml:space="preserve"> -55.696 * _2026_04_17_16_25_21_23_high[[#This Row],[coeff]] + 79.57</f>
        <v>22.163531283199994</v>
      </c>
      <c r="L349">
        <f xml:space="preserve"> -55.696 * _2026_04_17_16_25_21_23_high[[#This Row],[coeff]] + 79.57</f>
        <v>22.163531283199994</v>
      </c>
    </row>
    <row r="350" spans="1:12" x14ac:dyDescent="0.3">
      <c r="A350">
        <v>348</v>
      </c>
      <c r="B350">
        <v>8905</v>
      </c>
      <c r="C350" t="b">
        <v>1</v>
      </c>
      <c r="D350">
        <v>8030</v>
      </c>
      <c r="E350">
        <v>8123</v>
      </c>
      <c r="F350">
        <v>198.8</v>
      </c>
      <c r="G350">
        <v>193.2</v>
      </c>
      <c r="H350">
        <v>1.0289855000000001</v>
      </c>
      <c r="I350">
        <v>-2.8985540000000001E-2</v>
      </c>
      <c r="J350">
        <v>0.49285712999999998</v>
      </c>
      <c r="K350">
        <f xml:space="preserve"> -55.696 * _2026_04_17_16_25_21_23_high[[#This Row],[coeff]] + 79.57</f>
        <v>22.25962359199999</v>
      </c>
      <c r="L350">
        <f xml:space="preserve"> -55.696 * _2026_04_17_16_25_21_23_high[[#This Row],[coeff]] + 79.57</f>
        <v>22.25962359199999</v>
      </c>
    </row>
    <row r="351" spans="1:12" x14ac:dyDescent="0.3">
      <c r="A351">
        <v>349</v>
      </c>
      <c r="B351">
        <v>8921</v>
      </c>
      <c r="C351" t="b">
        <v>1</v>
      </c>
      <c r="D351">
        <v>8023</v>
      </c>
      <c r="E351">
        <v>8111</v>
      </c>
      <c r="F351">
        <v>198</v>
      </c>
      <c r="G351">
        <v>192.8</v>
      </c>
      <c r="H351">
        <v>1.0269710000000001</v>
      </c>
      <c r="I351">
        <v>-2.6970938E-2</v>
      </c>
      <c r="J351">
        <v>0.49334699999999998</v>
      </c>
      <c r="K351">
        <f xml:space="preserve"> -55.696 * _2026_04_17_16_25_21_23_high[[#This Row],[coeff]] + 79.57</f>
        <v>22.371823183999993</v>
      </c>
      <c r="L351">
        <f xml:space="preserve"> -55.696 * _2026_04_17_16_25_21_23_high[[#This Row],[coeff]] + 79.57</f>
        <v>22.371823183999993</v>
      </c>
    </row>
    <row r="352" spans="1:12" x14ac:dyDescent="0.3">
      <c r="A352">
        <v>350</v>
      </c>
      <c r="B352">
        <v>8937</v>
      </c>
      <c r="C352" t="b">
        <v>1</v>
      </c>
      <c r="D352">
        <v>8054</v>
      </c>
      <c r="E352">
        <v>8093</v>
      </c>
      <c r="F352">
        <v>197.2</v>
      </c>
      <c r="G352">
        <v>192.4</v>
      </c>
      <c r="H352">
        <v>1.024948</v>
      </c>
      <c r="I352">
        <v>-2.4948042E-2</v>
      </c>
      <c r="J352">
        <v>0.49383986000000002</v>
      </c>
      <c r="K352">
        <f xml:space="preserve"> -55.696 * _2026_04_17_16_25_21_23_high[[#This Row],[coeff]] + 79.57</f>
        <v>22.484496191999995</v>
      </c>
      <c r="L352">
        <f xml:space="preserve"> -55.696 * _2026_04_17_16_25_21_23_high[[#This Row],[coeff]] + 79.57</f>
        <v>22.484496191999995</v>
      </c>
    </row>
    <row r="353" spans="1:12" x14ac:dyDescent="0.3">
      <c r="A353">
        <v>351</v>
      </c>
      <c r="B353">
        <v>8953</v>
      </c>
      <c r="C353" t="b">
        <v>1</v>
      </c>
      <c r="D353">
        <v>8030</v>
      </c>
      <c r="E353">
        <v>8099</v>
      </c>
      <c r="F353">
        <v>196.4</v>
      </c>
      <c r="G353">
        <v>191.6</v>
      </c>
      <c r="H353">
        <v>1.0250520999999999</v>
      </c>
      <c r="I353">
        <v>-2.5052128E-2</v>
      </c>
      <c r="J353">
        <v>0.49381444000000002</v>
      </c>
      <c r="K353">
        <f xml:space="preserve"> -55.696 * _2026_04_17_16_25_21_23_high[[#This Row],[coeff]] + 79.57</f>
        <v>22.4786982384</v>
      </c>
      <c r="L353">
        <f xml:space="preserve"> -55.696 * _2026_04_17_16_25_21_23_high[[#This Row],[coeff]] + 79.57</f>
        <v>22.4786982384</v>
      </c>
    </row>
    <row r="354" spans="1:12" x14ac:dyDescent="0.3">
      <c r="A354">
        <v>352</v>
      </c>
      <c r="B354">
        <v>8968</v>
      </c>
      <c r="C354" t="b">
        <v>1</v>
      </c>
      <c r="D354">
        <v>8042</v>
      </c>
      <c r="E354">
        <v>8099</v>
      </c>
      <c r="F354">
        <v>195.2</v>
      </c>
      <c r="G354">
        <v>190.8</v>
      </c>
      <c r="H354">
        <v>1.0230608000000001</v>
      </c>
      <c r="I354">
        <v>-2.3060765E-2</v>
      </c>
      <c r="J354">
        <v>0.49430049999999998</v>
      </c>
      <c r="K354">
        <f xml:space="preserve"> -55.696 * _2026_04_17_16_25_21_23_high[[#This Row],[coeff]] + 79.57</f>
        <v>22.589605683199991</v>
      </c>
      <c r="L354">
        <f xml:space="preserve"> -55.696 * _2026_04_17_16_25_21_23_high[[#This Row],[coeff]] + 79.57</f>
        <v>22.589605683199991</v>
      </c>
    </row>
    <row r="355" spans="1:12" x14ac:dyDescent="0.3">
      <c r="A355">
        <v>353</v>
      </c>
      <c r="B355">
        <v>8984</v>
      </c>
      <c r="C355" t="b">
        <v>1</v>
      </c>
      <c r="D355">
        <v>8048</v>
      </c>
      <c r="E355">
        <v>8105</v>
      </c>
      <c r="F355">
        <v>194.8</v>
      </c>
      <c r="G355">
        <v>189.2</v>
      </c>
      <c r="H355">
        <v>1.0295984</v>
      </c>
      <c r="I355">
        <v>-2.9598342E-2</v>
      </c>
      <c r="J355">
        <v>0.49270833000000003</v>
      </c>
      <c r="K355">
        <f xml:space="preserve"> -55.696 * _2026_04_17_16_25_21_23_high[[#This Row],[coeff]] + 79.57</f>
        <v>22.225487513599994</v>
      </c>
      <c r="L355">
        <f xml:space="preserve"> -55.696 * _2026_04_17_16_25_21_23_high[[#This Row],[coeff]] + 79.57</f>
        <v>22.225487513599994</v>
      </c>
    </row>
    <row r="356" spans="1:12" x14ac:dyDescent="0.3">
      <c r="A356">
        <v>354</v>
      </c>
      <c r="B356">
        <v>9000</v>
      </c>
      <c r="C356" t="b">
        <v>1</v>
      </c>
      <c r="D356">
        <v>8030</v>
      </c>
      <c r="E356">
        <v>8111</v>
      </c>
      <c r="F356">
        <v>195.13333</v>
      </c>
      <c r="G356">
        <v>187.6</v>
      </c>
      <c r="H356">
        <v>1.0401564000000001</v>
      </c>
      <c r="I356">
        <v>-4.0156315999999997E-2</v>
      </c>
      <c r="J356">
        <v>0.49015852999999998</v>
      </c>
      <c r="K356">
        <f xml:space="preserve"> -55.696 * _2026_04_17_16_25_21_23_high[[#This Row],[coeff]] + 79.57</f>
        <v>21.637449145599987</v>
      </c>
      <c r="L356">
        <f xml:space="preserve"> -55.696 * _2026_04_17_16_25_21_23_high[[#This Row],[coeff]] + 79.57</f>
        <v>21.637449145599987</v>
      </c>
    </row>
    <row r="357" spans="1:12" x14ac:dyDescent="0.3">
      <c r="A357">
        <v>355</v>
      </c>
      <c r="B357">
        <v>9016</v>
      </c>
      <c r="C357" t="b">
        <v>1</v>
      </c>
      <c r="D357">
        <v>8023</v>
      </c>
      <c r="E357">
        <v>8164</v>
      </c>
      <c r="F357">
        <v>194.66667000000001</v>
      </c>
      <c r="G357">
        <v>187.6</v>
      </c>
      <c r="H357">
        <v>1.0376688000000001</v>
      </c>
      <c r="I357">
        <v>-3.7668790000000001E-2</v>
      </c>
      <c r="J357">
        <v>0.4907569</v>
      </c>
      <c r="K357">
        <f xml:space="preserve"> -55.696 * _2026_04_17_16_25_21_23_high[[#This Row],[coeff]] + 79.57</f>
        <v>21.775998515199994</v>
      </c>
      <c r="L357">
        <f xml:space="preserve"> -55.696 * _2026_04_17_16_25_21_23_high[[#This Row],[coeff]] + 79.57</f>
        <v>21.775998515199994</v>
      </c>
    </row>
    <row r="358" spans="1:12" x14ac:dyDescent="0.3">
      <c r="A358">
        <v>356</v>
      </c>
      <c r="B358">
        <v>9032</v>
      </c>
      <c r="C358" t="b">
        <v>1</v>
      </c>
      <c r="D358">
        <v>8037</v>
      </c>
      <c r="E358">
        <v>8117</v>
      </c>
      <c r="F358">
        <v>194.66667000000001</v>
      </c>
      <c r="G358">
        <v>188</v>
      </c>
      <c r="H358">
        <v>1.0354611</v>
      </c>
      <c r="I358">
        <v>-3.5461020000000003E-2</v>
      </c>
      <c r="J358">
        <v>0.49128917</v>
      </c>
      <c r="K358">
        <f xml:space="preserve"> -55.696 * _2026_04_17_16_25_21_23_high[[#This Row],[coeff]] + 79.57</f>
        <v>21.898958574399991</v>
      </c>
      <c r="L358">
        <f xml:space="preserve"> -55.696 * _2026_04_17_16_25_21_23_high[[#This Row],[coeff]] + 79.57</f>
        <v>21.898958574399991</v>
      </c>
    </row>
    <row r="359" spans="1:12" x14ac:dyDescent="0.3">
      <c r="A359">
        <v>357</v>
      </c>
      <c r="B359">
        <v>9063</v>
      </c>
      <c r="C359" t="b">
        <v>1</v>
      </c>
      <c r="D359">
        <v>8037</v>
      </c>
      <c r="E359">
        <v>8111</v>
      </c>
      <c r="F359">
        <v>195.13333</v>
      </c>
      <c r="G359">
        <v>188.8</v>
      </c>
      <c r="H359">
        <v>1.0335451</v>
      </c>
      <c r="I359">
        <v>-3.3545169999999999E-2</v>
      </c>
      <c r="J359">
        <v>0.49175203000000001</v>
      </c>
      <c r="K359">
        <f xml:space="preserve"> -55.696 * _2026_04_17_16_25_21_23_high[[#This Row],[coeff]] + 79.57</f>
        <v>22.005672110399999</v>
      </c>
      <c r="L359">
        <f xml:space="preserve"> -55.696 * _2026_04_17_16_25_21_23_high[[#This Row],[coeff]] + 79.57</f>
        <v>22.005672110399999</v>
      </c>
    </row>
    <row r="360" spans="1:12" x14ac:dyDescent="0.3">
      <c r="A360">
        <v>358</v>
      </c>
      <c r="B360">
        <v>9096</v>
      </c>
      <c r="C360" t="b">
        <v>1</v>
      </c>
      <c r="D360">
        <v>8037</v>
      </c>
      <c r="E360">
        <v>8117</v>
      </c>
      <c r="F360">
        <v>195.6</v>
      </c>
      <c r="G360">
        <v>190</v>
      </c>
      <c r="H360">
        <v>1.0294737</v>
      </c>
      <c r="I360">
        <v>-2.9473716E-2</v>
      </c>
      <c r="J360">
        <v>0.49273856999999999</v>
      </c>
      <c r="K360">
        <f xml:space="preserve"> -55.696 * _2026_04_17_16_25_21_23_high[[#This Row],[coeff]] + 79.57</f>
        <v>22.232432804799991</v>
      </c>
      <c r="L360">
        <f xml:space="preserve"> -55.696 * _2026_04_17_16_25_21_23_high[[#This Row],[coeff]] + 79.57</f>
        <v>22.232432804799991</v>
      </c>
    </row>
    <row r="361" spans="1:12" x14ac:dyDescent="0.3">
      <c r="A361">
        <v>359</v>
      </c>
      <c r="B361">
        <v>9127</v>
      </c>
      <c r="C361" t="b">
        <v>1</v>
      </c>
      <c r="D361">
        <v>8042</v>
      </c>
      <c r="E361">
        <v>8129</v>
      </c>
      <c r="F361">
        <v>195.6</v>
      </c>
      <c r="G361">
        <v>190.8</v>
      </c>
      <c r="H361">
        <v>1.0251572</v>
      </c>
      <c r="I361">
        <v>-2.5157249E-2</v>
      </c>
      <c r="J361">
        <v>0.49378880000000003</v>
      </c>
      <c r="K361">
        <f xml:space="preserve"> -55.696 * _2026_04_17_16_25_21_23_high[[#This Row],[coeff]] + 79.57</f>
        <v>22.472844588799994</v>
      </c>
      <c r="L361">
        <f xml:space="preserve"> -55.696 * _2026_04_17_16_25_21_23_high[[#This Row],[coeff]] + 79.57</f>
        <v>22.472844588799994</v>
      </c>
    </row>
    <row r="362" spans="1:12" x14ac:dyDescent="0.3">
      <c r="A362">
        <v>360</v>
      </c>
      <c r="B362">
        <v>9143</v>
      </c>
      <c r="C362" t="b">
        <v>1</v>
      </c>
      <c r="D362">
        <v>8042</v>
      </c>
      <c r="E362">
        <v>8117</v>
      </c>
      <c r="F362">
        <v>194.86667</v>
      </c>
      <c r="G362">
        <v>191.6</v>
      </c>
      <c r="H362">
        <v>1.0170494000000001</v>
      </c>
      <c r="I362">
        <v>-1.7049386999999999E-2</v>
      </c>
      <c r="J362">
        <v>0.49577367</v>
      </c>
      <c r="K362">
        <f xml:space="preserve"> -55.696 * _2026_04_17_16_25_21_23_high[[#This Row],[coeff]] + 79.57</f>
        <v>22.924416617599988</v>
      </c>
      <c r="L362">
        <f xml:space="preserve"> -55.696 * _2026_04_17_16_25_21_23_high[[#This Row],[coeff]] + 79.57</f>
        <v>22.924416617599988</v>
      </c>
    </row>
    <row r="363" spans="1:12" x14ac:dyDescent="0.3">
      <c r="A363">
        <v>361</v>
      </c>
      <c r="B363">
        <v>9175</v>
      </c>
      <c r="C363" t="b">
        <v>1</v>
      </c>
      <c r="D363">
        <v>8037</v>
      </c>
      <c r="E363">
        <v>8105</v>
      </c>
      <c r="F363">
        <v>195.33332999999999</v>
      </c>
      <c r="G363">
        <v>192.4</v>
      </c>
      <c r="H363">
        <v>1.0152460000000001</v>
      </c>
      <c r="I363">
        <v>-1.5246021E-2</v>
      </c>
      <c r="J363">
        <v>0.49621729999999997</v>
      </c>
      <c r="K363">
        <f xml:space="preserve"> -55.696 * _2026_04_17_16_25_21_23_high[[#This Row],[coeff]] + 79.57</f>
        <v>23.024858783999989</v>
      </c>
      <c r="L363">
        <f xml:space="preserve"> -55.696 * _2026_04_17_16_25_21_23_high[[#This Row],[coeff]] + 79.57</f>
        <v>23.024858783999989</v>
      </c>
    </row>
    <row r="364" spans="1:12" x14ac:dyDescent="0.3">
      <c r="A364">
        <v>362</v>
      </c>
      <c r="B364">
        <v>9191</v>
      </c>
      <c r="C364" t="b">
        <v>1</v>
      </c>
      <c r="D364">
        <v>8060</v>
      </c>
      <c r="E364">
        <v>8093</v>
      </c>
      <c r="F364">
        <v>195.66667000000001</v>
      </c>
      <c r="G364">
        <v>193.2</v>
      </c>
      <c r="H364">
        <v>1.0127674</v>
      </c>
      <c r="I364">
        <v>-1.2767469E-2</v>
      </c>
      <c r="J364">
        <v>0.49682838000000001</v>
      </c>
      <c r="K364">
        <f xml:space="preserve"> -55.696 * _2026_04_17_16_25_21_23_high[[#This Row],[coeff]] + 79.57</f>
        <v>23.162906889599995</v>
      </c>
      <c r="L364">
        <f xml:space="preserve"> -55.696 * _2026_04_17_16_25_21_23_high[[#This Row],[coeff]] + 79.57</f>
        <v>23.162906889599995</v>
      </c>
    </row>
    <row r="365" spans="1:12" x14ac:dyDescent="0.3">
      <c r="A365">
        <v>363</v>
      </c>
      <c r="B365">
        <v>9207</v>
      </c>
      <c r="C365" t="b">
        <v>1</v>
      </c>
      <c r="D365">
        <v>8048</v>
      </c>
      <c r="E365">
        <v>8117</v>
      </c>
      <c r="F365">
        <v>196</v>
      </c>
      <c r="G365">
        <v>194</v>
      </c>
      <c r="H365">
        <v>1.0103092</v>
      </c>
      <c r="I365">
        <v>-1.0309278E-2</v>
      </c>
      <c r="J365">
        <v>0.49743589999999999</v>
      </c>
      <c r="K365">
        <f xml:space="preserve"> -55.696 * _2026_04_17_16_25_21_23_high[[#This Row],[coeff]] + 79.57</f>
        <v>23.299818796799997</v>
      </c>
      <c r="L365">
        <f xml:space="preserve"> -55.696 * _2026_04_17_16_25_21_23_high[[#This Row],[coeff]] + 79.57</f>
        <v>23.299818796799997</v>
      </c>
    </row>
    <row r="366" spans="1:12" x14ac:dyDescent="0.3">
      <c r="A366">
        <v>364</v>
      </c>
      <c r="B366">
        <v>9238</v>
      </c>
      <c r="C366" t="b">
        <v>1</v>
      </c>
      <c r="D366">
        <v>8017</v>
      </c>
      <c r="E366">
        <v>8140</v>
      </c>
      <c r="F366">
        <v>196.8</v>
      </c>
      <c r="G366">
        <v>194.8</v>
      </c>
      <c r="H366">
        <v>1.0102669</v>
      </c>
      <c r="I366">
        <v>-1.026694E-2</v>
      </c>
      <c r="J366">
        <v>0.49744640000000001</v>
      </c>
      <c r="K366">
        <f xml:space="preserve"> -55.696 * _2026_04_17_16_25_21_23_high[[#This Row],[coeff]] + 79.57</f>
        <v>23.302174737599998</v>
      </c>
      <c r="L366">
        <f xml:space="preserve"> -55.696 * _2026_04_17_16_25_21_23_high[[#This Row],[coeff]] + 79.57</f>
        <v>23.302174737599998</v>
      </c>
    </row>
    <row r="367" spans="1:12" x14ac:dyDescent="0.3">
      <c r="A367">
        <v>365</v>
      </c>
      <c r="B367">
        <v>9270</v>
      </c>
      <c r="C367" t="b">
        <v>1</v>
      </c>
      <c r="D367">
        <v>8030</v>
      </c>
      <c r="E367">
        <v>8105</v>
      </c>
      <c r="F367">
        <v>197.26666</v>
      </c>
      <c r="G367">
        <v>194.8</v>
      </c>
      <c r="H367">
        <v>1.0126625</v>
      </c>
      <c r="I367">
        <v>-1.2662523E-2</v>
      </c>
      <c r="J367">
        <v>0.49685430000000003</v>
      </c>
      <c r="K367">
        <f xml:space="preserve"> -55.696 * _2026_04_17_16_25_21_23_high[[#This Row],[coeff]] + 79.57</f>
        <v>23.168749399999996</v>
      </c>
      <c r="L367">
        <f xml:space="preserve"> -55.696 * _2026_04_17_16_25_21_23_high[[#This Row],[coeff]] + 79.57</f>
        <v>23.168749399999996</v>
      </c>
    </row>
    <row r="368" spans="1:12" x14ac:dyDescent="0.3">
      <c r="A368">
        <v>366</v>
      </c>
      <c r="B368">
        <v>9301</v>
      </c>
      <c r="C368" t="b">
        <v>1</v>
      </c>
      <c r="D368">
        <v>8042</v>
      </c>
      <c r="E368">
        <v>8099</v>
      </c>
      <c r="F368">
        <v>198.06666999999999</v>
      </c>
      <c r="G368">
        <v>195.2</v>
      </c>
      <c r="H368">
        <v>1.0146858000000001</v>
      </c>
      <c r="I368">
        <v>-1.4685803000000001E-2</v>
      </c>
      <c r="J368">
        <v>0.49635531999999999</v>
      </c>
      <c r="K368">
        <f xml:space="preserve"> -55.696 * _2026_04_17_16_25_21_23_high[[#This Row],[coeff]] + 79.57</f>
        <v>23.05605968319999</v>
      </c>
      <c r="L368">
        <f xml:space="preserve"> -55.696 * _2026_04_17_16_25_21_23_high[[#This Row],[coeff]] + 79.57</f>
        <v>23.05605968319999</v>
      </c>
    </row>
    <row r="369" spans="1:12" x14ac:dyDescent="0.3">
      <c r="A369">
        <v>367</v>
      </c>
      <c r="B369">
        <v>9333</v>
      </c>
      <c r="C369" t="b">
        <v>1</v>
      </c>
      <c r="D369">
        <v>8030</v>
      </c>
      <c r="E369">
        <v>8111</v>
      </c>
      <c r="F369">
        <v>198.06666999999999</v>
      </c>
      <c r="G369">
        <v>196</v>
      </c>
      <c r="H369">
        <v>1.0105442</v>
      </c>
      <c r="I369">
        <v>-1.0544213E-2</v>
      </c>
      <c r="J369">
        <v>0.49737777999999999</v>
      </c>
      <c r="K369">
        <f xml:space="preserve"> -55.696 * _2026_04_17_16_25_21_23_high[[#This Row],[coeff]] + 79.57</f>
        <v>23.286730236799997</v>
      </c>
      <c r="L369">
        <f xml:space="preserve"> -55.696 * _2026_04_17_16_25_21_23_high[[#This Row],[coeff]] + 79.57</f>
        <v>23.286730236799997</v>
      </c>
    </row>
    <row r="370" spans="1:12" x14ac:dyDescent="0.3">
      <c r="A370">
        <v>368</v>
      </c>
      <c r="B370">
        <v>9365</v>
      </c>
      <c r="C370" t="b">
        <v>1</v>
      </c>
      <c r="D370">
        <v>8042</v>
      </c>
      <c r="E370">
        <v>8099</v>
      </c>
      <c r="F370">
        <v>197.26666</v>
      </c>
      <c r="G370">
        <v>196.4</v>
      </c>
      <c r="H370">
        <v>1.0044128000000001</v>
      </c>
      <c r="I370">
        <v>-4.4127734999999998E-3</v>
      </c>
      <c r="J370">
        <v>0.49889921999999998</v>
      </c>
      <c r="K370">
        <f xml:space="preserve"> -55.696 * _2026_04_17_16_25_21_23_high[[#This Row],[coeff]] + 79.57</f>
        <v>23.628224691199989</v>
      </c>
      <c r="L370">
        <f xml:space="preserve"> -55.696 * _2026_04_17_16_25_21_23_high[[#This Row],[coeff]] + 79.57</f>
        <v>23.628224691199989</v>
      </c>
    </row>
    <row r="371" spans="1:12" x14ac:dyDescent="0.3">
      <c r="A371">
        <v>369</v>
      </c>
      <c r="B371">
        <v>9381</v>
      </c>
      <c r="C371" t="b">
        <v>1</v>
      </c>
      <c r="D371">
        <v>8048</v>
      </c>
      <c r="E371">
        <v>8105</v>
      </c>
      <c r="F371">
        <v>197.26666</v>
      </c>
      <c r="G371">
        <v>196.8</v>
      </c>
      <c r="H371">
        <v>1.0023712</v>
      </c>
      <c r="I371">
        <v>-2.3712374000000001E-3</v>
      </c>
      <c r="J371">
        <v>0.49940792000000001</v>
      </c>
      <c r="K371">
        <f xml:space="preserve"> -55.696 * _2026_04_17_16_25_21_23_high[[#This Row],[coeff]] + 79.57</f>
        <v>23.741933644799992</v>
      </c>
      <c r="L371">
        <f xml:space="preserve"> -55.696 * _2026_04_17_16_25_21_23_high[[#This Row],[coeff]] + 79.57</f>
        <v>23.741933644799992</v>
      </c>
    </row>
    <row r="372" spans="1:12" x14ac:dyDescent="0.3">
      <c r="A372">
        <v>370</v>
      </c>
      <c r="B372">
        <v>9397</v>
      </c>
      <c r="C372" t="b">
        <v>1</v>
      </c>
      <c r="D372">
        <v>8042</v>
      </c>
      <c r="E372">
        <v>8105</v>
      </c>
      <c r="F372">
        <v>198.06666999999999</v>
      </c>
      <c r="G372">
        <v>196.8</v>
      </c>
      <c r="H372">
        <v>1.0064363000000001</v>
      </c>
      <c r="I372">
        <v>-6.4362934999999998E-3</v>
      </c>
      <c r="J372">
        <v>0.49839610000000001</v>
      </c>
      <c r="K372">
        <f xml:space="preserve"> -55.696 * _2026_04_17_16_25_21_23_high[[#This Row],[coeff]] + 79.57</f>
        <v>23.515523835199993</v>
      </c>
      <c r="L372">
        <f xml:space="preserve"> -55.696 * _2026_04_17_16_25_21_23_high[[#This Row],[coeff]] + 79.57</f>
        <v>23.515523835199993</v>
      </c>
    </row>
    <row r="373" spans="1:12" x14ac:dyDescent="0.3">
      <c r="A373">
        <v>371</v>
      </c>
      <c r="B373">
        <v>9412</v>
      </c>
      <c r="C373" t="b">
        <v>1</v>
      </c>
      <c r="D373">
        <v>8030</v>
      </c>
      <c r="E373">
        <v>8111</v>
      </c>
      <c r="F373">
        <v>198.4</v>
      </c>
      <c r="G373">
        <v>196.4</v>
      </c>
      <c r="H373">
        <v>1.0101833</v>
      </c>
      <c r="I373">
        <v>-1.0183299999999999E-2</v>
      </c>
      <c r="J373">
        <v>0.49746707000000001</v>
      </c>
      <c r="K373">
        <f xml:space="preserve"> -55.696 * _2026_04_17_16_25_21_23_high[[#This Row],[coeff]] + 79.57</f>
        <v>23.306830923199996</v>
      </c>
      <c r="L373">
        <f xml:space="preserve"> -55.696 * _2026_04_17_16_25_21_23_high[[#This Row],[coeff]] + 79.57</f>
        <v>23.306830923199996</v>
      </c>
    </row>
    <row r="374" spans="1:12" x14ac:dyDescent="0.3">
      <c r="A374">
        <v>372</v>
      </c>
      <c r="B374">
        <v>9444</v>
      </c>
      <c r="C374" t="b">
        <v>1</v>
      </c>
      <c r="D374">
        <v>8048</v>
      </c>
      <c r="E374">
        <v>8123</v>
      </c>
      <c r="F374">
        <v>198.73334</v>
      </c>
      <c r="G374">
        <v>196</v>
      </c>
      <c r="H374">
        <v>1.0139456</v>
      </c>
      <c r="I374">
        <v>-1.3945598999999999E-2</v>
      </c>
      <c r="J374">
        <v>0.49653774000000001</v>
      </c>
      <c r="K374">
        <f xml:space="preserve"> -55.696 * _2026_04_17_16_25_21_23_high[[#This Row],[coeff]] + 79.57</f>
        <v>23.097285862399993</v>
      </c>
      <c r="L374">
        <f xml:space="preserve"> -55.696 * _2026_04_17_16_25_21_23_high[[#This Row],[coeff]] + 79.57</f>
        <v>23.097285862399993</v>
      </c>
    </row>
    <row r="375" spans="1:12" x14ac:dyDescent="0.3">
      <c r="A375">
        <v>373</v>
      </c>
      <c r="B375">
        <v>9460</v>
      </c>
      <c r="C375" t="b">
        <v>1</v>
      </c>
      <c r="D375">
        <v>8048</v>
      </c>
      <c r="E375">
        <v>8099</v>
      </c>
      <c r="F375">
        <v>199.46665999999999</v>
      </c>
      <c r="G375">
        <v>195.2</v>
      </c>
      <c r="H375">
        <v>1.0218579000000001</v>
      </c>
      <c r="I375">
        <v>-2.1857901999999998E-2</v>
      </c>
      <c r="J375">
        <v>0.4945946</v>
      </c>
      <c r="K375">
        <f xml:space="preserve"> -55.696 * _2026_04_17_16_25_21_23_high[[#This Row],[coeff]] + 79.57</f>
        <v>22.65660240159999</v>
      </c>
      <c r="L375">
        <f xml:space="preserve"> -55.696 * _2026_04_17_16_25_21_23_high[[#This Row],[coeff]] + 79.57</f>
        <v>22.65660240159999</v>
      </c>
    </row>
    <row r="376" spans="1:12" x14ac:dyDescent="0.3">
      <c r="A376">
        <v>374</v>
      </c>
      <c r="B376">
        <v>9476</v>
      </c>
      <c r="C376" t="b">
        <v>1</v>
      </c>
      <c r="D376">
        <v>8037</v>
      </c>
      <c r="E376">
        <v>8123</v>
      </c>
      <c r="F376">
        <v>199.8</v>
      </c>
      <c r="G376">
        <v>194.8</v>
      </c>
      <c r="H376">
        <v>1.0256673000000001</v>
      </c>
      <c r="I376">
        <v>-2.5667349999999998E-2</v>
      </c>
      <c r="J376">
        <v>0.49366447000000002</v>
      </c>
      <c r="K376">
        <f xml:space="preserve"> -55.696 * _2026_04_17_16_25_21_23_high[[#This Row],[coeff]] + 79.57</f>
        <v>22.444434059199992</v>
      </c>
      <c r="L376">
        <f xml:space="preserve"> -55.696 * _2026_04_17_16_25_21_23_high[[#This Row],[coeff]] + 79.57</f>
        <v>22.444434059199992</v>
      </c>
    </row>
    <row r="377" spans="1:12" x14ac:dyDescent="0.3">
      <c r="A377">
        <v>375</v>
      </c>
      <c r="B377">
        <v>9491</v>
      </c>
      <c r="C377" t="b">
        <v>1</v>
      </c>
      <c r="D377">
        <v>8023</v>
      </c>
      <c r="E377">
        <v>8134</v>
      </c>
      <c r="F377">
        <v>199.8</v>
      </c>
      <c r="G377">
        <v>195.2</v>
      </c>
      <c r="H377">
        <v>1.0235656</v>
      </c>
      <c r="I377">
        <v>-2.3565605E-2</v>
      </c>
      <c r="J377">
        <v>0.49417721999999997</v>
      </c>
      <c r="K377">
        <f xml:space="preserve"> -55.696 * _2026_04_17_16_25_21_23_high[[#This Row],[coeff]] + 79.57</f>
        <v>22.561490342399999</v>
      </c>
      <c r="L377">
        <f xml:space="preserve"> -55.696 * _2026_04_17_16_25_21_23_high[[#This Row],[coeff]] + 79.57</f>
        <v>22.561490342399999</v>
      </c>
    </row>
    <row r="378" spans="1:12" x14ac:dyDescent="0.3">
      <c r="A378">
        <v>376</v>
      </c>
      <c r="B378">
        <v>9507</v>
      </c>
      <c r="C378" t="b">
        <v>1</v>
      </c>
      <c r="D378">
        <v>8042</v>
      </c>
      <c r="E378">
        <v>8111</v>
      </c>
      <c r="F378">
        <v>200.13333</v>
      </c>
      <c r="G378">
        <v>195.6</v>
      </c>
      <c r="H378">
        <v>1.0231766</v>
      </c>
      <c r="I378">
        <v>-2.3176507999999998E-2</v>
      </c>
      <c r="J378">
        <v>0.49427226000000002</v>
      </c>
      <c r="K378">
        <f xml:space="preserve"> -55.696 * _2026_04_17_16_25_21_23_high[[#This Row],[coeff]] + 79.57</f>
        <v>22.583156086399995</v>
      </c>
      <c r="L378">
        <f xml:space="preserve"> -55.696 * _2026_04_17_16_25_21_23_high[[#This Row],[coeff]] + 79.57</f>
        <v>22.583156086399995</v>
      </c>
    </row>
    <row r="379" spans="1:12" x14ac:dyDescent="0.3">
      <c r="A379">
        <v>377</v>
      </c>
      <c r="B379">
        <v>9523</v>
      </c>
      <c r="C379" t="b">
        <v>1</v>
      </c>
      <c r="D379">
        <v>8042</v>
      </c>
      <c r="E379">
        <v>8105</v>
      </c>
      <c r="F379">
        <v>200.13333</v>
      </c>
      <c r="G379">
        <v>195.2</v>
      </c>
      <c r="H379">
        <v>1.0252732</v>
      </c>
      <c r="I379">
        <v>-2.5273230000000001E-2</v>
      </c>
      <c r="J379">
        <v>0.49376056000000002</v>
      </c>
      <c r="K379">
        <f xml:space="preserve"> -55.696 * _2026_04_17_16_25_21_23_high[[#This Row],[coeff]] + 79.57</f>
        <v>22.466383852799993</v>
      </c>
      <c r="L379">
        <f xml:space="preserve"> -55.696 * _2026_04_17_16_25_21_23_high[[#This Row],[coeff]] + 79.57</f>
        <v>22.466383852799993</v>
      </c>
    </row>
    <row r="380" spans="1:12" x14ac:dyDescent="0.3">
      <c r="A380">
        <v>378</v>
      </c>
      <c r="B380">
        <v>9539</v>
      </c>
      <c r="C380" t="b">
        <v>1</v>
      </c>
      <c r="D380">
        <v>8037</v>
      </c>
      <c r="E380">
        <v>8111</v>
      </c>
      <c r="F380">
        <v>199.8</v>
      </c>
      <c r="G380">
        <v>194.8</v>
      </c>
      <c r="H380">
        <v>1.0256673000000001</v>
      </c>
      <c r="I380">
        <v>-2.5667349999999998E-2</v>
      </c>
      <c r="J380">
        <v>0.49366447000000002</v>
      </c>
      <c r="K380">
        <f xml:space="preserve"> -55.696 * _2026_04_17_16_25_21_23_high[[#This Row],[coeff]] + 79.57</f>
        <v>22.444434059199992</v>
      </c>
      <c r="L380">
        <f xml:space="preserve"> -55.696 * _2026_04_17_16_25_21_23_high[[#This Row],[coeff]] + 79.57</f>
        <v>22.444434059199992</v>
      </c>
    </row>
    <row r="381" spans="1:12" x14ac:dyDescent="0.3">
      <c r="A381">
        <v>379</v>
      </c>
      <c r="B381">
        <v>9570</v>
      </c>
      <c r="C381" t="b">
        <v>1</v>
      </c>
      <c r="D381">
        <v>8030</v>
      </c>
      <c r="E381">
        <v>8111</v>
      </c>
      <c r="F381">
        <v>199.46665999999999</v>
      </c>
      <c r="G381">
        <v>194.4</v>
      </c>
      <c r="H381">
        <v>1.0260631</v>
      </c>
      <c r="I381">
        <v>-2.6063096000000001E-2</v>
      </c>
      <c r="J381">
        <v>0.49356805999999998</v>
      </c>
      <c r="K381">
        <f xml:space="preserve"> -55.696 * _2026_04_17_16_25_21_23_high[[#This Row],[coeff]] + 79.57</f>
        <v>22.422389582399994</v>
      </c>
      <c r="L381">
        <f xml:space="preserve"> -55.696 * _2026_04_17_16_25_21_23_high[[#This Row],[coeff]] + 79.57</f>
        <v>22.422389582399994</v>
      </c>
    </row>
    <row r="382" spans="1:12" x14ac:dyDescent="0.3">
      <c r="A382">
        <v>380</v>
      </c>
      <c r="B382">
        <v>9586</v>
      </c>
      <c r="C382" t="b">
        <v>1</v>
      </c>
      <c r="D382">
        <v>8054</v>
      </c>
      <c r="E382">
        <v>8129</v>
      </c>
      <c r="F382">
        <v>199.8</v>
      </c>
      <c r="G382">
        <v>194.8</v>
      </c>
      <c r="H382">
        <v>1.0256673000000001</v>
      </c>
      <c r="I382">
        <v>-2.5667349999999998E-2</v>
      </c>
      <c r="J382">
        <v>0.49366447000000002</v>
      </c>
      <c r="K382">
        <f xml:space="preserve"> -55.696 * _2026_04_17_16_25_21_23_high[[#This Row],[coeff]] + 79.57</f>
        <v>22.444434059199992</v>
      </c>
      <c r="L382">
        <f xml:space="preserve"> -55.696 * _2026_04_17_16_25_21_23_high[[#This Row],[coeff]] + 79.57</f>
        <v>22.444434059199992</v>
      </c>
    </row>
    <row r="383" spans="1:12" x14ac:dyDescent="0.3">
      <c r="A383">
        <v>381</v>
      </c>
      <c r="B383">
        <v>9618</v>
      </c>
      <c r="C383" t="b">
        <v>1</v>
      </c>
      <c r="D383">
        <v>8042</v>
      </c>
      <c r="E383">
        <v>8105</v>
      </c>
      <c r="F383">
        <v>199.8</v>
      </c>
      <c r="G383">
        <v>195.2</v>
      </c>
      <c r="H383">
        <v>1.0235656</v>
      </c>
      <c r="I383">
        <v>-2.3565605E-2</v>
      </c>
      <c r="J383">
        <v>0.49417721999999997</v>
      </c>
      <c r="K383">
        <f xml:space="preserve"> -55.696 * _2026_04_17_16_25_21_23_high[[#This Row],[coeff]] + 79.57</f>
        <v>22.561490342399999</v>
      </c>
      <c r="L383">
        <f xml:space="preserve"> -55.696 * _2026_04_17_16_25_21_23_high[[#This Row],[coeff]] + 79.57</f>
        <v>22.561490342399999</v>
      </c>
    </row>
    <row r="384" spans="1:12" x14ac:dyDescent="0.3">
      <c r="A384">
        <v>382</v>
      </c>
      <c r="B384">
        <v>9634</v>
      </c>
      <c r="C384" t="b">
        <v>1</v>
      </c>
      <c r="D384">
        <v>8054</v>
      </c>
      <c r="E384">
        <v>8105</v>
      </c>
      <c r="F384">
        <v>200.6</v>
      </c>
      <c r="G384">
        <v>195.2</v>
      </c>
      <c r="H384">
        <v>1.0276639999999999</v>
      </c>
      <c r="I384">
        <v>-2.7663982E-2</v>
      </c>
      <c r="J384">
        <v>0.49317836999999998</v>
      </c>
      <c r="K384">
        <f xml:space="preserve"> -55.696 * _2026_04_17_16_25_21_23_high[[#This Row],[coeff]] + 79.57</f>
        <v>22.333225855999999</v>
      </c>
      <c r="L384">
        <f xml:space="preserve"> -55.696 * _2026_04_17_16_25_21_23_high[[#This Row],[coeff]] + 79.57</f>
        <v>22.333225855999999</v>
      </c>
    </row>
    <row r="385" spans="1:12" x14ac:dyDescent="0.3">
      <c r="A385">
        <v>383</v>
      </c>
      <c r="B385">
        <v>9650</v>
      </c>
      <c r="C385" t="b">
        <v>1</v>
      </c>
      <c r="D385">
        <v>8030</v>
      </c>
      <c r="E385">
        <v>8123</v>
      </c>
      <c r="F385">
        <v>201.4</v>
      </c>
      <c r="G385">
        <v>195.6</v>
      </c>
      <c r="H385">
        <v>1.0296521999999999</v>
      </c>
      <c r="I385">
        <v>-2.9652287999999999E-2</v>
      </c>
      <c r="J385">
        <v>0.49269523999999998</v>
      </c>
      <c r="K385">
        <f xml:space="preserve"> -55.696 * _2026_04_17_16_25_21_23_high[[#This Row],[coeff]] + 79.57</f>
        <v>22.222491068800004</v>
      </c>
      <c r="L385">
        <f xml:space="preserve"> -55.696 * _2026_04_17_16_25_21_23_high[[#This Row],[coeff]] + 79.57</f>
        <v>22.222491068800004</v>
      </c>
    </row>
    <row r="386" spans="1:12" x14ac:dyDescent="0.3">
      <c r="A386">
        <v>384</v>
      </c>
      <c r="B386">
        <v>9666</v>
      </c>
      <c r="C386" t="b">
        <v>1</v>
      </c>
      <c r="D386">
        <v>8048</v>
      </c>
      <c r="E386">
        <v>8093</v>
      </c>
      <c r="F386">
        <v>201.8</v>
      </c>
      <c r="G386">
        <v>195.6</v>
      </c>
      <c r="H386">
        <v>1.0316973</v>
      </c>
      <c r="I386">
        <v>-3.1697324999999998E-2</v>
      </c>
      <c r="J386">
        <v>0.49219927000000002</v>
      </c>
      <c r="K386">
        <f xml:space="preserve"> -55.696 * _2026_04_17_16_25_21_23_high[[#This Row],[coeff]] + 79.57</f>
        <v>22.108587179199993</v>
      </c>
      <c r="L386">
        <f xml:space="preserve"> -55.696 * _2026_04_17_16_25_21_23_high[[#This Row],[coeff]] + 79.57</f>
        <v>22.108587179199993</v>
      </c>
    </row>
    <row r="387" spans="1:12" x14ac:dyDescent="0.3">
      <c r="A387">
        <v>385</v>
      </c>
      <c r="B387">
        <v>9682</v>
      </c>
      <c r="C387" t="b">
        <v>1</v>
      </c>
      <c r="D387">
        <v>8037</v>
      </c>
      <c r="E387">
        <v>8111</v>
      </c>
      <c r="F387">
        <v>201.8</v>
      </c>
      <c r="G387">
        <v>195.6</v>
      </c>
      <c r="H387">
        <v>1.0316973</v>
      </c>
      <c r="I387">
        <v>-3.1697324999999998E-2</v>
      </c>
      <c r="J387">
        <v>0.49219927000000002</v>
      </c>
      <c r="K387">
        <f xml:space="preserve"> -55.696 * _2026_04_17_16_25_21_23_high[[#This Row],[coeff]] + 79.57</f>
        <v>22.108587179199993</v>
      </c>
      <c r="L387">
        <f xml:space="preserve"> -55.696 * _2026_04_17_16_25_21_23_high[[#This Row],[coeff]] + 79.57</f>
        <v>22.108587179199993</v>
      </c>
    </row>
    <row r="388" spans="1:12" x14ac:dyDescent="0.3">
      <c r="A388">
        <v>386</v>
      </c>
      <c r="B388">
        <v>9698</v>
      </c>
      <c r="C388" t="b">
        <v>1</v>
      </c>
      <c r="D388">
        <v>8048</v>
      </c>
      <c r="E388">
        <v>8099</v>
      </c>
      <c r="F388">
        <v>202.2</v>
      </c>
      <c r="G388">
        <v>195.6</v>
      </c>
      <c r="H388">
        <v>1.0337422999999999</v>
      </c>
      <c r="I388">
        <v>-3.3742282999999998E-2</v>
      </c>
      <c r="J388">
        <v>0.49170439999999999</v>
      </c>
      <c r="K388">
        <f xml:space="preserve"> -55.696 * _2026_04_17_16_25_21_23_high[[#This Row],[coeff]] + 79.57</f>
        <v>21.994688859200004</v>
      </c>
      <c r="L388">
        <f xml:space="preserve"> -55.696 * _2026_04_17_16_25_21_23_high[[#This Row],[coeff]] + 79.57</f>
        <v>21.994688859200004</v>
      </c>
    </row>
    <row r="389" spans="1:12" x14ac:dyDescent="0.3">
      <c r="A389">
        <v>387</v>
      </c>
      <c r="B389">
        <v>9714</v>
      </c>
      <c r="C389" t="b">
        <v>1</v>
      </c>
      <c r="D389">
        <v>8037</v>
      </c>
      <c r="E389">
        <v>8129</v>
      </c>
      <c r="F389">
        <v>201.86667</v>
      </c>
      <c r="G389">
        <v>196</v>
      </c>
      <c r="H389">
        <v>1.0299320000000001</v>
      </c>
      <c r="I389">
        <v>-2.9931982999999999E-2</v>
      </c>
      <c r="J389">
        <v>0.49262735000000002</v>
      </c>
      <c r="K389">
        <f xml:space="preserve"> -55.696 * _2026_04_17_16_25_21_23_high[[#This Row],[coeff]] + 79.57</f>
        <v>22.206907327999993</v>
      </c>
      <c r="L389">
        <f xml:space="preserve"> -55.696 * _2026_04_17_16_25_21_23_high[[#This Row],[coeff]] + 79.57</f>
        <v>22.206907327999993</v>
      </c>
    </row>
    <row r="390" spans="1:12" x14ac:dyDescent="0.3">
      <c r="A390">
        <v>388</v>
      </c>
      <c r="B390">
        <v>9746</v>
      </c>
      <c r="C390" t="b">
        <v>1</v>
      </c>
      <c r="D390">
        <v>8042</v>
      </c>
      <c r="E390">
        <v>8117</v>
      </c>
      <c r="F390">
        <v>201.46665999999999</v>
      </c>
      <c r="G390">
        <v>196.4</v>
      </c>
      <c r="H390">
        <v>1.0257977</v>
      </c>
      <c r="I390">
        <v>-2.5797687E-2</v>
      </c>
      <c r="J390">
        <v>0.49363273000000002</v>
      </c>
      <c r="K390">
        <f xml:space="preserve"> -55.696 * _2026_04_17_16_25_21_23_high[[#This Row],[coeff]] + 79.57</f>
        <v>22.437171300799996</v>
      </c>
      <c r="L390">
        <f xml:space="preserve"> -55.696 * _2026_04_17_16_25_21_23_high[[#This Row],[coeff]] + 79.57</f>
        <v>22.437171300799996</v>
      </c>
    </row>
    <row r="391" spans="1:12" x14ac:dyDescent="0.3">
      <c r="A391">
        <v>389</v>
      </c>
      <c r="B391">
        <v>9761</v>
      </c>
      <c r="C391" t="b">
        <v>1</v>
      </c>
      <c r="D391">
        <v>8030</v>
      </c>
      <c r="E391">
        <v>8111</v>
      </c>
      <c r="F391">
        <v>201.13333</v>
      </c>
      <c r="G391">
        <v>196.4</v>
      </c>
      <c r="H391">
        <v>1.0241005000000001</v>
      </c>
      <c r="I391">
        <v>-2.4100496999999999E-2</v>
      </c>
      <c r="J391">
        <v>0.49404662999999999</v>
      </c>
      <c r="K391">
        <f xml:space="preserve"> -55.696 * _2026_04_17_16_25_21_23_high[[#This Row],[coeff]] + 79.57</f>
        <v>22.531698551999988</v>
      </c>
      <c r="L391">
        <f xml:space="preserve"> -55.696 * _2026_04_17_16_25_21_23_high[[#This Row],[coeff]] + 79.57</f>
        <v>22.531698551999988</v>
      </c>
    </row>
    <row r="392" spans="1:12" x14ac:dyDescent="0.3">
      <c r="A392">
        <v>390</v>
      </c>
      <c r="B392">
        <v>9793</v>
      </c>
      <c r="C392" t="b">
        <v>1</v>
      </c>
      <c r="D392">
        <v>8030</v>
      </c>
      <c r="E392">
        <v>8129</v>
      </c>
      <c r="F392">
        <v>201.13333</v>
      </c>
      <c r="G392">
        <v>196</v>
      </c>
      <c r="H392">
        <v>1.0261905</v>
      </c>
      <c r="I392">
        <v>-2.6190465E-2</v>
      </c>
      <c r="J392">
        <v>0.493537</v>
      </c>
      <c r="K392">
        <f xml:space="preserve"> -55.696 * _2026_04_17_16_25_21_23_high[[#This Row],[coeff]] + 79.57</f>
        <v>22.415293911999996</v>
      </c>
      <c r="L392">
        <f xml:space="preserve"> -55.696 * _2026_04_17_16_25_21_23_high[[#This Row],[coeff]] + 79.57</f>
        <v>22.415293911999996</v>
      </c>
    </row>
    <row r="393" spans="1:12" x14ac:dyDescent="0.3">
      <c r="A393">
        <v>391</v>
      </c>
      <c r="B393">
        <v>9809</v>
      </c>
      <c r="C393" t="b">
        <v>1</v>
      </c>
      <c r="D393">
        <v>8030</v>
      </c>
      <c r="E393">
        <v>8111</v>
      </c>
      <c r="F393">
        <v>200.33332999999999</v>
      </c>
      <c r="G393">
        <v>195.6</v>
      </c>
      <c r="H393">
        <v>1.0241990000000001</v>
      </c>
      <c r="I393">
        <v>-2.4198988000000001E-2</v>
      </c>
      <c r="J393">
        <v>0.49402255</v>
      </c>
      <c r="K393">
        <f xml:space="preserve"> -55.696 * _2026_04_17_16_25_21_23_high[[#This Row],[coeff]] + 79.57</f>
        <v>22.526212495999992</v>
      </c>
      <c r="L393">
        <f xml:space="preserve"> -55.696 * _2026_04_17_16_25_21_23_high[[#This Row],[coeff]] + 79.57</f>
        <v>22.526212495999992</v>
      </c>
    </row>
    <row r="394" spans="1:12" x14ac:dyDescent="0.3">
      <c r="A394">
        <v>392</v>
      </c>
      <c r="B394">
        <v>9825</v>
      </c>
      <c r="C394" t="b">
        <v>1</v>
      </c>
      <c r="D394">
        <v>8048</v>
      </c>
      <c r="E394">
        <v>8081</v>
      </c>
      <c r="F394">
        <v>199.53334000000001</v>
      </c>
      <c r="G394">
        <v>195.6</v>
      </c>
      <c r="H394">
        <v>1.0201089999999999</v>
      </c>
      <c r="I394">
        <v>-2.010907E-2</v>
      </c>
      <c r="J394">
        <v>0.49502274000000002</v>
      </c>
      <c r="K394">
        <f xml:space="preserve"> -55.696 * _2026_04_17_16_25_21_23_high[[#This Row],[coeff]] + 79.57</f>
        <v>22.754009136000001</v>
      </c>
      <c r="L394">
        <f xml:space="preserve"> -55.696 * _2026_04_17_16_25_21_23_high[[#This Row],[coeff]] + 79.57</f>
        <v>22.754009136000001</v>
      </c>
    </row>
    <row r="395" spans="1:12" x14ac:dyDescent="0.3">
      <c r="A395">
        <v>393</v>
      </c>
      <c r="B395">
        <v>9840</v>
      </c>
      <c r="C395" t="b">
        <v>1</v>
      </c>
      <c r="D395">
        <v>8060</v>
      </c>
      <c r="E395">
        <v>8105</v>
      </c>
      <c r="F395">
        <v>199.06666999999999</v>
      </c>
      <c r="G395">
        <v>195.6</v>
      </c>
      <c r="H395">
        <v>1.0177232000000001</v>
      </c>
      <c r="I395">
        <v>-1.7723208000000001E-2</v>
      </c>
      <c r="J395">
        <v>0.4956081</v>
      </c>
      <c r="K395">
        <f xml:space="preserve"> -55.696 * _2026_04_17_16_25_21_23_high[[#This Row],[coeff]] + 79.57</f>
        <v>22.886888652799989</v>
      </c>
      <c r="L395">
        <f xml:space="preserve"> -55.696 * _2026_04_17_16_25_21_23_high[[#This Row],[coeff]] + 79.57</f>
        <v>22.886888652799989</v>
      </c>
    </row>
    <row r="396" spans="1:12" x14ac:dyDescent="0.3">
      <c r="A396">
        <v>394</v>
      </c>
      <c r="B396">
        <v>9856</v>
      </c>
      <c r="C396" t="b">
        <v>1</v>
      </c>
      <c r="D396">
        <v>8037</v>
      </c>
      <c r="E396">
        <v>8129</v>
      </c>
      <c r="F396">
        <v>199.06666999999999</v>
      </c>
      <c r="G396">
        <v>195.6</v>
      </c>
      <c r="H396">
        <v>1.0177232000000001</v>
      </c>
      <c r="I396">
        <v>-1.7723208000000001E-2</v>
      </c>
      <c r="J396">
        <v>0.4956081</v>
      </c>
      <c r="K396">
        <f xml:space="preserve"> -55.696 * _2026_04_17_16_25_21_23_high[[#This Row],[coeff]] + 79.57</f>
        <v>22.886888652799989</v>
      </c>
      <c r="L396">
        <f xml:space="preserve"> -55.696 * _2026_04_17_16_25_21_23_high[[#This Row],[coeff]] + 79.57</f>
        <v>22.886888652799989</v>
      </c>
    </row>
    <row r="397" spans="1:12" x14ac:dyDescent="0.3">
      <c r="A397">
        <v>395</v>
      </c>
      <c r="B397">
        <v>9872</v>
      </c>
      <c r="C397" t="b">
        <v>1</v>
      </c>
      <c r="D397">
        <v>8042</v>
      </c>
      <c r="E397">
        <v>8117</v>
      </c>
      <c r="F397">
        <v>199.06666999999999</v>
      </c>
      <c r="G397">
        <v>195.6</v>
      </c>
      <c r="H397">
        <v>1.0177232000000001</v>
      </c>
      <c r="I397">
        <v>-1.7723208000000001E-2</v>
      </c>
      <c r="J397">
        <v>0.4956081</v>
      </c>
      <c r="K397">
        <f xml:space="preserve"> -55.696 * _2026_04_17_16_25_21_23_high[[#This Row],[coeff]] + 79.57</f>
        <v>22.886888652799989</v>
      </c>
      <c r="L397">
        <f xml:space="preserve"> -55.696 * _2026_04_17_16_25_21_23_high[[#This Row],[coeff]] + 79.57</f>
        <v>22.886888652799989</v>
      </c>
    </row>
    <row r="398" spans="1:12" x14ac:dyDescent="0.3">
      <c r="A398">
        <v>396</v>
      </c>
      <c r="B398">
        <v>9888</v>
      </c>
      <c r="C398" t="b">
        <v>1</v>
      </c>
      <c r="D398">
        <v>8037</v>
      </c>
      <c r="E398">
        <v>8123</v>
      </c>
      <c r="F398">
        <v>199.06666999999999</v>
      </c>
      <c r="G398">
        <v>196</v>
      </c>
      <c r="H398">
        <v>1.0156461999999999</v>
      </c>
      <c r="I398">
        <v>-1.5646252999999999E-2</v>
      </c>
      <c r="J398">
        <v>0.49611880000000003</v>
      </c>
      <c r="K398">
        <f xml:space="preserve"> -55.696 * _2026_04_17_16_25_21_23_high[[#This Row],[coeff]] + 79.57</f>
        <v>23.0025692448</v>
      </c>
      <c r="L398">
        <f xml:space="preserve"> -55.696 * _2026_04_17_16_25_21_23_high[[#This Row],[coeff]] + 79.57</f>
        <v>23.0025692448</v>
      </c>
    </row>
    <row r="399" spans="1:12" x14ac:dyDescent="0.3">
      <c r="A399">
        <v>397</v>
      </c>
      <c r="B399">
        <v>9903</v>
      </c>
      <c r="C399" t="b">
        <v>1</v>
      </c>
      <c r="D399">
        <v>8030</v>
      </c>
      <c r="E399">
        <v>8117</v>
      </c>
      <c r="F399">
        <v>198.73334</v>
      </c>
      <c r="G399">
        <v>196.4</v>
      </c>
      <c r="H399">
        <v>1.0118805</v>
      </c>
      <c r="I399">
        <v>-1.1880567999999999E-2</v>
      </c>
      <c r="J399">
        <v>0.49704739999999997</v>
      </c>
      <c r="K399">
        <f xml:space="preserve"> -55.696 * _2026_04_17_16_25_21_23_high[[#This Row],[coeff]] + 79.57</f>
        <v>23.212303671999997</v>
      </c>
      <c r="L399">
        <f xml:space="preserve"> -55.696 * _2026_04_17_16_25_21_23_high[[#This Row],[coeff]] + 79.57</f>
        <v>23.212303671999997</v>
      </c>
    </row>
    <row r="400" spans="1:12" x14ac:dyDescent="0.3">
      <c r="A400">
        <v>398</v>
      </c>
      <c r="B400">
        <v>9919</v>
      </c>
      <c r="C400" t="b">
        <v>1</v>
      </c>
      <c r="D400">
        <v>8030</v>
      </c>
      <c r="E400">
        <v>8087</v>
      </c>
      <c r="F400">
        <v>198.4</v>
      </c>
      <c r="G400">
        <v>196.8</v>
      </c>
      <c r="H400">
        <v>1.0081301</v>
      </c>
      <c r="I400">
        <v>-8.1300339999999995E-3</v>
      </c>
      <c r="J400">
        <v>0.49797570000000002</v>
      </c>
      <c r="K400">
        <f xml:space="preserve"> -55.696 * _2026_04_17_16_25_21_23_high[[#This Row],[coeff]] + 79.57</f>
        <v>23.421185950399995</v>
      </c>
      <c r="L400">
        <f xml:space="preserve"> -55.696 * _2026_04_17_16_25_21_23_high[[#This Row],[coeff]] + 79.57</f>
        <v>23.421185950399995</v>
      </c>
    </row>
    <row r="401" spans="1:12" x14ac:dyDescent="0.3">
      <c r="A401">
        <v>399</v>
      </c>
      <c r="B401">
        <v>9935</v>
      </c>
      <c r="C401" t="b">
        <v>1</v>
      </c>
      <c r="D401">
        <v>8042</v>
      </c>
      <c r="E401">
        <v>8111</v>
      </c>
      <c r="F401">
        <v>197.66667000000001</v>
      </c>
      <c r="G401">
        <v>197.6</v>
      </c>
      <c r="H401">
        <v>1.0003374</v>
      </c>
      <c r="I401">
        <v>-3.3737675E-4</v>
      </c>
      <c r="J401">
        <v>0.49991570000000002</v>
      </c>
      <c r="K401">
        <f xml:space="preserve"> -55.696 * _2026_04_17_16_25_21_23_high[[#This Row],[coeff]] + 79.57</f>
        <v>23.85520816959999</v>
      </c>
      <c r="L401">
        <f xml:space="preserve"> -55.696 * _2026_04_17_16_25_21_23_high[[#This Row],[coeff]] + 79.57</f>
        <v>23.85520816959999</v>
      </c>
    </row>
    <row r="402" spans="1:12" x14ac:dyDescent="0.3">
      <c r="A402">
        <v>400</v>
      </c>
      <c r="B402">
        <v>9951</v>
      </c>
      <c r="C402" t="b">
        <v>1</v>
      </c>
      <c r="D402">
        <v>8054</v>
      </c>
      <c r="E402">
        <v>8105</v>
      </c>
      <c r="F402">
        <v>197.33332999999999</v>
      </c>
      <c r="G402">
        <v>198</v>
      </c>
      <c r="H402">
        <v>0.99663299999999999</v>
      </c>
      <c r="I402">
        <v>3.3670291000000001E-3</v>
      </c>
      <c r="J402">
        <v>0.50084317</v>
      </c>
      <c r="K402">
        <f xml:space="preserve"> -55.696 * _2026_04_17_16_25_21_23_high[[#This Row],[coeff]] + 79.57</f>
        <v>24.061528431999996</v>
      </c>
      <c r="L402">
        <f xml:space="preserve"> -55.696 * _2026_04_17_16_25_21_23_high[[#This Row],[coeff]] + 79.57</f>
        <v>24.061528431999996</v>
      </c>
    </row>
    <row r="403" spans="1:12" x14ac:dyDescent="0.3">
      <c r="A403">
        <v>401</v>
      </c>
      <c r="B403">
        <v>9982</v>
      </c>
      <c r="C403" t="b">
        <v>1</v>
      </c>
      <c r="D403">
        <v>8060</v>
      </c>
      <c r="E403">
        <v>8123</v>
      </c>
      <c r="F403">
        <v>196.93333000000001</v>
      </c>
      <c r="G403">
        <v>198.4</v>
      </c>
      <c r="H403">
        <v>0.99260753000000002</v>
      </c>
      <c r="I403">
        <v>7.3924376999999998E-3</v>
      </c>
      <c r="J403">
        <v>0.50185495999999996</v>
      </c>
      <c r="K403">
        <f xml:space="preserve"> -55.696 * _2026_04_17_16_25_21_23_high[[#This Row],[coeff]] + 79.57</f>
        <v>24.285731009119992</v>
      </c>
      <c r="L403">
        <f xml:space="preserve"> -55.696 * _2026_04_17_16_25_21_23_high[[#This Row],[coeff]] + 79.57</f>
        <v>24.285731009119992</v>
      </c>
    </row>
    <row r="404" spans="1:12" x14ac:dyDescent="0.3">
      <c r="A404">
        <v>402</v>
      </c>
      <c r="B404">
        <v>10014</v>
      </c>
      <c r="C404" t="b">
        <v>1</v>
      </c>
      <c r="D404">
        <v>8030</v>
      </c>
      <c r="E404">
        <v>8152</v>
      </c>
      <c r="F404">
        <v>197.26666</v>
      </c>
      <c r="G404">
        <v>198.4</v>
      </c>
      <c r="H404">
        <v>0.99428766999999996</v>
      </c>
      <c r="I404">
        <v>5.7123555000000003E-3</v>
      </c>
      <c r="J404">
        <v>0.50143219999999999</v>
      </c>
      <c r="K404">
        <f xml:space="preserve"> -55.696 * _2026_04_17_16_25_21_23_high[[#This Row],[coeff]] + 79.57</f>
        <v>24.192153931679997</v>
      </c>
      <c r="L404">
        <f xml:space="preserve"> -55.696 * _2026_04_17_16_25_21_23_high[[#This Row],[coeff]] + 79.57</f>
        <v>24.192153931679997</v>
      </c>
    </row>
    <row r="405" spans="1:12" x14ac:dyDescent="0.3">
      <c r="A405">
        <v>403</v>
      </c>
      <c r="B405">
        <v>10046</v>
      </c>
      <c r="C405" t="b">
        <v>1</v>
      </c>
      <c r="D405">
        <v>8037</v>
      </c>
      <c r="E405">
        <v>8111</v>
      </c>
      <c r="F405">
        <v>197.26666</v>
      </c>
      <c r="G405">
        <v>198.4</v>
      </c>
      <c r="H405">
        <v>0.99428766999999996</v>
      </c>
      <c r="I405">
        <v>5.7123555000000003E-3</v>
      </c>
      <c r="J405">
        <v>0.50143219999999999</v>
      </c>
      <c r="K405">
        <f xml:space="preserve"> -55.696 * _2026_04_17_16_25_21_23_high[[#This Row],[coeff]] + 79.57</f>
        <v>24.192153931679997</v>
      </c>
      <c r="L405">
        <f xml:space="preserve"> -55.696 * _2026_04_17_16_25_21_23_high[[#This Row],[coeff]] + 79.57</f>
        <v>24.192153931679997</v>
      </c>
    </row>
    <row r="406" spans="1:12" x14ac:dyDescent="0.3">
      <c r="A406">
        <v>404</v>
      </c>
      <c r="B406">
        <v>10062</v>
      </c>
      <c r="C406" t="b">
        <v>1</v>
      </c>
      <c r="D406">
        <v>8042</v>
      </c>
      <c r="E406">
        <v>8099</v>
      </c>
      <c r="F406">
        <v>197.6</v>
      </c>
      <c r="G406">
        <v>198.4</v>
      </c>
      <c r="H406">
        <v>0.99596779999999996</v>
      </c>
      <c r="I406">
        <v>4.0321964999999998E-3</v>
      </c>
      <c r="J406">
        <v>0.50101006000000003</v>
      </c>
      <c r="K406">
        <f xml:space="preserve"> -55.696 * _2026_04_17_16_25_21_23_high[[#This Row],[coeff]] + 79.57</f>
        <v>24.098577411199997</v>
      </c>
      <c r="L406">
        <f xml:space="preserve"> -55.696 * _2026_04_17_16_25_21_23_high[[#This Row],[coeff]] + 79.57</f>
        <v>24.098577411199997</v>
      </c>
    </row>
    <row r="407" spans="1:12" x14ac:dyDescent="0.3">
      <c r="A407">
        <v>405</v>
      </c>
      <c r="B407">
        <v>10078</v>
      </c>
      <c r="C407" t="b">
        <v>1</v>
      </c>
      <c r="D407">
        <v>8054</v>
      </c>
      <c r="E407">
        <v>8105</v>
      </c>
      <c r="F407">
        <v>197.93333000000001</v>
      </c>
      <c r="G407">
        <v>198</v>
      </c>
      <c r="H407">
        <v>0.99966330000000003</v>
      </c>
      <c r="I407">
        <v>3.3669519999999999E-4</v>
      </c>
      <c r="J407">
        <v>0.50008416</v>
      </c>
      <c r="K407">
        <f xml:space="preserve"> -55.696 * _2026_04_17_16_25_21_23_high[[#This Row],[coeff]] + 79.57</f>
        <v>23.892752843199993</v>
      </c>
      <c r="L407">
        <f xml:space="preserve"> -55.696 * _2026_04_17_16_25_21_23_high[[#This Row],[coeff]] + 79.57</f>
        <v>23.892752843199993</v>
      </c>
    </row>
    <row r="408" spans="1:12" x14ac:dyDescent="0.3">
      <c r="A408">
        <v>406</v>
      </c>
      <c r="B408">
        <v>10110</v>
      </c>
      <c r="C408" t="b">
        <v>1</v>
      </c>
      <c r="D408">
        <v>8030</v>
      </c>
      <c r="E408">
        <v>8117</v>
      </c>
      <c r="F408">
        <v>198.4</v>
      </c>
      <c r="G408">
        <v>197.6</v>
      </c>
      <c r="H408">
        <v>1.0040484999999999</v>
      </c>
      <c r="I408">
        <v>-4.0485210000000002E-3</v>
      </c>
      <c r="J408">
        <v>0.49898989999999999</v>
      </c>
      <c r="K408">
        <f xml:space="preserve"> -55.696 * _2026_04_17_16_25_21_23_high[[#This Row],[coeff]] + 79.57</f>
        <v>23.648514744000003</v>
      </c>
      <c r="L408">
        <f xml:space="preserve"> -55.696 * _2026_04_17_16_25_21_23_high[[#This Row],[coeff]] + 79.57</f>
        <v>23.648514744000003</v>
      </c>
    </row>
    <row r="409" spans="1:12" x14ac:dyDescent="0.3">
      <c r="A409">
        <v>407</v>
      </c>
      <c r="B409">
        <v>10141</v>
      </c>
      <c r="C409" t="b">
        <v>1</v>
      </c>
      <c r="D409">
        <v>8048</v>
      </c>
      <c r="E409">
        <v>8093</v>
      </c>
      <c r="F409">
        <v>199.2</v>
      </c>
      <c r="G409">
        <v>197.2</v>
      </c>
      <c r="H409">
        <v>1.0101420000000001</v>
      </c>
      <c r="I409">
        <v>-1.0141987999999999E-2</v>
      </c>
      <c r="J409">
        <v>0.49747730000000001</v>
      </c>
      <c r="K409">
        <f xml:space="preserve"> -55.696 * _2026_04_17_16_25_21_23_high[[#This Row],[coeff]] + 79.57</f>
        <v>23.309131167999993</v>
      </c>
      <c r="L409">
        <f xml:space="preserve"> -55.696 * _2026_04_17_16_25_21_23_high[[#This Row],[coeff]] + 79.57</f>
        <v>23.309131167999993</v>
      </c>
    </row>
    <row r="410" spans="1:12" x14ac:dyDescent="0.3">
      <c r="A410">
        <v>408</v>
      </c>
      <c r="B410">
        <v>10173</v>
      </c>
      <c r="C410" t="b">
        <v>1</v>
      </c>
      <c r="D410">
        <v>8037</v>
      </c>
      <c r="E410">
        <v>8117</v>
      </c>
      <c r="F410">
        <v>200</v>
      </c>
      <c r="G410">
        <v>196.8</v>
      </c>
      <c r="H410">
        <v>1.0162601</v>
      </c>
      <c r="I410">
        <v>-1.6260146999999999E-2</v>
      </c>
      <c r="J410">
        <v>0.49596778000000002</v>
      </c>
      <c r="K410">
        <f xml:space="preserve"> -55.696 * _2026_04_17_16_25_21_23_high[[#This Row],[coeff]] + 79.57</f>
        <v>22.968377470399993</v>
      </c>
      <c r="L410">
        <f xml:space="preserve"> -55.696 * _2026_04_17_16_25_21_23_high[[#This Row],[coeff]] + 79.57</f>
        <v>22.968377470399993</v>
      </c>
    </row>
    <row r="411" spans="1:12" x14ac:dyDescent="0.3">
      <c r="A411">
        <v>409</v>
      </c>
      <c r="B411">
        <v>10204</v>
      </c>
      <c r="C411" t="b">
        <v>1</v>
      </c>
      <c r="D411">
        <v>8023</v>
      </c>
      <c r="E411">
        <v>8117</v>
      </c>
      <c r="F411">
        <v>200</v>
      </c>
      <c r="G411">
        <v>197.2</v>
      </c>
      <c r="H411">
        <v>1.0141988</v>
      </c>
      <c r="I411">
        <v>-1.4198799E-2</v>
      </c>
      <c r="J411">
        <v>0.49647530000000001</v>
      </c>
      <c r="K411">
        <f xml:space="preserve"> -55.696 * _2026_04_17_16_25_21_23_high[[#This Row],[coeff]] + 79.57</f>
        <v>23.083183635200001</v>
      </c>
      <c r="L411">
        <f xml:space="preserve"> -55.696 * _2026_04_17_16_25_21_23_high[[#This Row],[coeff]] + 79.57</f>
        <v>23.083183635200001</v>
      </c>
    </row>
    <row r="412" spans="1:12" x14ac:dyDescent="0.3">
      <c r="A412">
        <v>410</v>
      </c>
      <c r="B412">
        <v>10220</v>
      </c>
      <c r="C412" t="b">
        <v>1</v>
      </c>
      <c r="D412">
        <v>8048</v>
      </c>
      <c r="E412">
        <v>8111</v>
      </c>
      <c r="F412">
        <v>199.66667000000001</v>
      </c>
      <c r="G412">
        <v>197.6</v>
      </c>
      <c r="H412">
        <v>1.0104588000000001</v>
      </c>
      <c r="I412">
        <v>-1.0458834E-2</v>
      </c>
      <c r="J412">
        <v>0.49739889999999998</v>
      </c>
      <c r="K412">
        <f xml:space="preserve"> -55.696 * _2026_04_17_16_25_21_23_high[[#This Row],[coeff]] + 79.57</f>
        <v>23.291486675199991</v>
      </c>
      <c r="L412">
        <f xml:space="preserve"> -55.696 * _2026_04_17_16_25_21_23_high[[#This Row],[coeff]] + 79.57</f>
        <v>23.291486675199991</v>
      </c>
    </row>
    <row r="413" spans="1:12" x14ac:dyDescent="0.3">
      <c r="A413">
        <v>411</v>
      </c>
      <c r="B413">
        <v>10236</v>
      </c>
      <c r="C413" t="b">
        <v>1</v>
      </c>
      <c r="D413">
        <v>8054</v>
      </c>
      <c r="E413">
        <v>8123</v>
      </c>
      <c r="F413">
        <v>200.06666999999999</v>
      </c>
      <c r="G413">
        <v>197.6</v>
      </c>
      <c r="H413">
        <v>1.0124831000000001</v>
      </c>
      <c r="I413">
        <v>-1.2483095E-2</v>
      </c>
      <c r="J413">
        <v>0.49689855999999999</v>
      </c>
      <c r="K413">
        <f xml:space="preserve"> -55.696 * _2026_04_17_16_25_21_23_high[[#This Row],[coeff]] + 79.57</f>
        <v>23.178741262399988</v>
      </c>
      <c r="L413">
        <f xml:space="preserve"> -55.696 * _2026_04_17_16_25_21_23_high[[#This Row],[coeff]] + 79.57</f>
        <v>23.178741262399988</v>
      </c>
    </row>
    <row r="414" spans="1:12" x14ac:dyDescent="0.3">
      <c r="A414">
        <v>412</v>
      </c>
      <c r="B414">
        <v>10252</v>
      </c>
      <c r="C414" t="b">
        <v>1</v>
      </c>
      <c r="D414">
        <v>8042</v>
      </c>
      <c r="E414">
        <v>8129</v>
      </c>
      <c r="F414">
        <v>200.4</v>
      </c>
      <c r="G414">
        <v>197.6</v>
      </c>
      <c r="H414">
        <v>1.0141699</v>
      </c>
      <c r="I414">
        <v>-1.4169978E-2</v>
      </c>
      <c r="J414">
        <v>0.49648242999999997</v>
      </c>
      <c r="K414">
        <f xml:space="preserve"> -55.696 * _2026_04_17_16_25_21_23_high[[#This Row],[coeff]] + 79.57</f>
        <v>23.084793249599997</v>
      </c>
      <c r="L414">
        <f xml:space="preserve"> -55.696 * _2026_04_17_16_25_21_23_high[[#This Row],[coeff]] + 79.57</f>
        <v>23.084793249599997</v>
      </c>
    </row>
    <row r="415" spans="1:12" x14ac:dyDescent="0.3">
      <c r="A415">
        <v>413</v>
      </c>
      <c r="B415">
        <v>10284</v>
      </c>
      <c r="C415" t="b">
        <v>1</v>
      </c>
      <c r="D415">
        <v>8048</v>
      </c>
      <c r="E415">
        <v>8117</v>
      </c>
      <c r="F415">
        <v>201.13333</v>
      </c>
      <c r="G415">
        <v>197.6</v>
      </c>
      <c r="H415">
        <v>1.0178811999999999</v>
      </c>
      <c r="I415">
        <v>-1.78812E-2</v>
      </c>
      <c r="J415">
        <v>0.49556931999999998</v>
      </c>
      <c r="K415">
        <f xml:space="preserve"> -55.696 * _2026_04_17_16_25_21_23_high[[#This Row],[coeff]] + 79.57</f>
        <v>22.878088684799998</v>
      </c>
      <c r="L415">
        <f xml:space="preserve"> -55.696 * _2026_04_17_16_25_21_23_high[[#This Row],[coeff]] + 79.57</f>
        <v>22.878088684799998</v>
      </c>
    </row>
    <row r="416" spans="1:12" x14ac:dyDescent="0.3">
      <c r="A416">
        <v>414</v>
      </c>
      <c r="B416">
        <v>10316</v>
      </c>
      <c r="C416" t="b">
        <v>1</v>
      </c>
      <c r="D416">
        <v>8048</v>
      </c>
      <c r="E416">
        <v>8093</v>
      </c>
      <c r="F416">
        <v>201.86667</v>
      </c>
      <c r="G416">
        <v>197.6</v>
      </c>
      <c r="H416">
        <v>1.0215924000000001</v>
      </c>
      <c r="I416">
        <v>-2.1592421000000001E-2</v>
      </c>
      <c r="J416">
        <v>0.49465954000000001</v>
      </c>
      <c r="K416">
        <f xml:space="preserve"> -55.696 * _2026_04_17_16_25_21_23_high[[#This Row],[coeff]] + 79.57</f>
        <v>22.671389689599991</v>
      </c>
      <c r="L416">
        <f xml:space="preserve"> -55.696 * _2026_04_17_16_25_21_23_high[[#This Row],[coeff]] + 79.57</f>
        <v>22.671389689599991</v>
      </c>
    </row>
    <row r="417" spans="1:12" x14ac:dyDescent="0.3">
      <c r="A417">
        <v>415</v>
      </c>
      <c r="B417">
        <v>10347</v>
      </c>
      <c r="C417" t="b">
        <v>1</v>
      </c>
      <c r="D417">
        <v>8042</v>
      </c>
      <c r="E417">
        <v>8099</v>
      </c>
      <c r="F417">
        <v>202.6</v>
      </c>
      <c r="G417">
        <v>198</v>
      </c>
      <c r="H417">
        <v>1.0232323000000001</v>
      </c>
      <c r="I417">
        <v>-2.3232354E-2</v>
      </c>
      <c r="J417">
        <v>0.49425859999999999</v>
      </c>
      <c r="K417">
        <f xml:space="preserve"> -55.696 * _2026_04_17_16_25_21_23_high[[#This Row],[coeff]] + 79.57</f>
        <v>22.580053819199989</v>
      </c>
      <c r="L417">
        <f xml:space="preserve"> -55.696 * _2026_04_17_16_25_21_23_high[[#This Row],[coeff]] + 79.57</f>
        <v>22.580053819199989</v>
      </c>
    </row>
    <row r="418" spans="1:12" x14ac:dyDescent="0.3">
      <c r="A418">
        <v>416</v>
      </c>
      <c r="B418">
        <v>10363</v>
      </c>
      <c r="C418" t="b">
        <v>1</v>
      </c>
      <c r="D418">
        <v>8030</v>
      </c>
      <c r="E418">
        <v>8105</v>
      </c>
      <c r="F418">
        <v>202.6</v>
      </c>
      <c r="G418">
        <v>197.6</v>
      </c>
      <c r="H418">
        <v>1.0253036</v>
      </c>
      <c r="I418">
        <v>-2.5303643000000001E-2</v>
      </c>
      <c r="J418">
        <v>0.49375313999999998</v>
      </c>
      <c r="K418">
        <f xml:space="preserve"> -55.696 * _2026_04_17_16_25_21_23_high[[#This Row],[coeff]] + 79.57</f>
        <v>22.464690694399998</v>
      </c>
      <c r="L418">
        <f xml:space="preserve"> -55.696 * _2026_04_17_16_25_21_23_high[[#This Row],[coeff]] + 79.57</f>
        <v>22.464690694399998</v>
      </c>
    </row>
    <row r="419" spans="1:12" x14ac:dyDescent="0.3">
      <c r="A419">
        <v>417</v>
      </c>
      <c r="B419">
        <v>10379</v>
      </c>
      <c r="C419" t="b">
        <v>1</v>
      </c>
      <c r="D419">
        <v>8042</v>
      </c>
      <c r="E419">
        <v>8099</v>
      </c>
      <c r="F419">
        <v>202.6</v>
      </c>
      <c r="G419">
        <v>196.8</v>
      </c>
      <c r="H419">
        <v>1.0294715000000001</v>
      </c>
      <c r="I419">
        <v>-2.9471560000000001E-2</v>
      </c>
      <c r="J419">
        <v>0.49273908</v>
      </c>
      <c r="K419">
        <f xml:space="preserve"> -55.696 * _2026_04_17_16_25_21_23_high[[#This Row],[coeff]] + 79.57</f>
        <v>22.23255533599999</v>
      </c>
      <c r="L419">
        <f xml:space="preserve"> -55.696 * _2026_04_17_16_25_21_23_high[[#This Row],[coeff]] + 79.57</f>
        <v>22.23255533599999</v>
      </c>
    </row>
    <row r="420" spans="1:12" x14ac:dyDescent="0.3">
      <c r="A420">
        <v>418</v>
      </c>
      <c r="B420">
        <v>10395</v>
      </c>
      <c r="C420" t="b">
        <v>1</v>
      </c>
      <c r="D420">
        <v>8023</v>
      </c>
      <c r="E420">
        <v>8087</v>
      </c>
      <c r="F420">
        <v>202.6</v>
      </c>
      <c r="G420">
        <v>196</v>
      </c>
      <c r="H420">
        <v>1.0336734999999999</v>
      </c>
      <c r="I420">
        <v>-3.3673500000000002E-2</v>
      </c>
      <c r="J420">
        <v>0.49172100000000002</v>
      </c>
      <c r="K420">
        <f xml:space="preserve"> -55.696 * _2026_04_17_16_25_21_23_high[[#This Row],[coeff]] + 79.57</f>
        <v>21.998520743999997</v>
      </c>
      <c r="L420">
        <f xml:space="preserve"> -55.696 * _2026_04_17_16_25_21_23_high[[#This Row],[coeff]] + 79.57</f>
        <v>21.998520743999997</v>
      </c>
    </row>
    <row r="421" spans="1:12" x14ac:dyDescent="0.3">
      <c r="A421">
        <v>419</v>
      </c>
      <c r="B421">
        <v>10411</v>
      </c>
      <c r="C421" t="b">
        <v>1</v>
      </c>
      <c r="D421">
        <v>8037</v>
      </c>
      <c r="E421">
        <v>8099</v>
      </c>
      <c r="F421">
        <v>202.26666</v>
      </c>
      <c r="G421">
        <v>195.2</v>
      </c>
      <c r="H421">
        <v>1.0362022</v>
      </c>
      <c r="I421">
        <v>-3.620218E-2</v>
      </c>
      <c r="J421">
        <v>0.49111034999999997</v>
      </c>
      <c r="K421">
        <f xml:space="preserve"> -55.696 * _2026_04_17_16_25_21_23_high[[#This Row],[coeff]] + 79.57</f>
        <v>21.857682268799998</v>
      </c>
      <c r="L421">
        <f xml:space="preserve"> -55.696 * _2026_04_17_16_25_21_23_high[[#This Row],[coeff]] + 79.57</f>
        <v>21.857682268799998</v>
      </c>
    </row>
    <row r="422" spans="1:12" x14ac:dyDescent="0.3">
      <c r="A422">
        <v>420</v>
      </c>
      <c r="B422">
        <v>10427</v>
      </c>
      <c r="C422" t="b">
        <v>1</v>
      </c>
      <c r="D422">
        <v>8048</v>
      </c>
      <c r="E422">
        <v>8111</v>
      </c>
      <c r="F422">
        <v>201.93333000000001</v>
      </c>
      <c r="G422">
        <v>194.4</v>
      </c>
      <c r="H422">
        <v>1.0387516999999999</v>
      </c>
      <c r="I422">
        <v>-3.8751750000000001E-2</v>
      </c>
      <c r="J422">
        <v>0.49049621999999998</v>
      </c>
      <c r="K422">
        <f xml:space="preserve"> -55.696 * _2026_04_17_16_25_21_23_high[[#This Row],[coeff]] + 79.57</f>
        <v>21.715685316799998</v>
      </c>
      <c r="L422">
        <f xml:space="preserve"> -55.696 * _2026_04_17_16_25_21_23_high[[#This Row],[coeff]] + 79.57</f>
        <v>21.715685316799998</v>
      </c>
    </row>
    <row r="423" spans="1:12" x14ac:dyDescent="0.3">
      <c r="A423">
        <v>421</v>
      </c>
      <c r="B423">
        <v>10459</v>
      </c>
      <c r="C423" t="b">
        <v>1</v>
      </c>
      <c r="D423">
        <v>8048</v>
      </c>
      <c r="E423">
        <v>8117</v>
      </c>
      <c r="F423">
        <v>202.26666</v>
      </c>
      <c r="G423">
        <v>193.6</v>
      </c>
      <c r="H423">
        <v>1.0447658</v>
      </c>
      <c r="I423">
        <v>-4.4765785000000002E-2</v>
      </c>
      <c r="J423">
        <v>0.48905357999999999</v>
      </c>
      <c r="K423">
        <f xml:space="preserve"> -55.696 * _2026_04_17_16_25_21_23_high[[#This Row],[coeff]] + 79.57</f>
        <v>21.380724003199994</v>
      </c>
      <c r="L423">
        <f xml:space="preserve"> -55.696 * _2026_04_17_16_25_21_23_high[[#This Row],[coeff]] + 79.57</f>
        <v>21.380724003199994</v>
      </c>
    </row>
    <row r="424" spans="1:12" x14ac:dyDescent="0.3">
      <c r="A424">
        <v>422</v>
      </c>
      <c r="B424">
        <v>10475</v>
      </c>
      <c r="C424" t="b">
        <v>1</v>
      </c>
      <c r="D424">
        <v>8048</v>
      </c>
      <c r="E424">
        <v>8111</v>
      </c>
      <c r="F424">
        <v>202.66667000000001</v>
      </c>
      <c r="G424">
        <v>194</v>
      </c>
      <c r="H424">
        <v>1.0446736000000001</v>
      </c>
      <c r="I424">
        <v>-4.4673565999999998E-2</v>
      </c>
      <c r="J424">
        <v>0.4890756</v>
      </c>
      <c r="K424">
        <f xml:space="preserve"> -55.696 * _2026_04_17_16_25_21_23_high[[#This Row],[coeff]] + 79.57</f>
        <v>21.38585917439999</v>
      </c>
      <c r="L424">
        <f xml:space="preserve"> -55.696 * _2026_04_17_16_25_21_23_high[[#This Row],[coeff]] + 79.57</f>
        <v>21.38585917439999</v>
      </c>
    </row>
    <row r="425" spans="1:12" x14ac:dyDescent="0.3">
      <c r="A425">
        <v>423</v>
      </c>
      <c r="B425">
        <v>10490</v>
      </c>
      <c r="C425" t="b">
        <v>1</v>
      </c>
      <c r="D425">
        <v>8042</v>
      </c>
      <c r="E425">
        <v>8152</v>
      </c>
      <c r="F425">
        <v>203.06666999999999</v>
      </c>
      <c r="G425">
        <v>194.4</v>
      </c>
      <c r="H425">
        <v>1.0445816999999999</v>
      </c>
      <c r="I425">
        <v>-4.4581648000000001E-2</v>
      </c>
      <c r="J425">
        <v>0.48909760000000002</v>
      </c>
      <c r="K425">
        <f xml:space="preserve"> -55.696 * _2026_04_17_16_25_21_23_high[[#This Row],[coeff]] + 79.57</f>
        <v>21.390977636799995</v>
      </c>
      <c r="L425">
        <f xml:space="preserve"> -55.696 * _2026_04_17_16_25_21_23_high[[#This Row],[coeff]] + 79.57</f>
        <v>21.390977636799995</v>
      </c>
    </row>
    <row r="426" spans="1:12" x14ac:dyDescent="0.3">
      <c r="A426">
        <v>424</v>
      </c>
      <c r="B426">
        <v>10506</v>
      </c>
      <c r="C426" t="b">
        <v>1</v>
      </c>
      <c r="D426">
        <v>8037</v>
      </c>
      <c r="E426">
        <v>8123</v>
      </c>
      <c r="F426">
        <v>203.8</v>
      </c>
      <c r="G426">
        <v>194.4</v>
      </c>
      <c r="H426">
        <v>1.0483538999999999</v>
      </c>
      <c r="I426">
        <v>-4.8353960000000001E-2</v>
      </c>
      <c r="J426">
        <v>0.48819685000000002</v>
      </c>
      <c r="K426">
        <f xml:space="preserve"> -55.696 * _2026_04_17_16_25_21_23_high[[#This Row],[coeff]] + 79.57</f>
        <v>21.180881185600001</v>
      </c>
      <c r="L426">
        <f xml:space="preserve"> -55.696 * _2026_04_17_16_25_21_23_high[[#This Row],[coeff]] + 79.57</f>
        <v>21.180881185600001</v>
      </c>
    </row>
    <row r="427" spans="1:12" x14ac:dyDescent="0.3">
      <c r="A427">
        <v>425</v>
      </c>
      <c r="B427">
        <v>10522</v>
      </c>
      <c r="C427" t="b">
        <v>1</v>
      </c>
      <c r="D427">
        <v>8030</v>
      </c>
      <c r="E427">
        <v>8105</v>
      </c>
      <c r="F427">
        <v>204.13333</v>
      </c>
      <c r="G427">
        <v>194.4</v>
      </c>
      <c r="H427">
        <v>1.0500685999999999</v>
      </c>
      <c r="I427">
        <v>-5.006861E-2</v>
      </c>
      <c r="J427">
        <v>0.48778855999999998</v>
      </c>
      <c r="K427">
        <f xml:space="preserve"> -55.696 * _2026_04_17_16_25_21_23_high[[#This Row],[coeff]] + 79.57</f>
        <v>21.085379254400003</v>
      </c>
      <c r="L427">
        <f xml:space="preserve"> -55.696 * _2026_04_17_16_25_21_23_high[[#This Row],[coeff]] + 79.57</f>
        <v>21.085379254400003</v>
      </c>
    </row>
    <row r="428" spans="1:12" x14ac:dyDescent="0.3">
      <c r="A428">
        <v>426</v>
      </c>
      <c r="B428">
        <v>10554</v>
      </c>
      <c r="C428" t="b">
        <v>1</v>
      </c>
      <c r="D428">
        <v>8060</v>
      </c>
      <c r="E428">
        <v>8099</v>
      </c>
      <c r="F428">
        <v>203.73334</v>
      </c>
      <c r="G428">
        <v>194</v>
      </c>
      <c r="H428">
        <v>1.0501719</v>
      </c>
      <c r="I428">
        <v>-5.0171840000000002E-2</v>
      </c>
      <c r="J428">
        <v>0.48776399999999998</v>
      </c>
      <c r="K428">
        <f xml:space="preserve"> -55.696 * _2026_04_17_16_25_21_23_high[[#This Row],[coeff]] + 79.57</f>
        <v>21.079625857599993</v>
      </c>
      <c r="L428">
        <f xml:space="preserve"> -55.696 * _2026_04_17_16_25_21_23_high[[#This Row],[coeff]] + 79.57</f>
        <v>21.079625857599993</v>
      </c>
    </row>
    <row r="429" spans="1:12" x14ac:dyDescent="0.3">
      <c r="A429">
        <v>427</v>
      </c>
      <c r="B429">
        <v>10569</v>
      </c>
      <c r="C429" t="b">
        <v>1</v>
      </c>
      <c r="D429">
        <v>8042</v>
      </c>
      <c r="E429">
        <v>8099</v>
      </c>
      <c r="F429">
        <v>203.73334</v>
      </c>
      <c r="G429">
        <v>193.2</v>
      </c>
      <c r="H429">
        <v>1.0545203999999999</v>
      </c>
      <c r="I429">
        <v>-5.4520399999999997E-2</v>
      </c>
      <c r="J429">
        <v>0.48673159999999999</v>
      </c>
      <c r="K429">
        <f xml:space="preserve"> -55.696 * _2026_04_17_16_25_21_23_high[[#This Row],[coeff]] + 79.57</f>
        <v>20.837431801599998</v>
      </c>
      <c r="L429">
        <f xml:space="preserve"> -55.696 * _2026_04_17_16_25_21_23_high[[#This Row],[coeff]] + 79.57</f>
        <v>20.837431801599998</v>
      </c>
    </row>
    <row r="430" spans="1:12" x14ac:dyDescent="0.3">
      <c r="A430">
        <v>428</v>
      </c>
      <c r="B430">
        <v>10585</v>
      </c>
      <c r="C430" t="b">
        <v>1</v>
      </c>
      <c r="D430">
        <v>8048</v>
      </c>
      <c r="E430">
        <v>8105</v>
      </c>
      <c r="F430">
        <v>203.33332999999999</v>
      </c>
      <c r="G430">
        <v>192.4</v>
      </c>
      <c r="H430">
        <v>1.0568261000000001</v>
      </c>
      <c r="I430">
        <v>-5.6826063000000003E-2</v>
      </c>
      <c r="J430">
        <v>0.48618597000000002</v>
      </c>
      <c r="K430">
        <f xml:space="preserve"> -55.696 * _2026_04_17_16_25_21_23_high[[#This Row],[coeff]] + 79.57</f>
        <v>20.709013534399986</v>
      </c>
      <c r="L430">
        <f xml:space="preserve"> -55.696 * _2026_04_17_16_25_21_23_high[[#This Row],[coeff]] + 79.57</f>
        <v>20.709013534399986</v>
      </c>
    </row>
    <row r="431" spans="1:12" x14ac:dyDescent="0.3">
      <c r="A431">
        <v>429</v>
      </c>
      <c r="B431">
        <v>10601</v>
      </c>
      <c r="C431" t="b">
        <v>1</v>
      </c>
      <c r="D431">
        <v>8048</v>
      </c>
      <c r="E431">
        <v>8111</v>
      </c>
      <c r="F431">
        <v>203.33332999999999</v>
      </c>
      <c r="G431">
        <v>191.6</v>
      </c>
      <c r="H431">
        <v>1.0612386</v>
      </c>
      <c r="I431">
        <v>-6.1238630000000002E-2</v>
      </c>
      <c r="J431">
        <v>0.48514518000000001</v>
      </c>
      <c r="K431">
        <f xml:space="preserve"> -55.696 * _2026_04_17_16_25_21_23_high[[#This Row],[coeff]] + 79.57</f>
        <v>20.463254934399991</v>
      </c>
      <c r="L431">
        <f xml:space="preserve"> -55.696 * _2026_04_17_16_25_21_23_high[[#This Row],[coeff]] + 79.57</f>
        <v>20.463254934399991</v>
      </c>
    </row>
    <row r="432" spans="1:12" x14ac:dyDescent="0.3">
      <c r="A432">
        <v>430</v>
      </c>
      <c r="B432">
        <v>10633</v>
      </c>
      <c r="C432" t="b">
        <v>1</v>
      </c>
      <c r="D432">
        <v>8048</v>
      </c>
      <c r="E432">
        <v>8105</v>
      </c>
      <c r="F432">
        <v>203.33332999999999</v>
      </c>
      <c r="G432">
        <v>190.8</v>
      </c>
      <c r="H432">
        <v>1.0656882999999999</v>
      </c>
      <c r="I432">
        <v>-6.5688289999999996E-2</v>
      </c>
      <c r="J432">
        <v>0.48410013000000002</v>
      </c>
      <c r="K432">
        <f xml:space="preserve"> -55.696 * _2026_04_17_16_25_21_23_high[[#This Row],[coeff]] + 79.57</f>
        <v>20.2154244432</v>
      </c>
      <c r="L432">
        <f xml:space="preserve"> -55.696 * _2026_04_17_16_25_21_23_high[[#This Row],[coeff]] + 79.57</f>
        <v>20.2154244432</v>
      </c>
    </row>
    <row r="433" spans="1:12" x14ac:dyDescent="0.3">
      <c r="A433">
        <v>431</v>
      </c>
      <c r="B433">
        <v>10664</v>
      </c>
      <c r="C433" t="b">
        <v>1</v>
      </c>
      <c r="D433">
        <v>8023</v>
      </c>
      <c r="E433">
        <v>8123</v>
      </c>
      <c r="F433">
        <v>203.73334</v>
      </c>
      <c r="G433">
        <v>190.8</v>
      </c>
      <c r="H433">
        <v>1.0677848000000001</v>
      </c>
      <c r="I433">
        <v>-6.7784769999999994E-2</v>
      </c>
      <c r="J433">
        <v>0.48360934999999999</v>
      </c>
      <c r="K433">
        <f xml:space="preserve"> -55.696 * _2026_04_17_16_25_21_23_high[[#This Row],[coeff]] + 79.57</f>
        <v>20.098657779199989</v>
      </c>
      <c r="L433">
        <f xml:space="preserve"> -55.696 * _2026_04_17_16_25_21_23_high[[#This Row],[coeff]] + 79.57</f>
        <v>20.098657779199989</v>
      </c>
    </row>
    <row r="434" spans="1:12" x14ac:dyDescent="0.3">
      <c r="A434">
        <v>432</v>
      </c>
      <c r="B434">
        <v>10696</v>
      </c>
      <c r="C434" t="b">
        <v>1</v>
      </c>
      <c r="D434">
        <v>8048</v>
      </c>
      <c r="E434">
        <v>8093</v>
      </c>
      <c r="F434">
        <v>204.13333</v>
      </c>
      <c r="G434">
        <v>191.2</v>
      </c>
      <c r="H434">
        <v>1.0676429000000001</v>
      </c>
      <c r="I434">
        <v>-6.7642964E-2</v>
      </c>
      <c r="J434">
        <v>0.48364252000000002</v>
      </c>
      <c r="K434">
        <f xml:space="preserve"> -55.696 * _2026_04_17_16_25_21_23_high[[#This Row],[coeff]] + 79.57</f>
        <v>20.106561041599988</v>
      </c>
      <c r="L434">
        <f xml:space="preserve"> -55.696 * _2026_04_17_16_25_21_23_high[[#This Row],[coeff]] + 79.57</f>
        <v>20.106561041599988</v>
      </c>
    </row>
    <row r="435" spans="1:12" x14ac:dyDescent="0.3">
      <c r="A435">
        <v>433</v>
      </c>
      <c r="B435">
        <v>10729</v>
      </c>
      <c r="C435" t="b">
        <v>1</v>
      </c>
      <c r="D435">
        <v>8042</v>
      </c>
      <c r="E435">
        <v>8111</v>
      </c>
      <c r="F435">
        <v>204.53334000000001</v>
      </c>
      <c r="G435">
        <v>192</v>
      </c>
      <c r="H435">
        <v>1.0652778000000001</v>
      </c>
      <c r="I435">
        <v>-6.5277815000000003E-2</v>
      </c>
      <c r="J435">
        <v>0.48419635999999999</v>
      </c>
      <c r="K435">
        <f xml:space="preserve"> -55.696 * _2026_04_17_16_25_21_23_high[[#This Row],[coeff]] + 79.57</f>
        <v>20.23828765119999</v>
      </c>
      <c r="L435">
        <f xml:space="preserve"> -55.696 * _2026_04_17_16_25_21_23_high[[#This Row],[coeff]] + 79.57</f>
        <v>20.23828765119999</v>
      </c>
    </row>
    <row r="436" spans="1:12" x14ac:dyDescent="0.3">
      <c r="A436">
        <v>434</v>
      </c>
      <c r="B436">
        <v>10760</v>
      </c>
      <c r="C436" t="b">
        <v>1</v>
      </c>
      <c r="D436">
        <v>8042</v>
      </c>
      <c r="E436">
        <v>8111</v>
      </c>
      <c r="F436">
        <v>204.86667</v>
      </c>
      <c r="G436">
        <v>192.8</v>
      </c>
      <c r="H436">
        <v>1.0625864</v>
      </c>
      <c r="I436">
        <v>-6.2586439999999993E-2</v>
      </c>
      <c r="J436">
        <v>0.48482814000000002</v>
      </c>
      <c r="K436">
        <f xml:space="preserve"> -55.696 * _2026_04_17_16_25_21_23_high[[#This Row],[coeff]] + 79.57</f>
        <v>20.388187865599996</v>
      </c>
      <c r="L436">
        <f xml:space="preserve"> -55.696 * _2026_04_17_16_25_21_23_high[[#This Row],[coeff]] + 79.57</f>
        <v>20.388187865599996</v>
      </c>
    </row>
    <row r="437" spans="1:12" x14ac:dyDescent="0.3">
      <c r="A437">
        <v>435</v>
      </c>
      <c r="B437">
        <v>10793</v>
      </c>
      <c r="C437" t="b">
        <v>1</v>
      </c>
      <c r="D437">
        <v>8037</v>
      </c>
      <c r="E437">
        <v>8111</v>
      </c>
      <c r="F437">
        <v>205.2</v>
      </c>
      <c r="G437">
        <v>193.6</v>
      </c>
      <c r="H437">
        <v>1.0599173</v>
      </c>
      <c r="I437">
        <v>-5.9917304999999997E-2</v>
      </c>
      <c r="J437">
        <v>0.48545640000000001</v>
      </c>
      <c r="K437">
        <f xml:space="preserve"> -55.696 * _2026_04_17_16_25_21_23_high[[#This Row],[coeff]] + 79.57</f>
        <v>20.536846059199995</v>
      </c>
      <c r="L437">
        <f xml:space="preserve"> -55.696 * _2026_04_17_16_25_21_23_high[[#This Row],[coeff]] + 79.57</f>
        <v>20.536846059199995</v>
      </c>
    </row>
    <row r="438" spans="1:12" x14ac:dyDescent="0.3">
      <c r="A438">
        <v>436</v>
      </c>
      <c r="B438">
        <v>10824</v>
      </c>
      <c r="C438" t="b">
        <v>1</v>
      </c>
      <c r="D438">
        <v>8030</v>
      </c>
      <c r="E438">
        <v>8117</v>
      </c>
      <c r="F438">
        <v>205.2</v>
      </c>
      <c r="G438">
        <v>194.4</v>
      </c>
      <c r="H438">
        <v>1.0555555999999999</v>
      </c>
      <c r="I438">
        <v>-5.5555575000000003E-2</v>
      </c>
      <c r="J438">
        <v>0.48648649999999999</v>
      </c>
      <c r="K438">
        <f xml:space="preserve"> -55.696 * _2026_04_17_16_25_21_23_high[[#This Row],[coeff]] + 79.57</f>
        <v>20.779775302399997</v>
      </c>
      <c r="L438">
        <f xml:space="preserve"> -55.696 * _2026_04_17_16_25_21_23_high[[#This Row],[coeff]] + 79.57</f>
        <v>20.779775302399997</v>
      </c>
    </row>
    <row r="439" spans="1:12" x14ac:dyDescent="0.3">
      <c r="A439">
        <v>437</v>
      </c>
      <c r="B439">
        <v>10856</v>
      </c>
      <c r="C439" t="b">
        <v>1</v>
      </c>
      <c r="D439">
        <v>8030</v>
      </c>
      <c r="E439">
        <v>8117</v>
      </c>
      <c r="F439">
        <v>204.46665999999999</v>
      </c>
      <c r="G439">
        <v>194.4</v>
      </c>
      <c r="H439">
        <v>1.0517832</v>
      </c>
      <c r="I439">
        <v>-5.1783259999999998E-2</v>
      </c>
      <c r="J439">
        <v>0.48738092</v>
      </c>
      <c r="K439">
        <f xml:space="preserve"> -55.696 * _2026_04_17_16_25_21_23_high[[#This Row],[coeff]] + 79.57</f>
        <v>20.989882892799997</v>
      </c>
      <c r="L439">
        <f xml:space="preserve"> -55.696 * _2026_04_17_16_25_21_23_high[[#This Row],[coeff]] + 79.57</f>
        <v>20.989882892799997</v>
      </c>
    </row>
    <row r="440" spans="1:12" x14ac:dyDescent="0.3">
      <c r="A440">
        <v>438</v>
      </c>
      <c r="B440">
        <v>10891</v>
      </c>
      <c r="C440" t="b">
        <v>1</v>
      </c>
      <c r="D440">
        <v>8054</v>
      </c>
      <c r="E440">
        <v>8123</v>
      </c>
      <c r="F440">
        <v>203.73334</v>
      </c>
      <c r="G440">
        <v>194.8</v>
      </c>
      <c r="H440">
        <v>1.0458590000000001</v>
      </c>
      <c r="I440">
        <v>-4.5859005000000001E-2</v>
      </c>
      <c r="J440">
        <v>0.48879226999999997</v>
      </c>
      <c r="K440">
        <f xml:space="preserve"> -55.696 * _2026_04_17_16_25_21_23_high[[#This Row],[coeff]] + 79.57</f>
        <v>21.31983713599999</v>
      </c>
      <c r="L440">
        <f xml:space="preserve"> -55.696 * _2026_04_17_16_25_21_23_high[[#This Row],[coeff]] + 79.57</f>
        <v>21.31983713599999</v>
      </c>
    </row>
    <row r="441" spans="1:12" x14ac:dyDescent="0.3">
      <c r="A441">
        <v>439</v>
      </c>
      <c r="B441">
        <v>10922</v>
      </c>
      <c r="C441" t="b">
        <v>1</v>
      </c>
      <c r="D441">
        <v>8037</v>
      </c>
      <c r="E441">
        <v>8117</v>
      </c>
      <c r="F441">
        <v>203</v>
      </c>
      <c r="G441">
        <v>194.8</v>
      </c>
      <c r="H441">
        <v>1.0420944999999999</v>
      </c>
      <c r="I441">
        <v>-4.2094439999999997E-2</v>
      </c>
      <c r="J441">
        <v>0.48969333999999998</v>
      </c>
      <c r="K441">
        <f xml:space="preserve"> -55.696 * _2026_04_17_16_25_21_23_high[[#This Row],[coeff]] + 79.57</f>
        <v>21.529504727999999</v>
      </c>
      <c r="L441">
        <f xml:space="preserve"> -55.696 * _2026_04_17_16_25_21_23_high[[#This Row],[coeff]] + 79.57</f>
        <v>21.529504727999999</v>
      </c>
    </row>
    <row r="442" spans="1:12" x14ac:dyDescent="0.3">
      <c r="A442">
        <v>440</v>
      </c>
      <c r="B442">
        <v>10954</v>
      </c>
      <c r="C442" t="b">
        <v>1</v>
      </c>
      <c r="D442">
        <v>8048</v>
      </c>
      <c r="E442">
        <v>8105</v>
      </c>
      <c r="F442">
        <v>202.66667000000001</v>
      </c>
      <c r="G442">
        <v>194.8</v>
      </c>
      <c r="H442">
        <v>1.0403833</v>
      </c>
      <c r="I442">
        <v>-4.0383309999999999E-2</v>
      </c>
      <c r="J442">
        <v>0.49010399999999998</v>
      </c>
      <c r="K442">
        <f xml:space="preserve"> -55.696 * _2026_04_17_16_25_21_23_high[[#This Row],[coeff]] + 79.57</f>
        <v>21.624811723199997</v>
      </c>
      <c r="L442">
        <f xml:space="preserve"> -55.696 * _2026_04_17_16_25_21_23_high[[#This Row],[coeff]] + 79.57</f>
        <v>21.624811723199997</v>
      </c>
    </row>
    <row r="443" spans="1:12" x14ac:dyDescent="0.3">
      <c r="A443">
        <v>441</v>
      </c>
      <c r="B443">
        <v>10985</v>
      </c>
      <c r="C443" t="b">
        <v>1</v>
      </c>
      <c r="D443">
        <v>8017</v>
      </c>
      <c r="E443">
        <v>8105</v>
      </c>
      <c r="F443">
        <v>202.33332999999999</v>
      </c>
      <c r="G443">
        <v>195.2</v>
      </c>
      <c r="H443">
        <v>1.0365437</v>
      </c>
      <c r="I443">
        <v>-3.6543705000000003E-2</v>
      </c>
      <c r="J443">
        <v>0.49102800000000002</v>
      </c>
      <c r="K443">
        <f xml:space="preserve"> -55.696 * _2026_04_17_16_25_21_23_high[[#This Row],[coeff]] + 79.57</f>
        <v>21.838662084799999</v>
      </c>
      <c r="L443">
        <f xml:space="preserve"> -55.696 * _2026_04_17_16_25_21_23_high[[#This Row],[coeff]] + 79.57</f>
        <v>21.838662084799999</v>
      </c>
    </row>
    <row r="444" spans="1:12" x14ac:dyDescent="0.3">
      <c r="A444">
        <v>442</v>
      </c>
      <c r="B444">
        <v>11016</v>
      </c>
      <c r="C444" t="b">
        <v>1</v>
      </c>
      <c r="D444">
        <v>8037</v>
      </c>
      <c r="E444">
        <v>8087</v>
      </c>
      <c r="F444">
        <v>202</v>
      </c>
      <c r="G444">
        <v>195.2</v>
      </c>
      <c r="H444">
        <v>1.0348360000000001</v>
      </c>
      <c r="I444">
        <v>-3.4836079999999998E-2</v>
      </c>
      <c r="J444">
        <v>0.49144006000000001</v>
      </c>
      <c r="K444">
        <f xml:space="preserve"> -55.696 * _2026_04_17_16_25_21_23_high[[#This Row],[coeff]] + 79.57</f>
        <v>21.93377414399999</v>
      </c>
      <c r="L444">
        <f xml:space="preserve"> -55.696 * _2026_04_17_16_25_21_23_high[[#This Row],[coeff]] + 79.57</f>
        <v>21.93377414399999</v>
      </c>
    </row>
    <row r="445" spans="1:12" x14ac:dyDescent="0.3">
      <c r="A445">
        <v>443</v>
      </c>
      <c r="B445">
        <v>11049</v>
      </c>
      <c r="C445" t="b">
        <v>1</v>
      </c>
      <c r="D445">
        <v>8037</v>
      </c>
      <c r="E445">
        <v>8087</v>
      </c>
      <c r="F445">
        <v>201.66667000000001</v>
      </c>
      <c r="G445">
        <v>195.2</v>
      </c>
      <c r="H445">
        <v>1.0331284999999999</v>
      </c>
      <c r="I445">
        <v>-3.3128459999999998E-2</v>
      </c>
      <c r="J445">
        <v>0.49185285000000001</v>
      </c>
      <c r="K445">
        <f xml:space="preserve"> -55.696 * _2026_04_17_16_25_21_23_high[[#This Row],[coeff]] + 79.57</f>
        <v>22.028875064000005</v>
      </c>
      <c r="L445">
        <f xml:space="preserve"> -55.696 * _2026_04_17_16_25_21_23_high[[#This Row],[coeff]] + 79.57</f>
        <v>22.028875064000005</v>
      </c>
    </row>
    <row r="446" spans="1:12" x14ac:dyDescent="0.3">
      <c r="A446">
        <v>444</v>
      </c>
      <c r="B446">
        <v>11079</v>
      </c>
      <c r="C446" t="b">
        <v>1</v>
      </c>
      <c r="D446">
        <v>8037</v>
      </c>
      <c r="E446">
        <v>8087</v>
      </c>
      <c r="F446">
        <v>200.93333000000001</v>
      </c>
      <c r="G446">
        <v>194</v>
      </c>
      <c r="H446">
        <v>1.0357388000000001</v>
      </c>
      <c r="I446">
        <v>-3.5738837000000002E-2</v>
      </c>
      <c r="J446">
        <v>0.49122209999999999</v>
      </c>
      <c r="K446">
        <f xml:space="preserve"> -55.696 * _2026_04_17_16_25_21_23_high[[#This Row],[coeff]] + 79.57</f>
        <v>21.883491795199994</v>
      </c>
      <c r="L446">
        <f xml:space="preserve"> -55.696 * _2026_04_17_16_25_21_23_high[[#This Row],[coeff]] + 79.57</f>
        <v>21.883491795199994</v>
      </c>
    </row>
    <row r="447" spans="1:12" x14ac:dyDescent="0.3">
      <c r="A447">
        <v>445</v>
      </c>
      <c r="B447">
        <v>11111</v>
      </c>
      <c r="C447" t="b">
        <v>1</v>
      </c>
      <c r="D447">
        <v>8042</v>
      </c>
      <c r="E447">
        <v>8117</v>
      </c>
      <c r="F447">
        <v>200.2</v>
      </c>
      <c r="G447">
        <v>192.8</v>
      </c>
      <c r="H447">
        <v>1.0383817</v>
      </c>
      <c r="I447">
        <v>-3.8381709999999999E-2</v>
      </c>
      <c r="J447">
        <v>0.49058523999999998</v>
      </c>
      <c r="K447">
        <f xml:space="preserve"> -55.696 * _2026_04_17_16_25_21_23_high[[#This Row],[coeff]] + 79.57</f>
        <v>21.736292836799997</v>
      </c>
      <c r="L447">
        <f xml:space="preserve"> -55.696 * _2026_04_17_16_25_21_23_high[[#This Row],[coeff]] + 79.57</f>
        <v>21.736292836799997</v>
      </c>
    </row>
    <row r="448" spans="1:12" x14ac:dyDescent="0.3">
      <c r="A448">
        <v>446</v>
      </c>
      <c r="B448">
        <v>11144</v>
      </c>
      <c r="C448" t="b">
        <v>1</v>
      </c>
      <c r="D448">
        <v>8023</v>
      </c>
      <c r="E448">
        <v>8111</v>
      </c>
      <c r="F448">
        <v>199.46665999999999</v>
      </c>
      <c r="G448">
        <v>191.6</v>
      </c>
      <c r="H448">
        <v>1.0410577000000001</v>
      </c>
      <c r="I448">
        <v>-4.1057687000000002E-2</v>
      </c>
      <c r="J448">
        <v>0.48994207000000001</v>
      </c>
      <c r="K448">
        <f xml:space="preserve"> -55.696 * _2026_04_17_16_25_21_23_high[[#This Row],[coeff]] + 79.57</f>
        <v>21.58725034079999</v>
      </c>
      <c r="L448">
        <f xml:space="preserve"> -55.696 * _2026_04_17_16_25_21_23_high[[#This Row],[coeff]] + 79.57</f>
        <v>21.58725034079999</v>
      </c>
    </row>
    <row r="449" spans="1:12" x14ac:dyDescent="0.3">
      <c r="A449">
        <v>447</v>
      </c>
      <c r="B449">
        <v>11175</v>
      </c>
      <c r="C449" t="b">
        <v>1</v>
      </c>
      <c r="D449">
        <v>8023</v>
      </c>
      <c r="E449">
        <v>8093</v>
      </c>
      <c r="F449">
        <v>198.73334</v>
      </c>
      <c r="G449">
        <v>190.8</v>
      </c>
      <c r="H449">
        <v>1.0415794</v>
      </c>
      <c r="I449">
        <v>-4.1579320000000003E-2</v>
      </c>
      <c r="J449">
        <v>0.4898169</v>
      </c>
      <c r="K449">
        <f xml:space="preserve"> -55.696 * _2026_04_17_16_25_21_23_high[[#This Row],[coeff]] + 79.57</f>
        <v>21.558193737599993</v>
      </c>
      <c r="L449">
        <f xml:space="preserve"> -55.696 * _2026_04_17_16_25_21_23_high[[#This Row],[coeff]] + 79.57</f>
        <v>21.558193737599993</v>
      </c>
    </row>
    <row r="450" spans="1:12" x14ac:dyDescent="0.3">
      <c r="A450">
        <v>448</v>
      </c>
      <c r="B450">
        <v>11207</v>
      </c>
      <c r="C450" t="b">
        <v>1</v>
      </c>
      <c r="D450">
        <v>8042</v>
      </c>
      <c r="E450">
        <v>8117</v>
      </c>
      <c r="F450">
        <v>198</v>
      </c>
      <c r="G450">
        <v>190.8</v>
      </c>
      <c r="H450">
        <v>1.0377358000000001</v>
      </c>
      <c r="I450">
        <v>-3.7735829999999998E-2</v>
      </c>
      <c r="J450">
        <v>0.49074077999999999</v>
      </c>
      <c r="K450">
        <f xml:space="preserve"> -55.696 * _2026_04_17_16_25_21_23_high[[#This Row],[coeff]] + 79.57</f>
        <v>21.77226688319999</v>
      </c>
      <c r="L450">
        <f xml:space="preserve"> -55.696 * _2026_04_17_16_25_21_23_high[[#This Row],[coeff]] + 79.57</f>
        <v>21.77226688319999</v>
      </c>
    </row>
    <row r="451" spans="1:12" x14ac:dyDescent="0.3">
      <c r="A451">
        <v>449</v>
      </c>
      <c r="B451">
        <v>11223</v>
      </c>
      <c r="C451" t="b">
        <v>1</v>
      </c>
      <c r="D451">
        <v>8037</v>
      </c>
      <c r="E451">
        <v>8140</v>
      </c>
      <c r="F451">
        <v>197.66667000000001</v>
      </c>
      <c r="G451">
        <v>191.2</v>
      </c>
      <c r="H451">
        <v>1.0338214999999999</v>
      </c>
      <c r="I451">
        <v>-3.3821522999999999E-2</v>
      </c>
      <c r="J451">
        <v>0.49168524000000002</v>
      </c>
      <c r="K451">
        <f xml:space="preserve"> -55.696 * _2026_04_17_16_25_21_23_high[[#This Row],[coeff]] + 79.57</f>
        <v>21.990277735999996</v>
      </c>
      <c r="L451">
        <f xml:space="preserve"> -55.696 * _2026_04_17_16_25_21_23_high[[#This Row],[coeff]] + 79.57</f>
        <v>21.990277735999996</v>
      </c>
    </row>
    <row r="452" spans="1:12" x14ac:dyDescent="0.3">
      <c r="A452">
        <v>450</v>
      </c>
      <c r="B452">
        <v>11238</v>
      </c>
      <c r="C452" t="b">
        <v>1</v>
      </c>
      <c r="D452">
        <v>8037</v>
      </c>
      <c r="E452">
        <v>8111</v>
      </c>
      <c r="F452">
        <v>197.33332999999999</v>
      </c>
      <c r="G452">
        <v>191.2</v>
      </c>
      <c r="H452">
        <v>1.0320781000000001</v>
      </c>
      <c r="I452">
        <v>-3.2078095000000001E-2</v>
      </c>
      <c r="J452">
        <v>0.49210705999999999</v>
      </c>
      <c r="K452">
        <f xml:space="preserve"> -55.696 * _2026_04_17_16_25_21_23_high[[#This Row],[coeff]] + 79.57</f>
        <v>22.087378142399992</v>
      </c>
      <c r="L452">
        <f xml:space="preserve"> -55.696 * _2026_04_17_16_25_21_23_high[[#This Row],[coeff]] + 79.57</f>
        <v>22.087378142399992</v>
      </c>
    </row>
    <row r="453" spans="1:12" x14ac:dyDescent="0.3">
      <c r="A453">
        <v>451</v>
      </c>
      <c r="B453">
        <v>11254</v>
      </c>
      <c r="C453" t="b">
        <v>1</v>
      </c>
      <c r="D453">
        <v>8030</v>
      </c>
      <c r="E453">
        <v>8093</v>
      </c>
      <c r="F453">
        <v>197</v>
      </c>
      <c r="G453">
        <v>191.2</v>
      </c>
      <c r="H453">
        <v>1.0303347</v>
      </c>
      <c r="I453">
        <v>-3.0334745E-2</v>
      </c>
      <c r="J453">
        <v>0.49252960000000001</v>
      </c>
      <c r="K453">
        <f xml:space="preserve"> -55.696 * _2026_04_17_16_25_21_23_high[[#This Row],[coeff]] + 79.57</f>
        <v>22.184478548799994</v>
      </c>
      <c r="L453">
        <f xml:space="preserve"> -55.696 * _2026_04_17_16_25_21_23_high[[#This Row],[coeff]] + 79.57</f>
        <v>22.184478548799994</v>
      </c>
    </row>
    <row r="454" spans="1:12" x14ac:dyDescent="0.3">
      <c r="A454">
        <v>452</v>
      </c>
      <c r="B454">
        <v>11270</v>
      </c>
      <c r="C454" t="b">
        <v>1</v>
      </c>
      <c r="D454">
        <v>8048</v>
      </c>
      <c r="E454">
        <v>8129</v>
      </c>
      <c r="F454">
        <v>197</v>
      </c>
      <c r="G454">
        <v>191.6</v>
      </c>
      <c r="H454">
        <v>1.0281837</v>
      </c>
      <c r="I454">
        <v>-2.8183684000000001E-2</v>
      </c>
      <c r="J454">
        <v>0.49305198</v>
      </c>
      <c r="K454">
        <f xml:space="preserve"> -55.696 * _2026_04_17_16_25_21_23_high[[#This Row],[coeff]] + 79.57</f>
        <v>22.304280644799995</v>
      </c>
      <c r="L454">
        <f xml:space="preserve"> -55.696 * _2026_04_17_16_25_21_23_high[[#This Row],[coeff]] + 79.57</f>
        <v>22.304280644799995</v>
      </c>
    </row>
    <row r="455" spans="1:12" x14ac:dyDescent="0.3">
      <c r="A455">
        <v>453</v>
      </c>
      <c r="B455">
        <v>11301</v>
      </c>
      <c r="C455" t="b">
        <v>1</v>
      </c>
      <c r="D455">
        <v>8054</v>
      </c>
      <c r="E455">
        <v>8105</v>
      </c>
      <c r="F455">
        <v>197</v>
      </c>
      <c r="G455">
        <v>191.2</v>
      </c>
      <c r="H455">
        <v>1.0303347</v>
      </c>
      <c r="I455">
        <v>-3.0334745E-2</v>
      </c>
      <c r="J455">
        <v>0.49252960000000001</v>
      </c>
      <c r="K455">
        <f xml:space="preserve"> -55.696 * _2026_04_17_16_25_21_23_high[[#This Row],[coeff]] + 79.57</f>
        <v>22.184478548799994</v>
      </c>
      <c r="L455">
        <f xml:space="preserve"> -55.696 * _2026_04_17_16_25_21_23_high[[#This Row],[coeff]] + 79.57</f>
        <v>22.184478548799994</v>
      </c>
    </row>
    <row r="456" spans="1:12" x14ac:dyDescent="0.3">
      <c r="A456">
        <v>454</v>
      </c>
      <c r="B456">
        <v>11332</v>
      </c>
      <c r="C456" t="b">
        <v>1</v>
      </c>
      <c r="D456">
        <v>8037</v>
      </c>
      <c r="E456">
        <v>8117</v>
      </c>
      <c r="F456">
        <v>197</v>
      </c>
      <c r="G456">
        <v>190.8</v>
      </c>
      <c r="H456">
        <v>1.0324948</v>
      </c>
      <c r="I456">
        <v>-3.2494742E-2</v>
      </c>
      <c r="J456">
        <v>0.4920062</v>
      </c>
      <c r="K456">
        <f xml:space="preserve"> -55.696 * _2026_04_17_16_25_21_23_high[[#This Row],[coeff]] + 79.57</f>
        <v>22.064169619199994</v>
      </c>
      <c r="L456">
        <f xml:space="preserve"> -55.696 * _2026_04_17_16_25_21_23_high[[#This Row],[coeff]] + 79.57</f>
        <v>22.064169619199994</v>
      </c>
    </row>
    <row r="457" spans="1:12" x14ac:dyDescent="0.3">
      <c r="A457">
        <v>455</v>
      </c>
      <c r="B457">
        <v>11364</v>
      </c>
      <c r="C457" t="b">
        <v>1</v>
      </c>
      <c r="D457">
        <v>8042</v>
      </c>
      <c r="E457">
        <v>8111</v>
      </c>
      <c r="F457">
        <v>197.33332999999999</v>
      </c>
      <c r="G457">
        <v>190.4</v>
      </c>
      <c r="H457">
        <v>1.0364146000000001</v>
      </c>
      <c r="I457">
        <v>-3.641457E-2</v>
      </c>
      <c r="J457">
        <v>0.49105912000000002</v>
      </c>
      <c r="K457">
        <f xml:space="preserve"> -55.696 * _2026_04_17_16_25_21_23_high[[#This Row],[coeff]] + 79.57</f>
        <v>21.845852438399994</v>
      </c>
      <c r="L457">
        <f xml:space="preserve"> -55.696 * _2026_04_17_16_25_21_23_high[[#This Row],[coeff]] + 79.57</f>
        <v>21.845852438399994</v>
      </c>
    </row>
    <row r="458" spans="1:12" x14ac:dyDescent="0.3">
      <c r="A458">
        <v>456</v>
      </c>
      <c r="B458">
        <v>11395</v>
      </c>
      <c r="C458" t="b">
        <v>1</v>
      </c>
      <c r="D458">
        <v>8037</v>
      </c>
      <c r="E458">
        <v>8105</v>
      </c>
      <c r="F458">
        <v>197.66667000000001</v>
      </c>
      <c r="G458">
        <v>190</v>
      </c>
      <c r="H458">
        <v>1.0403509</v>
      </c>
      <c r="I458">
        <v>-4.0350903E-2</v>
      </c>
      <c r="J458">
        <v>0.49011177</v>
      </c>
      <c r="K458">
        <f xml:space="preserve"> -55.696 * _2026_04_17_16_25_21_23_high[[#This Row],[coeff]] + 79.57</f>
        <v>21.6266162736</v>
      </c>
      <c r="L458">
        <f xml:space="preserve"> -55.696 * _2026_04_17_16_25_21_23_high[[#This Row],[coeff]] + 79.57</f>
        <v>21.6266162736</v>
      </c>
    </row>
    <row r="459" spans="1:12" x14ac:dyDescent="0.3">
      <c r="A459">
        <v>457</v>
      </c>
      <c r="B459">
        <v>11427</v>
      </c>
      <c r="C459" t="b">
        <v>1</v>
      </c>
      <c r="D459">
        <v>8042</v>
      </c>
      <c r="E459">
        <v>8093</v>
      </c>
      <c r="F459">
        <v>198</v>
      </c>
      <c r="G459">
        <v>190</v>
      </c>
      <c r="H459">
        <v>1.0421053</v>
      </c>
      <c r="I459">
        <v>-4.2105265000000003E-2</v>
      </c>
      <c r="J459">
        <v>0.48969072000000002</v>
      </c>
      <c r="K459">
        <f xml:space="preserve"> -55.696 * _2026_04_17_16_25_21_23_high[[#This Row],[coeff]] + 79.57</f>
        <v>21.528903211199996</v>
      </c>
      <c r="L459">
        <f xml:space="preserve"> -55.696 * _2026_04_17_16_25_21_23_high[[#This Row],[coeff]] + 79.57</f>
        <v>21.528903211199996</v>
      </c>
    </row>
    <row r="460" spans="1:12" x14ac:dyDescent="0.3">
      <c r="A460">
        <v>458</v>
      </c>
      <c r="B460">
        <v>11459</v>
      </c>
      <c r="C460" t="b">
        <v>1</v>
      </c>
      <c r="D460">
        <v>8054</v>
      </c>
      <c r="E460">
        <v>8123</v>
      </c>
      <c r="F460">
        <v>198.33332999999999</v>
      </c>
      <c r="G460">
        <v>190.4</v>
      </c>
      <c r="H460">
        <v>1.0416666000000001</v>
      </c>
      <c r="I460">
        <v>-4.1666670000000003E-2</v>
      </c>
      <c r="J460">
        <v>0.48979590000000001</v>
      </c>
      <c r="K460">
        <f xml:space="preserve"> -55.696 * _2026_04_17_16_25_21_23_high[[#This Row],[coeff]] + 79.57</f>
        <v>21.553337046399989</v>
      </c>
      <c r="L460">
        <f xml:space="preserve"> -55.696 * _2026_04_17_16_25_21_23_high[[#This Row],[coeff]] + 79.57</f>
        <v>21.553337046399989</v>
      </c>
    </row>
    <row r="461" spans="1:12" x14ac:dyDescent="0.3">
      <c r="A461">
        <v>459</v>
      </c>
      <c r="B461">
        <v>11491</v>
      </c>
      <c r="C461" t="b">
        <v>1</v>
      </c>
      <c r="D461">
        <v>8042</v>
      </c>
      <c r="E461">
        <v>8105</v>
      </c>
      <c r="F461">
        <v>198.66667000000001</v>
      </c>
      <c r="G461">
        <v>191.6</v>
      </c>
      <c r="H461">
        <v>1.0368824000000001</v>
      </c>
      <c r="I461">
        <v>-3.6882386000000003E-2</v>
      </c>
      <c r="J461">
        <v>0.49094638000000002</v>
      </c>
      <c r="K461">
        <f xml:space="preserve"> -55.696 * _2026_04_17_16_25_21_23_high[[#This Row],[coeff]] + 79.57</f>
        <v>21.819797849599993</v>
      </c>
      <c r="L461">
        <f xml:space="preserve"> -55.696 * _2026_04_17_16_25_21_23_high[[#This Row],[coeff]] + 79.57</f>
        <v>21.819797849599993</v>
      </c>
    </row>
    <row r="462" spans="1:12" x14ac:dyDescent="0.3">
      <c r="A462">
        <v>460</v>
      </c>
      <c r="B462">
        <v>11522</v>
      </c>
      <c r="C462" t="b">
        <v>1</v>
      </c>
      <c r="D462">
        <v>8048</v>
      </c>
      <c r="E462">
        <v>8105</v>
      </c>
      <c r="F462">
        <v>199</v>
      </c>
      <c r="G462">
        <v>192.8</v>
      </c>
      <c r="H462">
        <v>1.0321577</v>
      </c>
      <c r="I462">
        <v>-3.2157659999999998E-2</v>
      </c>
      <c r="J462">
        <v>0.49208780000000002</v>
      </c>
      <c r="K462">
        <f xml:space="preserve"> -55.696 * _2026_04_17_16_25_21_23_high[[#This Row],[coeff]] + 79.57</f>
        <v>22.082944740799995</v>
      </c>
      <c r="L462">
        <f xml:space="preserve"> -55.696 * _2026_04_17_16_25_21_23_high[[#This Row],[coeff]] + 79.57</f>
        <v>22.082944740799995</v>
      </c>
    </row>
    <row r="463" spans="1:12" x14ac:dyDescent="0.3">
      <c r="A463">
        <v>461</v>
      </c>
      <c r="B463">
        <v>11554</v>
      </c>
      <c r="C463" t="b">
        <v>1</v>
      </c>
      <c r="D463">
        <v>8037</v>
      </c>
      <c r="E463">
        <v>8093</v>
      </c>
      <c r="F463">
        <v>199.33332999999999</v>
      </c>
      <c r="G463">
        <v>194</v>
      </c>
      <c r="H463">
        <v>1.0274913000000001</v>
      </c>
      <c r="I463">
        <v>-2.7491383000000001E-2</v>
      </c>
      <c r="J463">
        <v>0.49322036000000002</v>
      </c>
      <c r="K463">
        <f xml:space="preserve"> -55.696 * _2026_04_17_16_25_21_23_high[[#This Row],[coeff]] + 79.57</f>
        <v>22.342844555199989</v>
      </c>
      <c r="L463">
        <f xml:space="preserve"> -55.696 * _2026_04_17_16_25_21_23_high[[#This Row],[coeff]] + 79.57</f>
        <v>22.342844555199989</v>
      </c>
    </row>
    <row r="464" spans="1:12" x14ac:dyDescent="0.3">
      <c r="A464">
        <v>462</v>
      </c>
      <c r="B464">
        <v>11586</v>
      </c>
      <c r="C464" t="b">
        <v>1</v>
      </c>
      <c r="D464">
        <v>8042</v>
      </c>
      <c r="E464">
        <v>8105</v>
      </c>
      <c r="F464">
        <v>199.66667000000001</v>
      </c>
      <c r="G464">
        <v>194.8</v>
      </c>
      <c r="H464">
        <v>1.0249828999999999</v>
      </c>
      <c r="I464">
        <v>-2.4982898E-2</v>
      </c>
      <c r="J464">
        <v>0.49383134000000001</v>
      </c>
      <c r="K464">
        <f xml:space="preserve"> -55.696 * _2026_04_17_16_25_21_23_high[[#This Row],[coeff]] + 79.57</f>
        <v>22.482552401600003</v>
      </c>
      <c r="L464">
        <f xml:space="preserve"> -55.696 * _2026_04_17_16_25_21_23_high[[#This Row],[coeff]] + 79.57</f>
        <v>22.482552401600003</v>
      </c>
    </row>
    <row r="465" spans="1:12" x14ac:dyDescent="0.3">
      <c r="A465">
        <v>463</v>
      </c>
      <c r="B465">
        <v>11617</v>
      </c>
      <c r="C465" t="b">
        <v>1</v>
      </c>
      <c r="D465">
        <v>8042</v>
      </c>
      <c r="E465">
        <v>8164</v>
      </c>
      <c r="F465">
        <v>200</v>
      </c>
      <c r="G465">
        <v>194.4</v>
      </c>
      <c r="H465">
        <v>1.0288066</v>
      </c>
      <c r="I465">
        <v>-2.8806617E-2</v>
      </c>
      <c r="J465">
        <v>0.49290060000000002</v>
      </c>
      <c r="K465">
        <f xml:space="preserve"> -55.696 * _2026_04_17_16_25_21_23_high[[#This Row],[coeff]] + 79.57</f>
        <v>22.269587606399995</v>
      </c>
      <c r="L465">
        <f xml:space="preserve"> -55.696 * _2026_04_17_16_25_21_23_high[[#This Row],[coeff]] + 79.57</f>
        <v>22.269587606399995</v>
      </c>
    </row>
    <row r="466" spans="1:12" x14ac:dyDescent="0.3">
      <c r="A466">
        <v>464</v>
      </c>
      <c r="B466">
        <v>11649</v>
      </c>
      <c r="C466" t="b">
        <v>1</v>
      </c>
      <c r="D466">
        <v>8030</v>
      </c>
      <c r="E466">
        <v>8105</v>
      </c>
      <c r="F466">
        <v>200.33332999999999</v>
      </c>
      <c r="G466">
        <v>193.6</v>
      </c>
      <c r="H466">
        <v>1.0347795</v>
      </c>
      <c r="I466">
        <v>-3.4779556000000003E-2</v>
      </c>
      <c r="J466">
        <v>0.49145369999999999</v>
      </c>
      <c r="K466">
        <f xml:space="preserve"> -55.696 * _2026_04_17_16_25_21_23_high[[#This Row],[coeff]] + 79.57</f>
        <v>21.936920967999995</v>
      </c>
      <c r="L466">
        <f xml:space="preserve"> -55.696 * _2026_04_17_16_25_21_23_high[[#This Row],[coeff]] + 79.57</f>
        <v>21.936920967999995</v>
      </c>
    </row>
    <row r="467" spans="1:12" x14ac:dyDescent="0.3">
      <c r="A467">
        <v>465</v>
      </c>
      <c r="B467">
        <v>11679</v>
      </c>
      <c r="C467" t="b">
        <v>1</v>
      </c>
      <c r="D467">
        <v>8037</v>
      </c>
      <c r="E467">
        <v>8111</v>
      </c>
      <c r="F467">
        <v>200.33332999999999</v>
      </c>
      <c r="G467">
        <v>193.2</v>
      </c>
      <c r="H467">
        <v>1.0369219999999999</v>
      </c>
      <c r="I467">
        <v>-3.6922004000000001E-2</v>
      </c>
      <c r="J467">
        <v>0.49093682</v>
      </c>
      <c r="K467">
        <f xml:space="preserve"> -55.696 * _2026_04_17_16_25_21_23_high[[#This Row],[coeff]] + 79.57</f>
        <v>21.817592288</v>
      </c>
      <c r="L467">
        <f xml:space="preserve"> -55.696 * _2026_04_17_16_25_21_23_high[[#This Row],[coeff]] + 79.57</f>
        <v>21.817592288</v>
      </c>
    </row>
    <row r="468" spans="1:12" x14ac:dyDescent="0.3">
      <c r="A468">
        <v>466</v>
      </c>
      <c r="B468">
        <v>11711</v>
      </c>
      <c r="C468" t="b">
        <v>1</v>
      </c>
      <c r="D468">
        <v>8030</v>
      </c>
      <c r="E468">
        <v>8134</v>
      </c>
      <c r="F468">
        <v>200.33332999999999</v>
      </c>
      <c r="G468">
        <v>193.2</v>
      </c>
      <c r="H468">
        <v>1.0369219999999999</v>
      </c>
      <c r="I468">
        <v>-3.6922004000000001E-2</v>
      </c>
      <c r="J468">
        <v>0.49093682</v>
      </c>
      <c r="K468">
        <f xml:space="preserve"> -55.696 * _2026_04_17_16_25_21_23_high[[#This Row],[coeff]] + 79.57</f>
        <v>21.817592288</v>
      </c>
      <c r="L468">
        <f xml:space="preserve"> -55.696 * _2026_04_17_16_25_21_23_high[[#This Row],[coeff]] + 79.57</f>
        <v>21.817592288</v>
      </c>
    </row>
    <row r="469" spans="1:12" x14ac:dyDescent="0.3">
      <c r="A469">
        <v>467</v>
      </c>
      <c r="B469">
        <v>11743</v>
      </c>
      <c r="C469" t="b">
        <v>1</v>
      </c>
      <c r="D469">
        <v>8042</v>
      </c>
      <c r="E469">
        <v>8123</v>
      </c>
      <c r="F469">
        <v>200.33332999999999</v>
      </c>
      <c r="G469">
        <v>193.6</v>
      </c>
      <c r="H469">
        <v>1.0347795</v>
      </c>
      <c r="I469">
        <v>-3.4779556000000003E-2</v>
      </c>
      <c r="J469">
        <v>0.49145369999999999</v>
      </c>
      <c r="K469">
        <f xml:space="preserve"> -55.696 * _2026_04_17_16_25_21_23_high[[#This Row],[coeff]] + 79.57</f>
        <v>21.936920967999995</v>
      </c>
      <c r="L469">
        <f xml:space="preserve"> -55.696 * _2026_04_17_16_25_21_23_high[[#This Row],[coeff]] + 79.57</f>
        <v>21.936920967999995</v>
      </c>
    </row>
    <row r="470" spans="1:12" x14ac:dyDescent="0.3">
      <c r="A470">
        <v>468</v>
      </c>
      <c r="B470">
        <v>11774</v>
      </c>
      <c r="C470" t="b">
        <v>1</v>
      </c>
      <c r="D470">
        <v>8060</v>
      </c>
      <c r="E470">
        <v>8111</v>
      </c>
      <c r="F470">
        <v>200.33332999999999</v>
      </c>
      <c r="G470">
        <v>193.6</v>
      </c>
      <c r="H470">
        <v>1.0347795</v>
      </c>
      <c r="I470">
        <v>-3.4779556000000003E-2</v>
      </c>
      <c r="J470">
        <v>0.49145369999999999</v>
      </c>
      <c r="K470">
        <f xml:space="preserve"> -55.696 * _2026_04_17_16_25_21_23_high[[#This Row],[coeff]] + 79.57</f>
        <v>21.936920967999995</v>
      </c>
      <c r="L470">
        <f xml:space="preserve"> -55.696 * _2026_04_17_16_25_21_23_high[[#This Row],[coeff]] + 79.57</f>
        <v>21.936920967999995</v>
      </c>
    </row>
    <row r="471" spans="1:12" x14ac:dyDescent="0.3">
      <c r="A471">
        <v>469</v>
      </c>
      <c r="B471">
        <v>11806</v>
      </c>
      <c r="C471" t="b">
        <v>1</v>
      </c>
      <c r="D471">
        <v>8037</v>
      </c>
      <c r="E471">
        <v>8123</v>
      </c>
      <c r="F471">
        <v>200.33332999999999</v>
      </c>
      <c r="G471">
        <v>194.4</v>
      </c>
      <c r="H471">
        <v>1.0305213</v>
      </c>
      <c r="I471">
        <v>-3.0521268000000001E-2</v>
      </c>
      <c r="J471">
        <v>0.49248436000000001</v>
      </c>
      <c r="K471">
        <f xml:space="preserve"> -55.696 * _2026_04_17_16_25_21_23_high[[#This Row],[coeff]] + 79.57</f>
        <v>22.174085675199997</v>
      </c>
      <c r="L471">
        <f xml:space="preserve"> -55.696 * _2026_04_17_16_25_21_23_high[[#This Row],[coeff]] + 79.57</f>
        <v>22.174085675199997</v>
      </c>
    </row>
    <row r="472" spans="1:12" x14ac:dyDescent="0.3">
      <c r="A472">
        <v>470</v>
      </c>
      <c r="B472">
        <v>11838</v>
      </c>
      <c r="C472" t="b">
        <v>1</v>
      </c>
      <c r="D472">
        <v>8042</v>
      </c>
      <c r="E472">
        <v>8117</v>
      </c>
      <c r="F472">
        <v>200.33332999999999</v>
      </c>
      <c r="G472">
        <v>195.2</v>
      </c>
      <c r="H472">
        <v>1.0262978</v>
      </c>
      <c r="I472">
        <v>-2.6297804000000001E-2</v>
      </c>
      <c r="J472">
        <v>0.49351086999999999</v>
      </c>
      <c r="K472">
        <f xml:space="preserve"> -55.696 * _2026_04_17_16_25_21_23_high[[#This Row],[coeff]] + 79.57</f>
        <v>22.409317731199991</v>
      </c>
      <c r="L472">
        <f xml:space="preserve"> -55.696 * _2026_04_17_16_25_21_23_high[[#This Row],[coeff]] + 79.57</f>
        <v>22.409317731199991</v>
      </c>
    </row>
    <row r="473" spans="1:12" x14ac:dyDescent="0.3">
      <c r="A473">
        <v>471</v>
      </c>
      <c r="B473">
        <v>11869</v>
      </c>
      <c r="C473" t="b">
        <v>1</v>
      </c>
      <c r="D473">
        <v>8042</v>
      </c>
      <c r="E473">
        <v>8117</v>
      </c>
      <c r="F473">
        <v>200.33332999999999</v>
      </c>
      <c r="G473">
        <v>195.6</v>
      </c>
      <c r="H473">
        <v>1.0241990000000001</v>
      </c>
      <c r="I473">
        <v>-2.4198988000000001E-2</v>
      </c>
      <c r="J473">
        <v>0.49402255</v>
      </c>
      <c r="K473">
        <f xml:space="preserve"> -55.696 * _2026_04_17_16_25_21_23_high[[#This Row],[coeff]] + 79.57</f>
        <v>22.526212495999992</v>
      </c>
      <c r="L473">
        <f xml:space="preserve"> -55.696 * _2026_04_17_16_25_21_23_high[[#This Row],[coeff]] + 79.57</f>
        <v>22.526212495999992</v>
      </c>
    </row>
    <row r="474" spans="1:12" x14ac:dyDescent="0.3">
      <c r="A474">
        <v>472</v>
      </c>
      <c r="B474">
        <v>11901</v>
      </c>
      <c r="C474" t="b">
        <v>1</v>
      </c>
      <c r="D474">
        <v>8030</v>
      </c>
      <c r="E474">
        <v>8111</v>
      </c>
      <c r="F474">
        <v>200.33332999999999</v>
      </c>
      <c r="G474">
        <v>196.4</v>
      </c>
      <c r="H474">
        <v>1.0200271999999999</v>
      </c>
      <c r="I474">
        <v>-2.0027159999999999E-2</v>
      </c>
      <c r="J474">
        <v>0.49504282999999999</v>
      </c>
      <c r="K474">
        <f xml:space="preserve"> -55.696 * _2026_04_17_16_25_21_23_high[[#This Row],[coeff]] + 79.57</f>
        <v>22.758565068800003</v>
      </c>
      <c r="L474">
        <f xml:space="preserve"> -55.696 * _2026_04_17_16_25_21_23_high[[#This Row],[coeff]] + 79.57</f>
        <v>22.758565068800003</v>
      </c>
    </row>
    <row r="475" spans="1:12" x14ac:dyDescent="0.3">
      <c r="A475">
        <v>473</v>
      </c>
      <c r="B475">
        <v>11933</v>
      </c>
      <c r="C475" t="b">
        <v>1</v>
      </c>
      <c r="D475">
        <v>8048</v>
      </c>
      <c r="E475">
        <v>8087</v>
      </c>
      <c r="F475">
        <v>200.33332999999999</v>
      </c>
      <c r="G475">
        <v>196.8</v>
      </c>
      <c r="H475">
        <v>1.0179539</v>
      </c>
      <c r="I475">
        <v>-1.7953888000000001E-2</v>
      </c>
      <c r="J475">
        <v>0.49555146999999999</v>
      </c>
      <c r="K475">
        <f xml:space="preserve"> -55.696 * _2026_04_17_16_25_21_23_high[[#This Row],[coeff]] + 79.57</f>
        <v>22.874039585599995</v>
      </c>
      <c r="L475">
        <f xml:space="preserve"> -55.696 * _2026_04_17_16_25_21_23_high[[#This Row],[coeff]] + 79.57</f>
        <v>22.874039585599995</v>
      </c>
    </row>
    <row r="476" spans="1:12" x14ac:dyDescent="0.3">
      <c r="A476">
        <v>474</v>
      </c>
      <c r="B476">
        <v>11964</v>
      </c>
      <c r="C476" t="b">
        <v>1</v>
      </c>
      <c r="D476">
        <v>8048</v>
      </c>
      <c r="E476">
        <v>8123</v>
      </c>
      <c r="F476">
        <v>200.33332999999999</v>
      </c>
      <c r="G476">
        <v>197.6</v>
      </c>
      <c r="H476">
        <v>1.0138326</v>
      </c>
      <c r="I476">
        <v>-1.3832601999999999E-2</v>
      </c>
      <c r="J476">
        <v>0.49656558000000001</v>
      </c>
      <c r="K476">
        <f xml:space="preserve"> -55.696 * _2026_04_17_16_25_21_23_high[[#This Row],[coeff]] + 79.57</f>
        <v>23.103579510399996</v>
      </c>
      <c r="L476">
        <f xml:space="preserve"> -55.696 * _2026_04_17_16_25_21_23_high[[#This Row],[coeff]] + 79.57</f>
        <v>23.103579510399996</v>
      </c>
    </row>
    <row r="477" spans="1:12" x14ac:dyDescent="0.3">
      <c r="A477">
        <v>475</v>
      </c>
      <c r="B477">
        <v>11979</v>
      </c>
      <c r="C477" t="b">
        <v>1</v>
      </c>
      <c r="D477">
        <v>8048</v>
      </c>
      <c r="E477">
        <v>8093</v>
      </c>
      <c r="F477">
        <v>200.73334</v>
      </c>
      <c r="G477">
        <v>198</v>
      </c>
      <c r="H477">
        <v>1.0138048</v>
      </c>
      <c r="I477">
        <v>-1.3804735E-2</v>
      </c>
      <c r="J477">
        <v>0.49657245999999999</v>
      </c>
      <c r="K477">
        <f xml:space="preserve"> -55.696 * _2026_04_17_16_25_21_23_high[[#This Row],[coeff]] + 79.57</f>
        <v>23.105127859199996</v>
      </c>
      <c r="L477">
        <f xml:space="preserve"> -55.696 * _2026_04_17_16_25_21_23_high[[#This Row],[coeff]] + 79.57</f>
        <v>23.105127859199996</v>
      </c>
    </row>
    <row r="478" spans="1:12" x14ac:dyDescent="0.3">
      <c r="A478">
        <v>476</v>
      </c>
      <c r="B478">
        <v>11995</v>
      </c>
      <c r="C478" t="b">
        <v>1</v>
      </c>
      <c r="D478">
        <v>8030</v>
      </c>
      <c r="E478">
        <v>8093</v>
      </c>
      <c r="F478">
        <v>201.13333</v>
      </c>
      <c r="G478">
        <v>197.2</v>
      </c>
      <c r="H478">
        <v>1.0199459</v>
      </c>
      <c r="I478">
        <v>-1.9945916000000001E-2</v>
      </c>
      <c r="J478">
        <v>0.49506276999999999</v>
      </c>
      <c r="K478">
        <f xml:space="preserve"> -55.696 * _2026_04_17_16_25_21_23_high[[#This Row],[coeff]] + 79.57</f>
        <v>22.763093153599996</v>
      </c>
      <c r="L478">
        <f xml:space="preserve"> -55.696 * _2026_04_17_16_25_21_23_high[[#This Row],[coeff]] + 79.57</f>
        <v>22.763093153599996</v>
      </c>
    </row>
    <row r="479" spans="1:12" x14ac:dyDescent="0.3">
      <c r="A479">
        <v>477</v>
      </c>
      <c r="B479">
        <v>12011</v>
      </c>
      <c r="C479" t="b">
        <v>1</v>
      </c>
      <c r="D479">
        <v>8048</v>
      </c>
      <c r="E479">
        <v>8105</v>
      </c>
      <c r="F479">
        <v>201.53334000000001</v>
      </c>
      <c r="G479">
        <v>196.4</v>
      </c>
      <c r="H479">
        <v>1.0261372</v>
      </c>
      <c r="I479">
        <v>-2.6137203000000001E-2</v>
      </c>
      <c r="J479">
        <v>0.49354997</v>
      </c>
      <c r="K479">
        <f xml:space="preserve"> -55.696 * _2026_04_17_16_25_21_23_high[[#This Row],[coeff]] + 79.57</f>
        <v>22.418262508799998</v>
      </c>
      <c r="L479">
        <f xml:space="preserve"> -55.696 * _2026_04_17_16_25_21_23_high[[#This Row],[coeff]] + 79.57</f>
        <v>22.418262508799998</v>
      </c>
    </row>
    <row r="480" spans="1:12" x14ac:dyDescent="0.3">
      <c r="A480">
        <v>478</v>
      </c>
      <c r="B480">
        <v>12027</v>
      </c>
      <c r="C480" t="b">
        <v>1</v>
      </c>
      <c r="D480">
        <v>8030</v>
      </c>
      <c r="E480">
        <v>8123</v>
      </c>
      <c r="F480">
        <v>201.93333000000001</v>
      </c>
      <c r="G480">
        <v>196.4</v>
      </c>
      <c r="H480">
        <v>1.0281738</v>
      </c>
      <c r="I480">
        <v>-2.8173831999999999E-2</v>
      </c>
      <c r="J480">
        <v>0.4930544</v>
      </c>
      <c r="K480">
        <f xml:space="preserve"> -55.696 * _2026_04_17_16_25_21_23_high[[#This Row],[coeff]] + 79.57</f>
        <v>22.304832035199993</v>
      </c>
      <c r="L480">
        <f xml:space="preserve"> -55.696 * _2026_04_17_16_25_21_23_high[[#This Row],[coeff]] + 79.57</f>
        <v>22.304832035199993</v>
      </c>
    </row>
    <row r="481" spans="1:12" x14ac:dyDescent="0.3">
      <c r="A481">
        <v>479</v>
      </c>
      <c r="B481">
        <v>12043</v>
      </c>
      <c r="C481" t="b">
        <v>1</v>
      </c>
      <c r="D481">
        <v>8037</v>
      </c>
      <c r="E481">
        <v>8111</v>
      </c>
      <c r="F481">
        <v>201.6</v>
      </c>
      <c r="G481">
        <v>196.4</v>
      </c>
      <c r="H481">
        <v>1.0264766000000001</v>
      </c>
      <c r="I481">
        <v>-2.6476642000000002E-2</v>
      </c>
      <c r="J481">
        <v>0.49346732999999998</v>
      </c>
      <c r="K481">
        <f xml:space="preserve"> -55.696 * _2026_04_17_16_25_21_23_high[[#This Row],[coeff]] + 79.57</f>
        <v>22.399359286399992</v>
      </c>
      <c r="L481">
        <f xml:space="preserve"> -55.696 * _2026_04_17_16_25_21_23_high[[#This Row],[coeff]] + 79.57</f>
        <v>22.399359286399992</v>
      </c>
    </row>
    <row r="482" spans="1:12" x14ac:dyDescent="0.3">
      <c r="A482">
        <v>480</v>
      </c>
      <c r="B482">
        <v>12074</v>
      </c>
      <c r="C482" t="b">
        <v>1</v>
      </c>
      <c r="D482">
        <v>8037</v>
      </c>
      <c r="E482">
        <v>8099</v>
      </c>
      <c r="F482">
        <v>201.6</v>
      </c>
      <c r="G482">
        <v>196.4</v>
      </c>
      <c r="H482">
        <v>1.0264766000000001</v>
      </c>
      <c r="I482">
        <v>-2.6476642000000002E-2</v>
      </c>
      <c r="J482">
        <v>0.49346732999999998</v>
      </c>
      <c r="K482">
        <f xml:space="preserve"> -55.696 * _2026_04_17_16_25_21_23_high[[#This Row],[coeff]] + 79.57</f>
        <v>22.399359286399992</v>
      </c>
      <c r="L482">
        <f xml:space="preserve"> -55.696 * _2026_04_17_16_25_21_23_high[[#This Row],[coeff]] + 79.57</f>
        <v>22.399359286399992</v>
      </c>
    </row>
    <row r="483" spans="1:12" x14ac:dyDescent="0.3">
      <c r="A483">
        <v>481</v>
      </c>
      <c r="B483">
        <v>12089</v>
      </c>
      <c r="C483" t="b">
        <v>1</v>
      </c>
      <c r="D483">
        <v>8048</v>
      </c>
      <c r="E483">
        <v>8111</v>
      </c>
      <c r="F483">
        <v>201.6</v>
      </c>
      <c r="G483">
        <v>196.4</v>
      </c>
      <c r="H483">
        <v>1.0264766000000001</v>
      </c>
      <c r="I483">
        <v>-2.6476642000000002E-2</v>
      </c>
      <c r="J483">
        <v>0.49346732999999998</v>
      </c>
      <c r="K483">
        <f xml:space="preserve"> -55.696 * _2026_04_17_16_25_21_23_high[[#This Row],[coeff]] + 79.57</f>
        <v>22.399359286399992</v>
      </c>
      <c r="L483">
        <f xml:space="preserve"> -55.696 * _2026_04_17_16_25_21_23_high[[#This Row],[coeff]] + 79.57</f>
        <v>22.399359286399992</v>
      </c>
    </row>
    <row r="484" spans="1:12" x14ac:dyDescent="0.3">
      <c r="A484">
        <v>482</v>
      </c>
      <c r="B484">
        <v>12105</v>
      </c>
      <c r="C484" t="b">
        <v>1</v>
      </c>
      <c r="D484">
        <v>8030</v>
      </c>
      <c r="E484">
        <v>8105</v>
      </c>
      <c r="F484">
        <v>201.6</v>
      </c>
      <c r="G484">
        <v>195.6</v>
      </c>
      <c r="H484">
        <v>1.0306747999999999</v>
      </c>
      <c r="I484">
        <v>-3.0674844999999999E-2</v>
      </c>
      <c r="J484">
        <v>0.49244714000000001</v>
      </c>
      <c r="K484">
        <f xml:space="preserve"> -55.696 * _2026_04_17_16_25_21_23_high[[#This Row],[coeff]] + 79.57</f>
        <v>22.165536339200003</v>
      </c>
      <c r="L484">
        <f xml:space="preserve"> -55.696 * _2026_04_17_16_25_21_23_high[[#This Row],[coeff]] + 79.57</f>
        <v>22.165536339200003</v>
      </c>
    </row>
    <row r="485" spans="1:12" x14ac:dyDescent="0.3">
      <c r="A485">
        <v>483</v>
      </c>
      <c r="B485">
        <v>12121</v>
      </c>
      <c r="C485" t="b">
        <v>1</v>
      </c>
      <c r="D485">
        <v>8030</v>
      </c>
      <c r="E485">
        <v>8105</v>
      </c>
      <c r="F485">
        <v>201.6</v>
      </c>
      <c r="G485">
        <v>195.2</v>
      </c>
      <c r="H485">
        <v>1.0327869999999999</v>
      </c>
      <c r="I485">
        <v>-3.2786929999999999E-2</v>
      </c>
      <c r="J485">
        <v>0.49193550000000003</v>
      </c>
      <c r="K485">
        <f xml:space="preserve"> -55.696 * _2026_04_17_16_25_21_23_high[[#This Row],[coeff]] + 79.57</f>
        <v>22.047895248000003</v>
      </c>
      <c r="L485">
        <f xml:space="preserve"> -55.696 * _2026_04_17_16_25_21_23_high[[#This Row],[coeff]] + 79.57</f>
        <v>22.047895248000003</v>
      </c>
    </row>
    <row r="486" spans="1:12" x14ac:dyDescent="0.3">
      <c r="A486">
        <v>484</v>
      </c>
      <c r="B486">
        <v>12137</v>
      </c>
      <c r="C486" t="b">
        <v>1</v>
      </c>
      <c r="D486">
        <v>8042</v>
      </c>
      <c r="E486">
        <v>8105</v>
      </c>
      <c r="F486">
        <v>201.6</v>
      </c>
      <c r="G486">
        <v>194</v>
      </c>
      <c r="H486">
        <v>1.0391752999999999</v>
      </c>
      <c r="I486">
        <v>-3.9175290000000002E-2</v>
      </c>
      <c r="J486">
        <v>0.49039431999999999</v>
      </c>
      <c r="K486">
        <f xml:space="preserve"> -55.696 * _2026_04_17_16_25_21_23_high[[#This Row],[coeff]] + 79.57</f>
        <v>21.6920924912</v>
      </c>
      <c r="L486">
        <f xml:space="preserve"> -55.696 * _2026_04_17_16_25_21_23_high[[#This Row],[coeff]] + 79.57</f>
        <v>21.6920924912</v>
      </c>
    </row>
    <row r="487" spans="1:12" x14ac:dyDescent="0.3">
      <c r="A487">
        <v>485</v>
      </c>
      <c r="B487">
        <v>12152</v>
      </c>
      <c r="C487" t="b">
        <v>1</v>
      </c>
      <c r="D487">
        <v>8048</v>
      </c>
      <c r="E487">
        <v>8134</v>
      </c>
      <c r="F487">
        <v>201.6</v>
      </c>
      <c r="G487">
        <v>192.8</v>
      </c>
      <c r="H487">
        <v>1.0456432</v>
      </c>
      <c r="I487">
        <v>-4.5643169999999997E-2</v>
      </c>
      <c r="J487">
        <v>0.48884379999999999</v>
      </c>
      <c r="K487">
        <f xml:space="preserve"> -55.696 * _2026_04_17_16_25_21_23_high[[#This Row],[coeff]] + 79.57</f>
        <v>21.331856332799994</v>
      </c>
      <c r="L487">
        <f xml:space="preserve"> -55.696 * _2026_04_17_16_25_21_23_high[[#This Row],[coeff]] + 79.57</f>
        <v>21.331856332799994</v>
      </c>
    </row>
    <row r="488" spans="1:12" x14ac:dyDescent="0.3">
      <c r="A488">
        <v>486</v>
      </c>
      <c r="B488">
        <v>12184</v>
      </c>
      <c r="C488" t="b">
        <v>1</v>
      </c>
      <c r="D488">
        <v>8030</v>
      </c>
      <c r="E488">
        <v>8111</v>
      </c>
      <c r="F488">
        <v>200.8</v>
      </c>
      <c r="G488">
        <v>192</v>
      </c>
      <c r="H488">
        <v>1.0458333</v>
      </c>
      <c r="I488">
        <v>-4.5833350000000002E-2</v>
      </c>
      <c r="J488">
        <v>0.48879837999999998</v>
      </c>
      <c r="K488">
        <f xml:space="preserve"> -55.696 * _2026_04_17_16_25_21_23_high[[#This Row],[coeff]] + 79.57</f>
        <v>21.321268523199997</v>
      </c>
      <c r="L488">
        <f xml:space="preserve"> -55.696 * _2026_04_17_16_25_21_23_high[[#This Row],[coeff]] + 79.57</f>
        <v>21.321268523199997</v>
      </c>
    </row>
    <row r="489" spans="1:12" x14ac:dyDescent="0.3">
      <c r="A489">
        <v>487</v>
      </c>
      <c r="B489">
        <v>12216</v>
      </c>
      <c r="C489" t="b">
        <v>1</v>
      </c>
      <c r="D489">
        <v>8048</v>
      </c>
      <c r="E489">
        <v>8111</v>
      </c>
      <c r="F489">
        <v>200.8</v>
      </c>
      <c r="G489">
        <v>191.6</v>
      </c>
      <c r="H489">
        <v>1.0480167</v>
      </c>
      <c r="I489">
        <v>-4.8016681999999998E-2</v>
      </c>
      <c r="J489">
        <v>0.48827725999999999</v>
      </c>
      <c r="K489">
        <f xml:space="preserve"> -55.696 * _2026_04_17_16_25_21_23_high[[#This Row],[coeff]] + 79.57</f>
        <v>21.199661876799993</v>
      </c>
      <c r="L489">
        <f xml:space="preserve"> -55.696 * _2026_04_17_16_25_21_23_high[[#This Row],[coeff]] + 79.57</f>
        <v>21.199661876799993</v>
      </c>
    </row>
    <row r="490" spans="1:12" x14ac:dyDescent="0.3">
      <c r="A490">
        <v>488</v>
      </c>
      <c r="B490">
        <v>12232</v>
      </c>
      <c r="C490" t="b">
        <v>1</v>
      </c>
      <c r="D490">
        <v>8054</v>
      </c>
      <c r="E490">
        <v>8111</v>
      </c>
      <c r="F490">
        <v>201.2</v>
      </c>
      <c r="G490">
        <v>191.2</v>
      </c>
      <c r="H490">
        <v>1.0523013000000001</v>
      </c>
      <c r="I490">
        <v>-5.2301258000000003E-2</v>
      </c>
      <c r="J490">
        <v>0.48725790000000002</v>
      </c>
      <c r="K490">
        <f xml:space="preserve"> -55.696 * _2026_04_17_16_25_21_23_high[[#This Row],[coeff]] + 79.57</f>
        <v>20.961026795199992</v>
      </c>
      <c r="L490">
        <f xml:space="preserve"> -55.696 * _2026_04_17_16_25_21_23_high[[#This Row],[coeff]] + 79.57</f>
        <v>20.961026795199992</v>
      </c>
    </row>
    <row r="491" spans="1:12" x14ac:dyDescent="0.3">
      <c r="A491">
        <v>489</v>
      </c>
      <c r="B491">
        <v>12247</v>
      </c>
      <c r="C491" t="b">
        <v>1</v>
      </c>
      <c r="D491">
        <v>8030</v>
      </c>
      <c r="E491">
        <v>8099</v>
      </c>
      <c r="F491">
        <v>201.6</v>
      </c>
      <c r="G491">
        <v>190.8</v>
      </c>
      <c r="H491">
        <v>1.0566038</v>
      </c>
      <c r="I491">
        <v>-5.6603790000000001E-2</v>
      </c>
      <c r="J491">
        <v>0.48623850000000002</v>
      </c>
      <c r="K491">
        <f xml:space="preserve"> -55.696 * _2026_04_17_16_25_21_23_high[[#This Row],[coeff]] + 79.57</f>
        <v>20.721394755199995</v>
      </c>
      <c r="L491">
        <f xml:space="preserve"> -55.696 * _2026_04_17_16_25_21_23_high[[#This Row],[coeff]] + 79.57</f>
        <v>20.721394755199995</v>
      </c>
    </row>
    <row r="492" spans="1:12" x14ac:dyDescent="0.3">
      <c r="A492">
        <v>490</v>
      </c>
      <c r="B492">
        <v>12263</v>
      </c>
      <c r="C492" t="b">
        <v>1</v>
      </c>
      <c r="D492">
        <v>8042</v>
      </c>
      <c r="E492">
        <v>8099</v>
      </c>
      <c r="F492">
        <v>201.2</v>
      </c>
      <c r="G492">
        <v>190.8</v>
      </c>
      <c r="H492">
        <v>1.0545073</v>
      </c>
      <c r="I492">
        <v>-5.4507303999999999E-2</v>
      </c>
      <c r="J492">
        <v>0.48673470000000002</v>
      </c>
      <c r="K492">
        <f xml:space="preserve"> -55.696 * _2026_04_17_16_25_21_23_high[[#This Row],[coeff]] + 79.57</f>
        <v>20.838161419199992</v>
      </c>
      <c r="L492">
        <f xml:space="preserve"> -55.696 * _2026_04_17_16_25_21_23_high[[#This Row],[coeff]] + 79.57</f>
        <v>20.838161419199992</v>
      </c>
    </row>
    <row r="493" spans="1:12" x14ac:dyDescent="0.3">
      <c r="A493">
        <v>491</v>
      </c>
      <c r="B493">
        <v>12295</v>
      </c>
      <c r="C493" t="b">
        <v>1</v>
      </c>
      <c r="D493">
        <v>8048</v>
      </c>
      <c r="E493">
        <v>8099</v>
      </c>
      <c r="F493">
        <v>201.2</v>
      </c>
      <c r="G493">
        <v>191.2</v>
      </c>
      <c r="H493">
        <v>1.0523013000000001</v>
      </c>
      <c r="I493">
        <v>-5.2301258000000003E-2</v>
      </c>
      <c r="J493">
        <v>0.48725790000000002</v>
      </c>
      <c r="K493">
        <f xml:space="preserve"> -55.696 * _2026_04_17_16_25_21_23_high[[#This Row],[coeff]] + 79.57</f>
        <v>20.961026795199992</v>
      </c>
      <c r="L493">
        <f xml:space="preserve"> -55.696 * _2026_04_17_16_25_21_23_high[[#This Row],[coeff]] + 79.57</f>
        <v>20.961026795199992</v>
      </c>
    </row>
    <row r="494" spans="1:12" x14ac:dyDescent="0.3">
      <c r="A494">
        <v>492</v>
      </c>
      <c r="B494">
        <v>12311</v>
      </c>
      <c r="C494" t="b">
        <v>1</v>
      </c>
      <c r="D494">
        <v>8060</v>
      </c>
      <c r="E494">
        <v>8075</v>
      </c>
      <c r="F494">
        <v>201.2</v>
      </c>
      <c r="G494">
        <v>191.6</v>
      </c>
      <c r="H494">
        <v>1.0501043999999999</v>
      </c>
      <c r="I494">
        <v>-5.0104335E-2</v>
      </c>
      <c r="J494">
        <v>0.48778006000000002</v>
      </c>
      <c r="K494">
        <f xml:space="preserve"> -55.696 * _2026_04_17_16_25_21_23_high[[#This Row],[coeff]] + 79.57</f>
        <v>21.083385337599999</v>
      </c>
      <c r="L494">
        <f xml:space="preserve"> -55.696 * _2026_04_17_16_25_21_23_high[[#This Row],[coeff]] + 79.57</f>
        <v>21.083385337599999</v>
      </c>
    </row>
    <row r="495" spans="1:12" x14ac:dyDescent="0.3">
      <c r="A495">
        <v>493</v>
      </c>
      <c r="B495">
        <v>12327</v>
      </c>
      <c r="C495" t="b">
        <v>1</v>
      </c>
      <c r="D495">
        <v>8037</v>
      </c>
      <c r="E495">
        <v>8117</v>
      </c>
      <c r="F495">
        <v>200.8</v>
      </c>
      <c r="G495">
        <v>191.2</v>
      </c>
      <c r="H495">
        <v>1.0502092999999999</v>
      </c>
      <c r="I495">
        <v>-5.0209240000000002E-2</v>
      </c>
      <c r="J495">
        <v>0.4877551</v>
      </c>
      <c r="K495">
        <f xml:space="preserve"> -55.696 * _2026_04_17_16_25_21_23_high[[#This Row],[coeff]] + 79.57</f>
        <v>21.077542827199998</v>
      </c>
      <c r="L495">
        <f xml:space="preserve"> -55.696 * _2026_04_17_16_25_21_23_high[[#This Row],[coeff]] + 79.57</f>
        <v>21.077542827199998</v>
      </c>
    </row>
    <row r="496" spans="1:12" x14ac:dyDescent="0.3">
      <c r="A496">
        <v>494</v>
      </c>
      <c r="B496">
        <v>12342</v>
      </c>
      <c r="C496" t="b">
        <v>1</v>
      </c>
      <c r="D496">
        <v>8030</v>
      </c>
      <c r="E496">
        <v>8099</v>
      </c>
      <c r="F496">
        <v>201.13333</v>
      </c>
      <c r="G496">
        <v>190.8</v>
      </c>
      <c r="H496">
        <v>1.0541579000000001</v>
      </c>
      <c r="I496">
        <v>-5.4157904999999999E-2</v>
      </c>
      <c r="J496">
        <v>0.48681748000000002</v>
      </c>
      <c r="K496">
        <f xml:space="preserve"> -55.696 * _2026_04_17_16_25_21_23_high[[#This Row],[coeff]] + 79.57</f>
        <v>20.857621601599988</v>
      </c>
      <c r="L496">
        <f xml:space="preserve"> -55.696 * _2026_04_17_16_25_21_23_high[[#This Row],[coeff]] + 79.57</f>
        <v>20.857621601599988</v>
      </c>
    </row>
    <row r="497" spans="1:12" x14ac:dyDescent="0.3">
      <c r="A497">
        <v>495</v>
      </c>
      <c r="B497">
        <v>12358</v>
      </c>
      <c r="C497" t="b">
        <v>1</v>
      </c>
      <c r="D497">
        <v>8030</v>
      </c>
      <c r="E497">
        <v>8117</v>
      </c>
      <c r="F497">
        <v>201.13333</v>
      </c>
      <c r="G497">
        <v>190.4</v>
      </c>
      <c r="H497">
        <v>1.0563724999999999</v>
      </c>
      <c r="I497">
        <v>-5.6372569999999997E-2</v>
      </c>
      <c r="J497">
        <v>0.48629319999999998</v>
      </c>
      <c r="K497">
        <f xml:space="preserve"> -55.696 * _2026_04_17_16_25_21_23_high[[#This Row],[coeff]] + 79.57</f>
        <v>20.734277239999997</v>
      </c>
      <c r="L497">
        <f xml:space="preserve"> -55.696 * _2026_04_17_16_25_21_23_high[[#This Row],[coeff]] + 79.57</f>
        <v>20.734277239999997</v>
      </c>
    </row>
    <row r="498" spans="1:12" x14ac:dyDescent="0.3">
      <c r="A498">
        <v>496</v>
      </c>
      <c r="B498">
        <v>12374</v>
      </c>
      <c r="C498" t="b">
        <v>1</v>
      </c>
      <c r="D498">
        <v>8042</v>
      </c>
      <c r="E498">
        <v>8105</v>
      </c>
      <c r="F498">
        <v>201.13333</v>
      </c>
      <c r="G498">
        <v>190</v>
      </c>
      <c r="H498">
        <v>1.0585964999999999</v>
      </c>
      <c r="I498">
        <v>-5.8596479999999999E-2</v>
      </c>
      <c r="J498">
        <v>0.48576786999999999</v>
      </c>
      <c r="K498">
        <f xml:space="preserve"> -55.696 * _2026_04_17_16_25_21_23_high[[#This Row],[coeff]] + 79.57</f>
        <v>20.610409335999996</v>
      </c>
      <c r="L498">
        <f xml:space="preserve"> -55.696 * _2026_04_17_16_25_21_23_high[[#This Row],[coeff]] + 79.57</f>
        <v>20.610409335999996</v>
      </c>
    </row>
    <row r="499" spans="1:12" x14ac:dyDescent="0.3">
      <c r="A499">
        <v>497</v>
      </c>
      <c r="B499">
        <v>12390</v>
      </c>
      <c r="C499" t="b">
        <v>1</v>
      </c>
      <c r="D499">
        <v>8048</v>
      </c>
      <c r="E499">
        <v>8111</v>
      </c>
      <c r="F499">
        <v>201.13333</v>
      </c>
      <c r="G499">
        <v>190</v>
      </c>
      <c r="H499">
        <v>1.0585964999999999</v>
      </c>
      <c r="I499">
        <v>-5.8596479999999999E-2</v>
      </c>
      <c r="J499">
        <v>0.48576786999999999</v>
      </c>
      <c r="K499">
        <f xml:space="preserve"> -55.696 * _2026_04_17_16_25_21_23_high[[#This Row],[coeff]] + 79.57</f>
        <v>20.610409335999996</v>
      </c>
      <c r="L499">
        <f xml:space="preserve"> -55.696 * _2026_04_17_16_25_21_23_high[[#This Row],[coeff]] + 79.57</f>
        <v>20.610409335999996</v>
      </c>
    </row>
    <row r="500" spans="1:12" x14ac:dyDescent="0.3">
      <c r="A500">
        <v>498</v>
      </c>
      <c r="B500">
        <v>12405</v>
      </c>
      <c r="C500" t="b">
        <v>1</v>
      </c>
      <c r="D500">
        <v>8054</v>
      </c>
      <c r="E500">
        <v>8111</v>
      </c>
      <c r="F500">
        <v>201.46665999999999</v>
      </c>
      <c r="G500">
        <v>190.4</v>
      </c>
      <c r="H500">
        <v>1.0581232</v>
      </c>
      <c r="I500">
        <v>-5.8123246000000003E-2</v>
      </c>
      <c r="J500">
        <v>0.48587956999999998</v>
      </c>
      <c r="K500">
        <f xml:space="preserve"> -55.696 * _2026_04_17_16_25_21_23_high[[#This Row],[coeff]] + 79.57</f>
        <v>20.636770252799991</v>
      </c>
      <c r="L500">
        <f xml:space="preserve"> -55.696 * _2026_04_17_16_25_21_23_high[[#This Row],[coeff]] + 79.57</f>
        <v>20.636770252799991</v>
      </c>
    </row>
    <row r="501" spans="1:12" x14ac:dyDescent="0.3">
      <c r="A501">
        <v>499</v>
      </c>
      <c r="B501">
        <v>12421</v>
      </c>
      <c r="C501" t="b">
        <v>1</v>
      </c>
      <c r="D501">
        <v>8030</v>
      </c>
      <c r="E501">
        <v>8111</v>
      </c>
      <c r="F501">
        <v>201.8</v>
      </c>
      <c r="G501">
        <v>190.8</v>
      </c>
      <c r="H501">
        <v>1.057652</v>
      </c>
      <c r="I501">
        <v>-5.765199E-2</v>
      </c>
      <c r="J501">
        <v>0.48599081999999999</v>
      </c>
      <c r="K501">
        <f xml:space="preserve"> -55.696 * _2026_04_17_16_25_21_23_high[[#This Row],[coeff]] + 79.57</f>
        <v>20.663014207999993</v>
      </c>
      <c r="L501">
        <f xml:space="preserve"> -55.696 * _2026_04_17_16_25_21_23_high[[#This Row],[coeff]] + 79.57</f>
        <v>20.663014207999993</v>
      </c>
    </row>
    <row r="502" spans="1:12" x14ac:dyDescent="0.3">
      <c r="A502">
        <v>500</v>
      </c>
      <c r="B502">
        <v>12437</v>
      </c>
      <c r="C502" t="b">
        <v>1</v>
      </c>
      <c r="D502">
        <v>8030</v>
      </c>
      <c r="E502">
        <v>8123</v>
      </c>
      <c r="F502">
        <v>201.8</v>
      </c>
      <c r="G502">
        <v>191.2</v>
      </c>
      <c r="H502">
        <v>1.0554394</v>
      </c>
      <c r="I502">
        <v>-5.5439363999999998E-2</v>
      </c>
      <c r="J502">
        <v>0.48651397000000002</v>
      </c>
      <c r="K502">
        <f xml:space="preserve"> -55.696 * _2026_04_17_16_25_21_23_high[[#This Row],[coeff]] + 79.57</f>
        <v>20.786247177599996</v>
      </c>
      <c r="L502">
        <f xml:space="preserve"> -55.696 * _2026_04_17_16_25_21_23_high[[#This Row],[coeff]] + 79.57</f>
        <v>20.786247177599996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D82EE-20E2-4416-8BD3-4F0116E347D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CDDC8E-4AFF-4FE7-8CB8-7459B76730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Summary</vt:lpstr>
      <vt:lpstr>2026-04-17_16-42-00_-22_high</vt:lpstr>
      <vt:lpstr>2026-04-17_16-41-07_-19_high</vt:lpstr>
      <vt:lpstr>2026-04-17_16-43-51_-14_high</vt:lpstr>
      <vt:lpstr>2026-04-17_16-40-13_-12_high</vt:lpstr>
      <vt:lpstr>2026-04-17_16-38-14_-7_high</vt:lpstr>
      <vt:lpstr>2026-04-17_16-36-46_-5_high</vt:lpstr>
      <vt:lpstr>2026-04-17_16-35-28_-2_high</vt:lpstr>
      <vt:lpstr>2026-04-17_16-32-27_0_high</vt:lpstr>
      <vt:lpstr>2026-04-17_16-31-51_5_high</vt:lpstr>
      <vt:lpstr>2026-04-17_16-31-16_7_high</vt:lpstr>
      <vt:lpstr>2026-04-17_16-30-28_9_high</vt:lpstr>
      <vt:lpstr>2026-04-17_16-29-45_13_high</vt:lpstr>
      <vt:lpstr>2026-04-17_16-29-05_14_high</vt:lpstr>
      <vt:lpstr>2026-04-17_16-28-20_16_high</vt:lpstr>
      <vt:lpstr>2026-04-17_16-26-30_19_high</vt:lpstr>
      <vt:lpstr>2026-04-17_16-25-21_23_high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Darii Vereshchak</dc:creator>
  <cp:lastModifiedBy>Darii Vereshchak</cp:lastModifiedBy>
  <dcterms:created xsi:type="dcterms:W3CDTF">2026-04-17T23:48:42Z</dcterms:created>
  <dcterms:modified xsi:type="dcterms:W3CDTF">2026-04-27T19:50:28Z</dcterms:modified>
</cp:coreProperties>
</file>